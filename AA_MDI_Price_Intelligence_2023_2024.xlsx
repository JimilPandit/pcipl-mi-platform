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rpserver\SMR\15 MI Projects\MI Price forecast\"/>
    </mc:Choice>
  </mc:AlternateContent>
  <xr:revisionPtr revIDLastSave="0" documentId="13_ncr:20001_{AB3C4133-106D-481E-AEB5-81960861C564}" xr6:coauthVersionLast="47" xr6:coauthVersionMax="47" xr10:uidLastSave="{00000000-0000-0000-0000-000000000000}"/>
  <bookViews>
    <workbookView xWindow="-120" yWindow="-120" windowWidth="20730" windowHeight="11040" tabRatio="938" xr2:uid="{00000000-000D-0000-FFFF-FFFF00000000}"/>
  </bookViews>
  <sheets>
    <sheet name="📌 Index &amp; Legend" sheetId="1" r:id="rId1"/>
    <sheet name="💰 AA Daily Prices" sheetId="3" r:id="rId2"/>
    <sheet name="📅 AA Weekly+Factors" sheetId="4" r:id="rId3"/>
    <sheet name="🎯 AA Forecast" sheetId="5" r:id="rId4"/>
    <sheet name="💰 MDI Daily Prices" sheetId="6" r:id="rId5"/>
    <sheet name="📅 MDI Weekly+Factors" sheetId="7" r:id="rId6"/>
    <sheet name="🎯 MDI Forecast" sheetId="8" r:id="rId7"/>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1" i="8" l="1"/>
  <c r="O11" i="8"/>
  <c r="M11" i="8"/>
  <c r="Q10" i="8"/>
  <c r="O10" i="8"/>
  <c r="M10" i="8"/>
  <c r="Q9" i="8"/>
  <c r="O9" i="8"/>
  <c r="M9" i="8"/>
  <c r="Q8" i="8"/>
  <c r="O8" i="8"/>
  <c r="M8" i="8"/>
  <c r="Q7" i="8"/>
  <c r="O7" i="8"/>
  <c r="M7" i="8"/>
  <c r="AC111" i="7"/>
  <c r="N111" i="7"/>
  <c r="L111" i="7"/>
  <c r="M111" i="7" s="1"/>
  <c r="I111" i="7"/>
  <c r="AC110" i="7"/>
  <c r="N110" i="7"/>
  <c r="L110" i="7"/>
  <c r="M110" i="7" s="1"/>
  <c r="I110" i="7"/>
  <c r="AC109" i="7"/>
  <c r="N109" i="7"/>
  <c r="L109" i="7"/>
  <c r="M109" i="7" s="1"/>
  <c r="I109" i="7"/>
  <c r="AC108" i="7"/>
  <c r="N108" i="7"/>
  <c r="L108" i="7"/>
  <c r="M108" i="7" s="1"/>
  <c r="I108" i="7"/>
  <c r="AC107" i="7"/>
  <c r="N107" i="7"/>
  <c r="L107" i="7"/>
  <c r="M107" i="7" s="1"/>
  <c r="I107" i="7"/>
  <c r="AC106" i="7"/>
  <c r="N106" i="7"/>
  <c r="L106" i="7"/>
  <c r="M106" i="7" s="1"/>
  <c r="I106" i="7"/>
  <c r="AC105" i="7"/>
  <c r="N105" i="7"/>
  <c r="L105" i="7"/>
  <c r="M105" i="7" s="1"/>
  <c r="I105" i="7"/>
  <c r="AC104" i="7"/>
  <c r="N104" i="7"/>
  <c r="L104" i="7"/>
  <c r="M104" i="7" s="1"/>
  <c r="I104" i="7"/>
  <c r="AC103" i="7"/>
  <c r="N103" i="7"/>
  <c r="L103" i="7"/>
  <c r="M103" i="7" s="1"/>
  <c r="I103" i="7"/>
  <c r="AC102" i="7"/>
  <c r="N102" i="7"/>
  <c r="L102" i="7"/>
  <c r="M102" i="7" s="1"/>
  <c r="I102" i="7"/>
  <c r="AC101" i="7"/>
  <c r="N101" i="7"/>
  <c r="L101" i="7"/>
  <c r="M101" i="7" s="1"/>
  <c r="I101" i="7"/>
  <c r="AC100" i="7"/>
  <c r="N100" i="7"/>
  <c r="L100" i="7"/>
  <c r="M100" i="7" s="1"/>
  <c r="I100" i="7"/>
  <c r="AC99" i="7"/>
  <c r="N99" i="7"/>
  <c r="L99" i="7"/>
  <c r="M99" i="7" s="1"/>
  <c r="I99" i="7"/>
  <c r="AC98" i="7"/>
  <c r="N98" i="7"/>
  <c r="L98" i="7"/>
  <c r="M98" i="7" s="1"/>
  <c r="I98" i="7"/>
  <c r="AC97" i="7"/>
  <c r="N97" i="7"/>
  <c r="L97" i="7"/>
  <c r="M97" i="7" s="1"/>
  <c r="I97" i="7"/>
  <c r="AC96" i="7"/>
  <c r="N96" i="7"/>
  <c r="L96" i="7"/>
  <c r="M96" i="7" s="1"/>
  <c r="I96" i="7"/>
  <c r="AC95" i="7"/>
  <c r="N95" i="7"/>
  <c r="L95" i="7"/>
  <c r="M95" i="7" s="1"/>
  <c r="I95" i="7"/>
  <c r="AC94" i="7"/>
  <c r="N94" i="7"/>
  <c r="L94" i="7"/>
  <c r="M94" i="7" s="1"/>
  <c r="I94" i="7"/>
  <c r="AC93" i="7"/>
  <c r="N93" i="7"/>
  <c r="L93" i="7"/>
  <c r="M93" i="7" s="1"/>
  <c r="I93" i="7"/>
  <c r="AC92" i="7"/>
  <c r="N92" i="7"/>
  <c r="L92" i="7"/>
  <c r="M92" i="7" s="1"/>
  <c r="I92" i="7"/>
  <c r="AC91" i="7"/>
  <c r="N91" i="7"/>
  <c r="L91" i="7"/>
  <c r="M91" i="7" s="1"/>
  <c r="I91" i="7"/>
  <c r="AC90" i="7"/>
  <c r="N90" i="7"/>
  <c r="L90" i="7"/>
  <c r="M90" i="7" s="1"/>
  <c r="I90" i="7"/>
  <c r="AC89" i="7"/>
  <c r="N89" i="7"/>
  <c r="L89" i="7"/>
  <c r="M89" i="7" s="1"/>
  <c r="I89" i="7"/>
  <c r="AC88" i="7"/>
  <c r="N88" i="7"/>
  <c r="L88" i="7"/>
  <c r="M88" i="7" s="1"/>
  <c r="I88" i="7"/>
  <c r="AC87" i="7"/>
  <c r="N87" i="7"/>
  <c r="L87" i="7"/>
  <c r="M87" i="7" s="1"/>
  <c r="I87" i="7"/>
  <c r="AC86" i="7"/>
  <c r="N86" i="7"/>
  <c r="L86" i="7"/>
  <c r="M86" i="7" s="1"/>
  <c r="I86" i="7"/>
  <c r="AC85" i="7"/>
  <c r="N85" i="7"/>
  <c r="L85" i="7"/>
  <c r="M85" i="7" s="1"/>
  <c r="I85" i="7"/>
  <c r="AC84" i="7"/>
  <c r="N84" i="7"/>
  <c r="L84" i="7"/>
  <c r="M84" i="7" s="1"/>
  <c r="I84" i="7"/>
  <c r="AC83" i="7"/>
  <c r="N83" i="7"/>
  <c r="L83" i="7"/>
  <c r="M83" i="7" s="1"/>
  <c r="I83" i="7"/>
  <c r="AC82" i="7"/>
  <c r="N82" i="7"/>
  <c r="L82" i="7"/>
  <c r="M82" i="7" s="1"/>
  <c r="I82" i="7"/>
  <c r="AC81" i="7"/>
  <c r="N81" i="7"/>
  <c r="L81" i="7"/>
  <c r="M81" i="7" s="1"/>
  <c r="I81" i="7"/>
  <c r="AC80" i="7"/>
  <c r="N80" i="7"/>
  <c r="L80" i="7"/>
  <c r="M80" i="7" s="1"/>
  <c r="I80" i="7"/>
  <c r="AC79" i="7"/>
  <c r="N79" i="7"/>
  <c r="L79" i="7"/>
  <c r="M79" i="7" s="1"/>
  <c r="I79" i="7"/>
  <c r="AC78" i="7"/>
  <c r="N78" i="7"/>
  <c r="L78" i="7"/>
  <c r="M78" i="7" s="1"/>
  <c r="I78" i="7"/>
  <c r="AC77" i="7"/>
  <c r="N77" i="7"/>
  <c r="L77" i="7"/>
  <c r="M77" i="7" s="1"/>
  <c r="I77" i="7"/>
  <c r="AC76" i="7"/>
  <c r="N76" i="7"/>
  <c r="L76" i="7"/>
  <c r="M76" i="7" s="1"/>
  <c r="I76" i="7"/>
  <c r="AC75" i="7"/>
  <c r="N75" i="7"/>
  <c r="L75" i="7"/>
  <c r="M75" i="7" s="1"/>
  <c r="I75" i="7"/>
  <c r="AC74" i="7"/>
  <c r="N74" i="7"/>
  <c r="L74" i="7"/>
  <c r="M74" i="7" s="1"/>
  <c r="I74" i="7"/>
  <c r="AC73" i="7"/>
  <c r="N73" i="7"/>
  <c r="L73" i="7"/>
  <c r="M73" i="7" s="1"/>
  <c r="I73" i="7"/>
  <c r="AC72" i="7"/>
  <c r="N72" i="7"/>
  <c r="L72" i="7"/>
  <c r="M72" i="7" s="1"/>
  <c r="I72" i="7"/>
  <c r="AC71" i="7"/>
  <c r="N71" i="7"/>
  <c r="L71" i="7"/>
  <c r="M71" i="7" s="1"/>
  <c r="I71" i="7"/>
  <c r="AC70" i="7"/>
  <c r="N70" i="7"/>
  <c r="L70" i="7"/>
  <c r="M70" i="7" s="1"/>
  <c r="I70" i="7"/>
  <c r="AC69" i="7"/>
  <c r="N69" i="7"/>
  <c r="L69" i="7"/>
  <c r="M69" i="7" s="1"/>
  <c r="I69" i="7"/>
  <c r="AC68" i="7"/>
  <c r="N68" i="7"/>
  <c r="L68" i="7"/>
  <c r="M68" i="7" s="1"/>
  <c r="I68" i="7"/>
  <c r="AC67" i="7"/>
  <c r="N67" i="7"/>
  <c r="L67" i="7"/>
  <c r="M67" i="7" s="1"/>
  <c r="I67" i="7"/>
  <c r="AC66" i="7"/>
  <c r="N66" i="7"/>
  <c r="L66" i="7"/>
  <c r="M66" i="7" s="1"/>
  <c r="I66" i="7"/>
  <c r="AC65" i="7"/>
  <c r="N65" i="7"/>
  <c r="L65" i="7"/>
  <c r="M65" i="7" s="1"/>
  <c r="I65" i="7"/>
  <c r="AC64" i="7"/>
  <c r="N64" i="7"/>
  <c r="L64" i="7"/>
  <c r="M64" i="7" s="1"/>
  <c r="I64" i="7"/>
  <c r="AC63" i="7"/>
  <c r="N63" i="7"/>
  <c r="L63" i="7"/>
  <c r="M63" i="7" s="1"/>
  <c r="I63" i="7"/>
  <c r="AC62" i="7"/>
  <c r="N62" i="7"/>
  <c r="L62" i="7"/>
  <c r="M62" i="7" s="1"/>
  <c r="I62" i="7"/>
  <c r="AC61" i="7"/>
  <c r="N61" i="7"/>
  <c r="L61" i="7"/>
  <c r="M61" i="7" s="1"/>
  <c r="I61" i="7"/>
  <c r="AC60" i="7"/>
  <c r="N60" i="7"/>
  <c r="L60" i="7"/>
  <c r="M60" i="7" s="1"/>
  <c r="I60" i="7"/>
  <c r="AC59" i="7"/>
  <c r="N59" i="7"/>
  <c r="L59" i="7"/>
  <c r="M59" i="7" s="1"/>
  <c r="I59" i="7"/>
  <c r="AC58" i="7"/>
  <c r="N58" i="7"/>
  <c r="L58" i="7"/>
  <c r="M58" i="7" s="1"/>
  <c r="I58" i="7"/>
  <c r="AC57" i="7"/>
  <c r="N57" i="7"/>
  <c r="L57" i="7"/>
  <c r="M57" i="7" s="1"/>
  <c r="I57" i="7"/>
  <c r="AC56" i="7"/>
  <c r="N56" i="7"/>
  <c r="L56" i="7"/>
  <c r="M56" i="7" s="1"/>
  <c r="I56" i="7"/>
  <c r="AC55" i="7"/>
  <c r="N55" i="7"/>
  <c r="L55" i="7"/>
  <c r="M55" i="7" s="1"/>
  <c r="I55" i="7"/>
  <c r="AC54" i="7"/>
  <c r="N54" i="7"/>
  <c r="L54" i="7"/>
  <c r="M54" i="7" s="1"/>
  <c r="I54" i="7"/>
  <c r="AC53" i="7"/>
  <c r="N53" i="7"/>
  <c r="L53" i="7"/>
  <c r="M53" i="7" s="1"/>
  <c r="I53" i="7"/>
  <c r="AC52" i="7"/>
  <c r="N52" i="7"/>
  <c r="L52" i="7"/>
  <c r="M52" i="7" s="1"/>
  <c r="I52" i="7"/>
  <c r="AC51" i="7"/>
  <c r="N51" i="7"/>
  <c r="L51" i="7"/>
  <c r="M51" i="7" s="1"/>
  <c r="I51" i="7"/>
  <c r="AC50" i="7"/>
  <c r="N50" i="7"/>
  <c r="L50" i="7"/>
  <c r="M50" i="7" s="1"/>
  <c r="I50" i="7"/>
  <c r="AC49" i="7"/>
  <c r="N49" i="7"/>
  <c r="L49" i="7"/>
  <c r="M49" i="7" s="1"/>
  <c r="I49" i="7"/>
  <c r="AC48" i="7"/>
  <c r="N48" i="7"/>
  <c r="L48" i="7"/>
  <c r="M48" i="7" s="1"/>
  <c r="I48" i="7"/>
  <c r="AC47" i="7"/>
  <c r="N47" i="7"/>
  <c r="L47" i="7"/>
  <c r="M47" i="7" s="1"/>
  <c r="I47" i="7"/>
  <c r="AC46" i="7"/>
  <c r="N46" i="7"/>
  <c r="L46" i="7"/>
  <c r="M46" i="7" s="1"/>
  <c r="I46" i="7"/>
  <c r="AC45" i="7"/>
  <c r="N45" i="7"/>
  <c r="L45" i="7"/>
  <c r="M45" i="7" s="1"/>
  <c r="I45" i="7"/>
  <c r="AC44" i="7"/>
  <c r="N44" i="7"/>
  <c r="L44" i="7"/>
  <c r="M44" i="7" s="1"/>
  <c r="I44" i="7"/>
  <c r="AC43" i="7"/>
  <c r="N43" i="7"/>
  <c r="L43" i="7"/>
  <c r="M43" i="7" s="1"/>
  <c r="I43" i="7"/>
  <c r="AC42" i="7"/>
  <c r="N42" i="7"/>
  <c r="L42" i="7"/>
  <c r="M42" i="7" s="1"/>
  <c r="I42" i="7"/>
  <c r="AC41" i="7"/>
  <c r="N41" i="7"/>
  <c r="L41" i="7"/>
  <c r="M41" i="7" s="1"/>
  <c r="I41" i="7"/>
  <c r="AC40" i="7"/>
  <c r="N40" i="7"/>
  <c r="L40" i="7"/>
  <c r="M40" i="7" s="1"/>
  <c r="I40" i="7"/>
  <c r="AC39" i="7"/>
  <c r="N39" i="7"/>
  <c r="L39" i="7"/>
  <c r="M39" i="7" s="1"/>
  <c r="I39" i="7"/>
  <c r="AC38" i="7"/>
  <c r="N38" i="7"/>
  <c r="L38" i="7"/>
  <c r="M38" i="7" s="1"/>
  <c r="I38" i="7"/>
  <c r="AC37" i="7"/>
  <c r="N37" i="7"/>
  <c r="L37" i="7"/>
  <c r="M37" i="7" s="1"/>
  <c r="I37" i="7"/>
  <c r="AC36" i="7"/>
  <c r="N36" i="7"/>
  <c r="L36" i="7"/>
  <c r="M36" i="7" s="1"/>
  <c r="I36" i="7"/>
  <c r="AC35" i="7"/>
  <c r="N35" i="7"/>
  <c r="L35" i="7"/>
  <c r="M35" i="7" s="1"/>
  <c r="I35" i="7"/>
  <c r="AC34" i="7"/>
  <c r="N34" i="7"/>
  <c r="L34" i="7"/>
  <c r="M34" i="7" s="1"/>
  <c r="I34" i="7"/>
  <c r="AC33" i="7"/>
  <c r="N33" i="7"/>
  <c r="L33" i="7"/>
  <c r="M33" i="7" s="1"/>
  <c r="I33" i="7"/>
  <c r="AC32" i="7"/>
  <c r="N32" i="7"/>
  <c r="L32" i="7"/>
  <c r="M32" i="7" s="1"/>
  <c r="I32" i="7"/>
  <c r="AC31" i="7"/>
  <c r="N31" i="7"/>
  <c r="L31" i="7"/>
  <c r="M31" i="7" s="1"/>
  <c r="I31" i="7"/>
  <c r="AC30" i="7"/>
  <c r="N30" i="7"/>
  <c r="L30" i="7"/>
  <c r="M30" i="7" s="1"/>
  <c r="I30" i="7"/>
  <c r="AC29" i="7"/>
  <c r="N29" i="7"/>
  <c r="L29" i="7"/>
  <c r="M29" i="7" s="1"/>
  <c r="I29" i="7"/>
  <c r="AC28" i="7"/>
  <c r="N28" i="7"/>
  <c r="L28" i="7"/>
  <c r="M28" i="7" s="1"/>
  <c r="I28" i="7"/>
  <c r="AC27" i="7"/>
  <c r="N27" i="7"/>
  <c r="L27" i="7"/>
  <c r="M27" i="7" s="1"/>
  <c r="I27" i="7"/>
  <c r="AC26" i="7"/>
  <c r="N26" i="7"/>
  <c r="L26" i="7"/>
  <c r="M26" i="7" s="1"/>
  <c r="I26" i="7"/>
  <c r="AC25" i="7"/>
  <c r="N25" i="7"/>
  <c r="L25" i="7"/>
  <c r="M25" i="7" s="1"/>
  <c r="I25" i="7"/>
  <c r="AC24" i="7"/>
  <c r="N24" i="7"/>
  <c r="L24" i="7"/>
  <c r="M24" i="7" s="1"/>
  <c r="I24" i="7"/>
  <c r="AC23" i="7"/>
  <c r="N23" i="7"/>
  <c r="L23" i="7"/>
  <c r="M23" i="7" s="1"/>
  <c r="I23" i="7"/>
  <c r="AC22" i="7"/>
  <c r="N22" i="7"/>
  <c r="L22" i="7"/>
  <c r="M22" i="7" s="1"/>
  <c r="I22" i="7"/>
  <c r="AC21" i="7"/>
  <c r="N21" i="7"/>
  <c r="L21" i="7"/>
  <c r="M21" i="7" s="1"/>
  <c r="I21" i="7"/>
  <c r="AC20" i="7"/>
  <c r="N20" i="7"/>
  <c r="L20" i="7"/>
  <c r="M20" i="7" s="1"/>
  <c r="I20" i="7"/>
  <c r="AC19" i="7"/>
  <c r="N19" i="7"/>
  <c r="L19" i="7"/>
  <c r="M19" i="7" s="1"/>
  <c r="I19" i="7"/>
  <c r="AC18" i="7"/>
  <c r="N18" i="7"/>
  <c r="L18" i="7"/>
  <c r="M18" i="7" s="1"/>
  <c r="I18" i="7"/>
  <c r="AC17" i="7"/>
  <c r="N17" i="7"/>
  <c r="L17" i="7"/>
  <c r="M17" i="7" s="1"/>
  <c r="I17" i="7"/>
  <c r="AC16" i="7"/>
  <c r="N16" i="7"/>
  <c r="L16" i="7"/>
  <c r="M16" i="7" s="1"/>
  <c r="I16" i="7"/>
  <c r="AC15" i="7"/>
  <c r="N15" i="7"/>
  <c r="L15" i="7"/>
  <c r="M15" i="7" s="1"/>
  <c r="I15" i="7"/>
  <c r="AC14" i="7"/>
  <c r="N14" i="7"/>
  <c r="L14" i="7"/>
  <c r="M14" i="7" s="1"/>
  <c r="I14" i="7"/>
  <c r="AC13" i="7"/>
  <c r="N13" i="7"/>
  <c r="L13" i="7"/>
  <c r="M13" i="7" s="1"/>
  <c r="I13" i="7"/>
  <c r="AC12" i="7"/>
  <c r="N12" i="7"/>
  <c r="L12" i="7"/>
  <c r="M12" i="7" s="1"/>
  <c r="I12" i="7"/>
  <c r="AC11" i="7"/>
  <c r="N11" i="7"/>
  <c r="L11" i="7"/>
  <c r="M11" i="7" s="1"/>
  <c r="I11" i="7"/>
  <c r="AC10" i="7"/>
  <c r="L10" i="7"/>
  <c r="M10" i="7" s="1"/>
  <c r="I10" i="7"/>
  <c r="AC9" i="7"/>
  <c r="L9" i="7"/>
  <c r="M9" i="7" s="1"/>
  <c r="I9" i="7"/>
  <c r="AC8" i="7"/>
  <c r="I8" i="7"/>
  <c r="AC7" i="7"/>
  <c r="I7" i="7"/>
  <c r="Y425" i="6"/>
  <c r="W425" i="6"/>
  <c r="V425" i="6"/>
  <c r="E425" i="6"/>
  <c r="Y424" i="6"/>
  <c r="W424" i="6"/>
  <c r="V424" i="6"/>
  <c r="E424" i="6"/>
  <c r="Y423" i="6"/>
  <c r="W423" i="6"/>
  <c r="V423" i="6"/>
  <c r="E423" i="6"/>
  <c r="Y422" i="6"/>
  <c r="W422" i="6"/>
  <c r="V422" i="6"/>
  <c r="E422" i="6"/>
  <c r="Y421" i="6"/>
  <c r="W421" i="6"/>
  <c r="V421" i="6"/>
  <c r="E421" i="6"/>
  <c r="Y420" i="6"/>
  <c r="W420" i="6"/>
  <c r="V420" i="6"/>
  <c r="E420" i="6"/>
  <c r="Y419" i="6"/>
  <c r="W419" i="6"/>
  <c r="V419" i="6"/>
  <c r="E419" i="6"/>
  <c r="Y418" i="6"/>
  <c r="W418" i="6"/>
  <c r="V418" i="6"/>
  <c r="E418" i="6"/>
  <c r="Y417" i="6"/>
  <c r="W417" i="6"/>
  <c r="V417" i="6"/>
  <c r="E417" i="6"/>
  <c r="Y416" i="6"/>
  <c r="W416" i="6"/>
  <c r="V416" i="6"/>
  <c r="E416" i="6"/>
  <c r="Y415" i="6"/>
  <c r="W415" i="6"/>
  <c r="V415" i="6"/>
  <c r="E415" i="6"/>
  <c r="Y414" i="6"/>
  <c r="W414" i="6"/>
  <c r="V414" i="6"/>
  <c r="E414" i="6"/>
  <c r="Y413" i="6"/>
  <c r="W413" i="6"/>
  <c r="V413" i="6"/>
  <c r="E413" i="6"/>
  <c r="Y412" i="6"/>
  <c r="W412" i="6"/>
  <c r="V412" i="6"/>
  <c r="E412" i="6"/>
  <c r="Y411" i="6"/>
  <c r="W411" i="6"/>
  <c r="V411" i="6"/>
  <c r="E411" i="6"/>
  <c r="Y410" i="6"/>
  <c r="W410" i="6"/>
  <c r="V410" i="6"/>
  <c r="E410" i="6"/>
  <c r="Y409" i="6"/>
  <c r="W409" i="6"/>
  <c r="V409" i="6"/>
  <c r="E409" i="6"/>
  <c r="Y408" i="6"/>
  <c r="W408" i="6"/>
  <c r="V408" i="6"/>
  <c r="E408" i="6"/>
  <c r="Y407" i="6"/>
  <c r="W407" i="6"/>
  <c r="V407" i="6"/>
  <c r="E407" i="6"/>
  <c r="Y406" i="6"/>
  <c r="W406" i="6"/>
  <c r="V406" i="6"/>
  <c r="E406" i="6"/>
  <c r="Y405" i="6"/>
  <c r="W405" i="6"/>
  <c r="V405" i="6"/>
  <c r="E405" i="6"/>
  <c r="Y404" i="6"/>
  <c r="W404" i="6"/>
  <c r="V404" i="6"/>
  <c r="E404" i="6"/>
  <c r="Y403" i="6"/>
  <c r="W403" i="6"/>
  <c r="V403" i="6"/>
  <c r="E403" i="6"/>
  <c r="Y402" i="6"/>
  <c r="W402" i="6"/>
  <c r="V402" i="6"/>
  <c r="E402" i="6"/>
  <c r="Y401" i="6"/>
  <c r="W401" i="6"/>
  <c r="V401" i="6"/>
  <c r="E401" i="6"/>
  <c r="Y400" i="6"/>
  <c r="W400" i="6"/>
  <c r="V400" i="6"/>
  <c r="E400" i="6"/>
  <c r="Y399" i="6"/>
  <c r="W399" i="6"/>
  <c r="V399" i="6"/>
  <c r="E399" i="6"/>
  <c r="Y398" i="6"/>
  <c r="W398" i="6"/>
  <c r="V398" i="6"/>
  <c r="E398" i="6"/>
  <c r="Y397" i="6"/>
  <c r="W397" i="6"/>
  <c r="V397" i="6"/>
  <c r="E397" i="6"/>
  <c r="Y396" i="6"/>
  <c r="W396" i="6"/>
  <c r="V396" i="6"/>
  <c r="E396" i="6"/>
  <c r="Y395" i="6"/>
  <c r="W395" i="6"/>
  <c r="V395" i="6"/>
  <c r="E395" i="6"/>
  <c r="Y394" i="6"/>
  <c r="W394" i="6"/>
  <c r="V394" i="6"/>
  <c r="E394" i="6"/>
  <c r="Y393" i="6"/>
  <c r="W393" i="6"/>
  <c r="V393" i="6"/>
  <c r="E393" i="6"/>
  <c r="Y392" i="6"/>
  <c r="W392" i="6"/>
  <c r="V392" i="6"/>
  <c r="E392" i="6"/>
  <c r="Y391" i="6"/>
  <c r="W391" i="6"/>
  <c r="V391" i="6"/>
  <c r="E391" i="6"/>
  <c r="Y390" i="6"/>
  <c r="W390" i="6"/>
  <c r="V390" i="6"/>
  <c r="E390" i="6"/>
  <c r="Y389" i="6"/>
  <c r="W389" i="6"/>
  <c r="V389" i="6"/>
  <c r="E389" i="6"/>
  <c r="Y388" i="6"/>
  <c r="W388" i="6"/>
  <c r="V388" i="6"/>
  <c r="E388" i="6"/>
  <c r="Y387" i="6"/>
  <c r="W387" i="6"/>
  <c r="V387" i="6"/>
  <c r="E387" i="6"/>
  <c r="Y386" i="6"/>
  <c r="W386" i="6"/>
  <c r="V386" i="6"/>
  <c r="E386" i="6"/>
  <c r="Y385" i="6"/>
  <c r="W385" i="6"/>
  <c r="V385" i="6"/>
  <c r="E385" i="6"/>
  <c r="Y384" i="6"/>
  <c r="W384" i="6"/>
  <c r="V384" i="6"/>
  <c r="E384" i="6"/>
  <c r="Y383" i="6"/>
  <c r="W383" i="6"/>
  <c r="V383" i="6"/>
  <c r="E383" i="6"/>
  <c r="Y382" i="6"/>
  <c r="W382" i="6"/>
  <c r="V382" i="6"/>
  <c r="E382" i="6"/>
  <c r="Y381" i="6"/>
  <c r="W381" i="6"/>
  <c r="V381" i="6"/>
  <c r="E381" i="6"/>
  <c r="Y380" i="6"/>
  <c r="W380" i="6"/>
  <c r="V380" i="6"/>
  <c r="E380" i="6"/>
  <c r="Y379" i="6"/>
  <c r="W379" i="6"/>
  <c r="V379" i="6"/>
  <c r="E379" i="6"/>
  <c r="Y378" i="6"/>
  <c r="W378" i="6"/>
  <c r="V378" i="6"/>
  <c r="E378" i="6"/>
  <c r="Y377" i="6"/>
  <c r="W377" i="6"/>
  <c r="V377" i="6"/>
  <c r="E377" i="6"/>
  <c r="Y376" i="6"/>
  <c r="W376" i="6"/>
  <c r="V376" i="6"/>
  <c r="E376" i="6"/>
  <c r="Y375" i="6"/>
  <c r="W375" i="6"/>
  <c r="V375" i="6"/>
  <c r="E375" i="6"/>
  <c r="Y374" i="6"/>
  <c r="W374" i="6"/>
  <c r="V374" i="6"/>
  <c r="E374" i="6"/>
  <c r="Y373" i="6"/>
  <c r="W373" i="6"/>
  <c r="V373" i="6"/>
  <c r="E373" i="6"/>
  <c r="Y372" i="6"/>
  <c r="W372" i="6"/>
  <c r="V372" i="6"/>
  <c r="E372" i="6"/>
  <c r="Y371" i="6"/>
  <c r="W371" i="6"/>
  <c r="V371" i="6"/>
  <c r="E371" i="6"/>
  <c r="Y370" i="6"/>
  <c r="W370" i="6"/>
  <c r="V370" i="6"/>
  <c r="E370" i="6"/>
  <c r="Y369" i="6"/>
  <c r="W369" i="6"/>
  <c r="V369" i="6"/>
  <c r="E369" i="6"/>
  <c r="Y368" i="6"/>
  <c r="W368" i="6"/>
  <c r="V368" i="6"/>
  <c r="E368" i="6"/>
  <c r="Y367" i="6"/>
  <c r="W367" i="6"/>
  <c r="V367" i="6"/>
  <c r="E367" i="6"/>
  <c r="Y366" i="6"/>
  <c r="W366" i="6"/>
  <c r="V366" i="6"/>
  <c r="E366" i="6"/>
  <c r="Y365" i="6"/>
  <c r="W365" i="6"/>
  <c r="V365" i="6"/>
  <c r="E365" i="6"/>
  <c r="Y364" i="6"/>
  <c r="W364" i="6"/>
  <c r="V364" i="6"/>
  <c r="E364" i="6"/>
  <c r="Y363" i="6"/>
  <c r="W363" i="6"/>
  <c r="V363" i="6"/>
  <c r="E363" i="6"/>
  <c r="Y362" i="6"/>
  <c r="W362" i="6"/>
  <c r="V362" i="6"/>
  <c r="E362" i="6"/>
  <c r="Y361" i="6"/>
  <c r="W361" i="6"/>
  <c r="V361" i="6"/>
  <c r="E361" i="6"/>
  <c r="Y360" i="6"/>
  <c r="W360" i="6"/>
  <c r="V360" i="6"/>
  <c r="E360" i="6"/>
  <c r="Y359" i="6"/>
  <c r="W359" i="6"/>
  <c r="V359" i="6"/>
  <c r="E359" i="6"/>
  <c r="Y358" i="6"/>
  <c r="W358" i="6"/>
  <c r="V358" i="6"/>
  <c r="E358" i="6"/>
  <c r="Y357" i="6"/>
  <c r="W357" i="6"/>
  <c r="V357" i="6"/>
  <c r="E357" i="6"/>
  <c r="Y356" i="6"/>
  <c r="W356" i="6"/>
  <c r="V356" i="6"/>
  <c r="E356" i="6"/>
  <c r="Y355" i="6"/>
  <c r="W355" i="6"/>
  <c r="V355" i="6"/>
  <c r="E355" i="6"/>
  <c r="Y354" i="6"/>
  <c r="W354" i="6"/>
  <c r="V354" i="6"/>
  <c r="E354" i="6"/>
  <c r="Y353" i="6"/>
  <c r="W353" i="6"/>
  <c r="V353" i="6"/>
  <c r="E353" i="6"/>
  <c r="Y352" i="6"/>
  <c r="W352" i="6"/>
  <c r="V352" i="6"/>
  <c r="E352" i="6"/>
  <c r="Y351" i="6"/>
  <c r="W351" i="6"/>
  <c r="V351" i="6"/>
  <c r="E351" i="6"/>
  <c r="Y350" i="6"/>
  <c r="W350" i="6"/>
  <c r="V350" i="6"/>
  <c r="E350" i="6"/>
  <c r="Y349" i="6"/>
  <c r="W349" i="6"/>
  <c r="V349" i="6"/>
  <c r="E349" i="6"/>
  <c r="Y348" i="6"/>
  <c r="W348" i="6"/>
  <c r="V348" i="6"/>
  <c r="E348" i="6"/>
  <c r="Y347" i="6"/>
  <c r="W347" i="6"/>
  <c r="V347" i="6"/>
  <c r="E347" i="6"/>
  <c r="Y346" i="6"/>
  <c r="W346" i="6"/>
  <c r="V346" i="6"/>
  <c r="E346" i="6"/>
  <c r="Y345" i="6"/>
  <c r="W345" i="6"/>
  <c r="V345" i="6"/>
  <c r="E345" i="6"/>
  <c r="Y344" i="6"/>
  <c r="W344" i="6"/>
  <c r="V344" i="6"/>
  <c r="E344" i="6"/>
  <c r="Y343" i="6"/>
  <c r="W343" i="6"/>
  <c r="V343" i="6"/>
  <c r="E343" i="6"/>
  <c r="Y342" i="6"/>
  <c r="W342" i="6"/>
  <c r="V342" i="6"/>
  <c r="E342" i="6"/>
  <c r="Y341" i="6"/>
  <c r="W341" i="6"/>
  <c r="V341" i="6"/>
  <c r="E341" i="6"/>
  <c r="Y340" i="6"/>
  <c r="W340" i="6"/>
  <c r="V340" i="6"/>
  <c r="E340" i="6"/>
  <c r="Y339" i="6"/>
  <c r="W339" i="6"/>
  <c r="V339" i="6"/>
  <c r="E339" i="6"/>
  <c r="Y338" i="6"/>
  <c r="W338" i="6"/>
  <c r="V338" i="6"/>
  <c r="E338" i="6"/>
  <c r="Y337" i="6"/>
  <c r="W337" i="6"/>
  <c r="V337" i="6"/>
  <c r="E337" i="6"/>
  <c r="Y336" i="6"/>
  <c r="W336" i="6"/>
  <c r="V336" i="6"/>
  <c r="E336" i="6"/>
  <c r="Y335" i="6"/>
  <c r="W335" i="6"/>
  <c r="V335" i="6"/>
  <c r="E335" i="6"/>
  <c r="Y334" i="6"/>
  <c r="W334" i="6"/>
  <c r="V334" i="6"/>
  <c r="E334" i="6"/>
  <c r="Y333" i="6"/>
  <c r="W333" i="6"/>
  <c r="V333" i="6"/>
  <c r="E333" i="6"/>
  <c r="Y332" i="6"/>
  <c r="W332" i="6"/>
  <c r="V332" i="6"/>
  <c r="E332" i="6"/>
  <c r="Y331" i="6"/>
  <c r="W331" i="6"/>
  <c r="V331" i="6"/>
  <c r="E331" i="6"/>
  <c r="Y330" i="6"/>
  <c r="W330" i="6"/>
  <c r="V330" i="6"/>
  <c r="E330" i="6"/>
  <c r="Y329" i="6"/>
  <c r="W329" i="6"/>
  <c r="V329" i="6"/>
  <c r="E329" i="6"/>
  <c r="Y328" i="6"/>
  <c r="W328" i="6"/>
  <c r="V328" i="6"/>
  <c r="E328" i="6"/>
  <c r="Y327" i="6"/>
  <c r="W327" i="6"/>
  <c r="V327" i="6"/>
  <c r="E327" i="6"/>
  <c r="Y326" i="6"/>
  <c r="W326" i="6"/>
  <c r="V326" i="6"/>
  <c r="E326" i="6"/>
  <c r="Y325" i="6"/>
  <c r="W325" i="6"/>
  <c r="V325" i="6"/>
  <c r="E325" i="6"/>
  <c r="Y324" i="6"/>
  <c r="W324" i="6"/>
  <c r="V324" i="6"/>
  <c r="E324" i="6"/>
  <c r="Y323" i="6"/>
  <c r="W323" i="6"/>
  <c r="V323" i="6"/>
  <c r="E323" i="6"/>
  <c r="Y322" i="6"/>
  <c r="W322" i="6"/>
  <c r="V322" i="6"/>
  <c r="E322" i="6"/>
  <c r="Y321" i="6"/>
  <c r="W321" i="6"/>
  <c r="V321" i="6"/>
  <c r="E321" i="6"/>
  <c r="Y320" i="6"/>
  <c r="W320" i="6"/>
  <c r="V320" i="6"/>
  <c r="E320" i="6"/>
  <c r="Y319" i="6"/>
  <c r="W319" i="6"/>
  <c r="V319" i="6"/>
  <c r="E319" i="6"/>
  <c r="Y318" i="6"/>
  <c r="W318" i="6"/>
  <c r="V318" i="6"/>
  <c r="E318" i="6"/>
  <c r="Y317" i="6"/>
  <c r="W317" i="6"/>
  <c r="V317" i="6"/>
  <c r="E317" i="6"/>
  <c r="Y316" i="6"/>
  <c r="W316" i="6"/>
  <c r="V316" i="6"/>
  <c r="E316" i="6"/>
  <c r="Y315" i="6"/>
  <c r="W315" i="6"/>
  <c r="V315" i="6"/>
  <c r="E315" i="6"/>
  <c r="Y314" i="6"/>
  <c r="W314" i="6"/>
  <c r="V314" i="6"/>
  <c r="E314" i="6"/>
  <c r="Y313" i="6"/>
  <c r="W313" i="6"/>
  <c r="V313" i="6"/>
  <c r="E313" i="6"/>
  <c r="Y312" i="6"/>
  <c r="W312" i="6"/>
  <c r="V312" i="6"/>
  <c r="E312" i="6"/>
  <c r="Y311" i="6"/>
  <c r="W311" i="6"/>
  <c r="V311" i="6"/>
  <c r="E311" i="6"/>
  <c r="Y310" i="6"/>
  <c r="W310" i="6"/>
  <c r="V310" i="6"/>
  <c r="E310" i="6"/>
  <c r="Y309" i="6"/>
  <c r="W309" i="6"/>
  <c r="V309" i="6"/>
  <c r="E309" i="6"/>
  <c r="Y308" i="6"/>
  <c r="W308" i="6"/>
  <c r="V308" i="6"/>
  <c r="E308" i="6"/>
  <c r="Y307" i="6"/>
  <c r="W307" i="6"/>
  <c r="V307" i="6"/>
  <c r="E307" i="6"/>
  <c r="Y306" i="6"/>
  <c r="W306" i="6"/>
  <c r="V306" i="6"/>
  <c r="E306" i="6"/>
  <c r="Y305" i="6"/>
  <c r="W305" i="6"/>
  <c r="V305" i="6"/>
  <c r="E305" i="6"/>
  <c r="Y304" i="6"/>
  <c r="W304" i="6"/>
  <c r="V304" i="6"/>
  <c r="E304" i="6"/>
  <c r="Y303" i="6"/>
  <c r="W303" i="6"/>
  <c r="V303" i="6"/>
  <c r="E303" i="6"/>
  <c r="Y302" i="6"/>
  <c r="W302" i="6"/>
  <c r="V302" i="6"/>
  <c r="E302" i="6"/>
  <c r="Y301" i="6"/>
  <c r="W301" i="6"/>
  <c r="V301" i="6"/>
  <c r="E301" i="6"/>
  <c r="Y300" i="6"/>
  <c r="W300" i="6"/>
  <c r="V300" i="6"/>
  <c r="E300" i="6"/>
  <c r="Y299" i="6"/>
  <c r="W299" i="6"/>
  <c r="V299" i="6"/>
  <c r="E299" i="6"/>
  <c r="Y298" i="6"/>
  <c r="W298" i="6"/>
  <c r="V298" i="6"/>
  <c r="E298" i="6"/>
  <c r="Y297" i="6"/>
  <c r="W297" i="6"/>
  <c r="V297" i="6"/>
  <c r="E297" i="6"/>
  <c r="Y296" i="6"/>
  <c r="W296" i="6"/>
  <c r="V296" i="6"/>
  <c r="E296" i="6"/>
  <c r="Y295" i="6"/>
  <c r="W295" i="6"/>
  <c r="V295" i="6"/>
  <c r="E295" i="6"/>
  <c r="Y294" i="6"/>
  <c r="W294" i="6"/>
  <c r="V294" i="6"/>
  <c r="E294" i="6"/>
  <c r="Y293" i="6"/>
  <c r="W293" i="6"/>
  <c r="V293" i="6"/>
  <c r="E293" i="6"/>
  <c r="Y292" i="6"/>
  <c r="W292" i="6"/>
  <c r="V292" i="6"/>
  <c r="E292" i="6"/>
  <c r="Y291" i="6"/>
  <c r="W291" i="6"/>
  <c r="V291" i="6"/>
  <c r="E291" i="6"/>
  <c r="Y290" i="6"/>
  <c r="W290" i="6"/>
  <c r="V290" i="6"/>
  <c r="E290" i="6"/>
  <c r="Y289" i="6"/>
  <c r="W289" i="6"/>
  <c r="V289" i="6"/>
  <c r="E289" i="6"/>
  <c r="Y288" i="6"/>
  <c r="W288" i="6"/>
  <c r="V288" i="6"/>
  <c r="E288" i="6"/>
  <c r="Y287" i="6"/>
  <c r="W287" i="6"/>
  <c r="V287" i="6"/>
  <c r="E287" i="6"/>
  <c r="Y286" i="6"/>
  <c r="W286" i="6"/>
  <c r="V286" i="6"/>
  <c r="E286" i="6"/>
  <c r="Y285" i="6"/>
  <c r="W285" i="6"/>
  <c r="V285" i="6"/>
  <c r="E285" i="6"/>
  <c r="Y284" i="6"/>
  <c r="W284" i="6"/>
  <c r="V284" i="6"/>
  <c r="E284" i="6"/>
  <c r="Y283" i="6"/>
  <c r="W283" i="6"/>
  <c r="V283" i="6"/>
  <c r="E283" i="6"/>
  <c r="Y282" i="6"/>
  <c r="W282" i="6"/>
  <c r="V282" i="6"/>
  <c r="E282" i="6"/>
  <c r="Y281" i="6"/>
  <c r="W281" i="6"/>
  <c r="V281" i="6"/>
  <c r="E281" i="6"/>
  <c r="Y280" i="6"/>
  <c r="W280" i="6"/>
  <c r="V280" i="6"/>
  <c r="E280" i="6"/>
  <c r="Y279" i="6"/>
  <c r="W279" i="6"/>
  <c r="V279" i="6"/>
  <c r="E279" i="6"/>
  <c r="Y278" i="6"/>
  <c r="W278" i="6"/>
  <c r="V278" i="6"/>
  <c r="E278" i="6"/>
  <c r="Y277" i="6"/>
  <c r="W277" i="6"/>
  <c r="V277" i="6"/>
  <c r="E277" i="6"/>
  <c r="Y276" i="6"/>
  <c r="W276" i="6"/>
  <c r="V276" i="6"/>
  <c r="E276" i="6"/>
  <c r="Y275" i="6"/>
  <c r="W275" i="6"/>
  <c r="V275" i="6"/>
  <c r="E275" i="6"/>
  <c r="Y274" i="6"/>
  <c r="W274" i="6"/>
  <c r="V274" i="6"/>
  <c r="E274" i="6"/>
  <c r="Y273" i="6"/>
  <c r="W273" i="6"/>
  <c r="V273" i="6"/>
  <c r="E273" i="6"/>
  <c r="Y272" i="6"/>
  <c r="W272" i="6"/>
  <c r="V272" i="6"/>
  <c r="E272" i="6"/>
  <c r="Y271" i="6"/>
  <c r="W271" i="6"/>
  <c r="V271" i="6"/>
  <c r="E271" i="6"/>
  <c r="Y270" i="6"/>
  <c r="W270" i="6"/>
  <c r="V270" i="6"/>
  <c r="E270" i="6"/>
  <c r="Y269" i="6"/>
  <c r="W269" i="6"/>
  <c r="V269" i="6"/>
  <c r="E269" i="6"/>
  <c r="Y268" i="6"/>
  <c r="W268" i="6"/>
  <c r="V268" i="6"/>
  <c r="E268" i="6"/>
  <c r="Y267" i="6"/>
  <c r="W267" i="6"/>
  <c r="V267" i="6"/>
  <c r="E267" i="6"/>
  <c r="Y266" i="6"/>
  <c r="W266" i="6"/>
  <c r="V266" i="6"/>
  <c r="E266" i="6"/>
  <c r="Y265" i="6"/>
  <c r="W265" i="6"/>
  <c r="V265" i="6"/>
  <c r="E265" i="6"/>
  <c r="Y264" i="6"/>
  <c r="W264" i="6"/>
  <c r="V264" i="6"/>
  <c r="E264" i="6"/>
  <c r="Y263" i="6"/>
  <c r="W263" i="6"/>
  <c r="V263" i="6"/>
  <c r="E263" i="6"/>
  <c r="Y262" i="6"/>
  <c r="W262" i="6"/>
  <c r="V262" i="6"/>
  <c r="E262" i="6"/>
  <c r="Y261" i="6"/>
  <c r="W261" i="6"/>
  <c r="V261" i="6"/>
  <c r="E261" i="6"/>
  <c r="Y260" i="6"/>
  <c r="W260" i="6"/>
  <c r="V260" i="6"/>
  <c r="E260" i="6"/>
  <c r="Y259" i="6"/>
  <c r="W259" i="6"/>
  <c r="V259" i="6"/>
  <c r="E259" i="6"/>
  <c r="Y258" i="6"/>
  <c r="W258" i="6"/>
  <c r="V258" i="6"/>
  <c r="E258" i="6"/>
  <c r="Y257" i="6"/>
  <c r="W257" i="6"/>
  <c r="V257" i="6"/>
  <c r="E257" i="6"/>
  <c r="Y256" i="6"/>
  <c r="W256" i="6"/>
  <c r="V256" i="6"/>
  <c r="E256" i="6"/>
  <c r="Y255" i="6"/>
  <c r="W255" i="6"/>
  <c r="V255" i="6"/>
  <c r="E255" i="6"/>
  <c r="Y254" i="6"/>
  <c r="W254" i="6"/>
  <c r="V254" i="6"/>
  <c r="E254" i="6"/>
  <c r="Y253" i="6"/>
  <c r="W253" i="6"/>
  <c r="V253" i="6"/>
  <c r="E253" i="6"/>
  <c r="Y252" i="6"/>
  <c r="W252" i="6"/>
  <c r="V252" i="6"/>
  <c r="E252" i="6"/>
  <c r="Y251" i="6"/>
  <c r="W251" i="6"/>
  <c r="V251" i="6"/>
  <c r="E251" i="6"/>
  <c r="Y250" i="6"/>
  <c r="W250" i="6"/>
  <c r="V250" i="6"/>
  <c r="E250" i="6"/>
  <c r="Y249" i="6"/>
  <c r="W249" i="6"/>
  <c r="V249" i="6"/>
  <c r="E249" i="6"/>
  <c r="Y248" i="6"/>
  <c r="W248" i="6"/>
  <c r="V248" i="6"/>
  <c r="E248" i="6"/>
  <c r="Y247" i="6"/>
  <c r="W247" i="6"/>
  <c r="V247" i="6"/>
  <c r="E247" i="6"/>
  <c r="Y246" i="6"/>
  <c r="W246" i="6"/>
  <c r="V246" i="6"/>
  <c r="E246" i="6"/>
  <c r="Y245" i="6"/>
  <c r="W245" i="6"/>
  <c r="V245" i="6"/>
  <c r="E245" i="6"/>
  <c r="Y244" i="6"/>
  <c r="W244" i="6"/>
  <c r="V244" i="6"/>
  <c r="E244" i="6"/>
  <c r="Y243" i="6"/>
  <c r="W243" i="6"/>
  <c r="V243" i="6"/>
  <c r="E243" i="6"/>
  <c r="Y242" i="6"/>
  <c r="W242" i="6"/>
  <c r="V242" i="6"/>
  <c r="E242" i="6"/>
  <c r="Y241" i="6"/>
  <c r="W241" i="6"/>
  <c r="V241" i="6"/>
  <c r="E241" i="6"/>
  <c r="Y240" i="6"/>
  <c r="W240" i="6"/>
  <c r="V240" i="6"/>
  <c r="E240" i="6"/>
  <c r="Y239" i="6"/>
  <c r="W239" i="6"/>
  <c r="V239" i="6"/>
  <c r="E239" i="6"/>
  <c r="Y238" i="6"/>
  <c r="W238" i="6"/>
  <c r="V238" i="6"/>
  <c r="E238" i="6"/>
  <c r="Y237" i="6"/>
  <c r="W237" i="6"/>
  <c r="V237" i="6"/>
  <c r="E237" i="6"/>
  <c r="Y236" i="6"/>
  <c r="W236" i="6"/>
  <c r="V236" i="6"/>
  <c r="E236" i="6"/>
  <c r="Y235" i="6"/>
  <c r="W235" i="6"/>
  <c r="V235" i="6"/>
  <c r="E235" i="6"/>
  <c r="Y234" i="6"/>
  <c r="W234" i="6"/>
  <c r="V234" i="6"/>
  <c r="E234" i="6"/>
  <c r="Y233" i="6"/>
  <c r="W233" i="6"/>
  <c r="V233" i="6"/>
  <c r="E233" i="6"/>
  <c r="Y232" i="6"/>
  <c r="W232" i="6"/>
  <c r="V232" i="6"/>
  <c r="E232" i="6"/>
  <c r="Y231" i="6"/>
  <c r="W231" i="6"/>
  <c r="V231" i="6"/>
  <c r="E231" i="6"/>
  <c r="Y230" i="6"/>
  <c r="W230" i="6"/>
  <c r="V230" i="6"/>
  <c r="E230" i="6"/>
  <c r="Y229" i="6"/>
  <c r="W229" i="6"/>
  <c r="V229" i="6"/>
  <c r="E229" i="6"/>
  <c r="Y228" i="6"/>
  <c r="W228" i="6"/>
  <c r="V228" i="6"/>
  <c r="E228" i="6"/>
  <c r="Y227" i="6"/>
  <c r="W227" i="6"/>
  <c r="V227" i="6"/>
  <c r="E227" i="6"/>
  <c r="Y226" i="6"/>
  <c r="W226" i="6"/>
  <c r="V226" i="6"/>
  <c r="E226" i="6"/>
  <c r="Y225" i="6"/>
  <c r="W225" i="6"/>
  <c r="V225" i="6"/>
  <c r="E225" i="6"/>
  <c r="Y224" i="6"/>
  <c r="W224" i="6"/>
  <c r="V224" i="6"/>
  <c r="E224" i="6"/>
  <c r="Y223" i="6"/>
  <c r="W223" i="6"/>
  <c r="V223" i="6"/>
  <c r="E223" i="6"/>
  <c r="Y222" i="6"/>
  <c r="W222" i="6"/>
  <c r="V222" i="6"/>
  <c r="E222" i="6"/>
  <c r="Y221" i="6"/>
  <c r="W221" i="6"/>
  <c r="V221" i="6"/>
  <c r="E221" i="6"/>
  <c r="Y220" i="6"/>
  <c r="W220" i="6"/>
  <c r="V220" i="6"/>
  <c r="E220" i="6"/>
  <c r="Y219" i="6"/>
  <c r="W219" i="6"/>
  <c r="V219" i="6"/>
  <c r="E219" i="6"/>
  <c r="Y218" i="6"/>
  <c r="W218" i="6"/>
  <c r="V218" i="6"/>
  <c r="E218" i="6"/>
  <c r="Y217" i="6"/>
  <c r="W217" i="6"/>
  <c r="V217" i="6"/>
  <c r="E217" i="6"/>
  <c r="Y216" i="6"/>
  <c r="W216" i="6"/>
  <c r="V216" i="6"/>
  <c r="E216" i="6"/>
  <c r="Y215" i="6"/>
  <c r="W215" i="6"/>
  <c r="V215" i="6"/>
  <c r="E215" i="6"/>
  <c r="Y214" i="6"/>
  <c r="W214" i="6"/>
  <c r="V214" i="6"/>
  <c r="E214" i="6"/>
  <c r="Y213" i="6"/>
  <c r="W213" i="6"/>
  <c r="V213" i="6"/>
  <c r="E213" i="6"/>
  <c r="Y212" i="6"/>
  <c r="W212" i="6"/>
  <c r="V212" i="6"/>
  <c r="E212" i="6"/>
  <c r="Y211" i="6"/>
  <c r="W211" i="6"/>
  <c r="V211" i="6"/>
  <c r="E211" i="6"/>
  <c r="Y210" i="6"/>
  <c r="W210" i="6"/>
  <c r="V210" i="6"/>
  <c r="E210" i="6"/>
  <c r="Y209" i="6"/>
  <c r="W209" i="6"/>
  <c r="V209" i="6"/>
  <c r="E209" i="6"/>
  <c r="Y208" i="6"/>
  <c r="W208" i="6"/>
  <c r="V208" i="6"/>
  <c r="E208" i="6"/>
  <c r="Y207" i="6"/>
  <c r="W207" i="6"/>
  <c r="V207" i="6"/>
  <c r="E207" i="6"/>
  <c r="Y206" i="6"/>
  <c r="W206" i="6"/>
  <c r="V206" i="6"/>
  <c r="E206" i="6"/>
  <c r="Y205" i="6"/>
  <c r="W205" i="6"/>
  <c r="V205" i="6"/>
  <c r="E205" i="6"/>
  <c r="Y204" i="6"/>
  <c r="W204" i="6"/>
  <c r="V204" i="6"/>
  <c r="E204" i="6"/>
  <c r="Y203" i="6"/>
  <c r="W203" i="6"/>
  <c r="V203" i="6"/>
  <c r="E203" i="6"/>
  <c r="Y202" i="6"/>
  <c r="W202" i="6"/>
  <c r="V202" i="6"/>
  <c r="E202" i="6"/>
  <c r="Y201" i="6"/>
  <c r="W201" i="6"/>
  <c r="V201" i="6"/>
  <c r="E201" i="6"/>
  <c r="Y200" i="6"/>
  <c r="W200" i="6"/>
  <c r="V200" i="6"/>
  <c r="E200" i="6"/>
  <c r="Y199" i="6"/>
  <c r="W199" i="6"/>
  <c r="V199" i="6"/>
  <c r="E199" i="6"/>
  <c r="Y198" i="6"/>
  <c r="W198" i="6"/>
  <c r="V198" i="6"/>
  <c r="E198" i="6"/>
  <c r="Y197" i="6"/>
  <c r="W197" i="6"/>
  <c r="V197" i="6"/>
  <c r="E197" i="6"/>
  <c r="Y196" i="6"/>
  <c r="W196" i="6"/>
  <c r="V196" i="6"/>
  <c r="E196" i="6"/>
  <c r="Y195" i="6"/>
  <c r="W195" i="6"/>
  <c r="V195" i="6"/>
  <c r="E195" i="6"/>
  <c r="Y194" i="6"/>
  <c r="W194" i="6"/>
  <c r="V194" i="6"/>
  <c r="E194" i="6"/>
  <c r="Y193" i="6"/>
  <c r="W193" i="6"/>
  <c r="V193" i="6"/>
  <c r="E193" i="6"/>
  <c r="Y192" i="6"/>
  <c r="W192" i="6"/>
  <c r="V192" i="6"/>
  <c r="E192" i="6"/>
  <c r="Y191" i="6"/>
  <c r="W191" i="6"/>
  <c r="V191" i="6"/>
  <c r="E191" i="6"/>
  <c r="Y190" i="6"/>
  <c r="W190" i="6"/>
  <c r="V190" i="6"/>
  <c r="E190" i="6"/>
  <c r="Y189" i="6"/>
  <c r="W189" i="6"/>
  <c r="V189" i="6"/>
  <c r="E189" i="6"/>
  <c r="Y188" i="6"/>
  <c r="W188" i="6"/>
  <c r="V188" i="6"/>
  <c r="E188" i="6"/>
  <c r="Y187" i="6"/>
  <c r="W187" i="6"/>
  <c r="V187" i="6"/>
  <c r="E187" i="6"/>
  <c r="Y186" i="6"/>
  <c r="W186" i="6"/>
  <c r="V186" i="6"/>
  <c r="E186" i="6"/>
  <c r="Y185" i="6"/>
  <c r="W185" i="6"/>
  <c r="V185" i="6"/>
  <c r="E185" i="6"/>
  <c r="Y184" i="6"/>
  <c r="W184" i="6"/>
  <c r="V184" i="6"/>
  <c r="E184" i="6"/>
  <c r="Y183" i="6"/>
  <c r="W183" i="6"/>
  <c r="V183" i="6"/>
  <c r="E183" i="6"/>
  <c r="Y182" i="6"/>
  <c r="W182" i="6"/>
  <c r="V182" i="6"/>
  <c r="E182" i="6"/>
  <c r="Y181" i="6"/>
  <c r="W181" i="6"/>
  <c r="V181" i="6"/>
  <c r="E181" i="6"/>
  <c r="Y180" i="6"/>
  <c r="W180" i="6"/>
  <c r="V180" i="6"/>
  <c r="E180" i="6"/>
  <c r="Y179" i="6"/>
  <c r="W179" i="6"/>
  <c r="V179" i="6"/>
  <c r="E179" i="6"/>
  <c r="Y178" i="6"/>
  <c r="W178" i="6"/>
  <c r="V178" i="6"/>
  <c r="E178" i="6"/>
  <c r="Y177" i="6"/>
  <c r="W177" i="6"/>
  <c r="V177" i="6"/>
  <c r="E177" i="6"/>
  <c r="Y176" i="6"/>
  <c r="W176" i="6"/>
  <c r="V176" i="6"/>
  <c r="E176" i="6"/>
  <c r="Y175" i="6"/>
  <c r="W175" i="6"/>
  <c r="V175" i="6"/>
  <c r="E175" i="6"/>
  <c r="Y174" i="6"/>
  <c r="W174" i="6"/>
  <c r="V174" i="6"/>
  <c r="E174" i="6"/>
  <c r="Y173" i="6"/>
  <c r="W173" i="6"/>
  <c r="V173" i="6"/>
  <c r="E173" i="6"/>
  <c r="Y172" i="6"/>
  <c r="W172" i="6"/>
  <c r="V172" i="6"/>
  <c r="E172" i="6"/>
  <c r="Y171" i="6"/>
  <c r="W171" i="6"/>
  <c r="V171" i="6"/>
  <c r="E171" i="6"/>
  <c r="Y170" i="6"/>
  <c r="W170" i="6"/>
  <c r="V170" i="6"/>
  <c r="E170" i="6"/>
  <c r="Y169" i="6"/>
  <c r="W169" i="6"/>
  <c r="V169" i="6"/>
  <c r="E169" i="6"/>
  <c r="Y168" i="6"/>
  <c r="W168" i="6"/>
  <c r="V168" i="6"/>
  <c r="E168" i="6"/>
  <c r="Y167" i="6"/>
  <c r="W167" i="6"/>
  <c r="V167" i="6"/>
  <c r="E167" i="6"/>
  <c r="Y166" i="6"/>
  <c r="W166" i="6"/>
  <c r="V166" i="6"/>
  <c r="E166" i="6"/>
  <c r="Y165" i="6"/>
  <c r="W165" i="6"/>
  <c r="V165" i="6"/>
  <c r="E165" i="6"/>
  <c r="Y164" i="6"/>
  <c r="W164" i="6"/>
  <c r="V164" i="6"/>
  <c r="E164" i="6"/>
  <c r="Y163" i="6"/>
  <c r="W163" i="6"/>
  <c r="V163" i="6"/>
  <c r="E163" i="6"/>
  <c r="Y162" i="6"/>
  <c r="W162" i="6"/>
  <c r="V162" i="6"/>
  <c r="E162" i="6"/>
  <c r="Y161" i="6"/>
  <c r="W161" i="6"/>
  <c r="V161" i="6"/>
  <c r="E161" i="6"/>
  <c r="Y160" i="6"/>
  <c r="W160" i="6"/>
  <c r="V160" i="6"/>
  <c r="E160" i="6"/>
  <c r="Y159" i="6"/>
  <c r="W159" i="6"/>
  <c r="V159" i="6"/>
  <c r="E159" i="6"/>
  <c r="Y158" i="6"/>
  <c r="W158" i="6"/>
  <c r="V158" i="6"/>
  <c r="E158" i="6"/>
  <c r="Y157" i="6"/>
  <c r="W157" i="6"/>
  <c r="V157" i="6"/>
  <c r="E157" i="6"/>
  <c r="Y156" i="6"/>
  <c r="W156" i="6"/>
  <c r="V156" i="6"/>
  <c r="E156" i="6"/>
  <c r="Y155" i="6"/>
  <c r="W155" i="6"/>
  <c r="V155" i="6"/>
  <c r="E155" i="6"/>
  <c r="Y154" i="6"/>
  <c r="W154" i="6"/>
  <c r="V154" i="6"/>
  <c r="E154" i="6"/>
  <c r="Y153" i="6"/>
  <c r="W153" i="6"/>
  <c r="V153" i="6"/>
  <c r="E153" i="6"/>
  <c r="Y152" i="6"/>
  <c r="W152" i="6"/>
  <c r="V152" i="6"/>
  <c r="E152" i="6"/>
  <c r="Y151" i="6"/>
  <c r="W151" i="6"/>
  <c r="V151" i="6"/>
  <c r="E151" i="6"/>
  <c r="Y150" i="6"/>
  <c r="W150" i="6"/>
  <c r="V150" i="6"/>
  <c r="E150" i="6"/>
  <c r="Y149" i="6"/>
  <c r="W149" i="6"/>
  <c r="V149" i="6"/>
  <c r="E149" i="6"/>
  <c r="Y148" i="6"/>
  <c r="W148" i="6"/>
  <c r="V148" i="6"/>
  <c r="E148" i="6"/>
  <c r="Y147" i="6"/>
  <c r="W147" i="6"/>
  <c r="V147" i="6"/>
  <c r="E147" i="6"/>
  <c r="Y146" i="6"/>
  <c r="W146" i="6"/>
  <c r="V146" i="6"/>
  <c r="E146" i="6"/>
  <c r="Y145" i="6"/>
  <c r="W145" i="6"/>
  <c r="V145" i="6"/>
  <c r="E145" i="6"/>
  <c r="Y144" i="6"/>
  <c r="W144" i="6"/>
  <c r="V144" i="6"/>
  <c r="E144" i="6"/>
  <c r="Y143" i="6"/>
  <c r="W143" i="6"/>
  <c r="V143" i="6"/>
  <c r="E143" i="6"/>
  <c r="Y142" i="6"/>
  <c r="W142" i="6"/>
  <c r="V142" i="6"/>
  <c r="E142" i="6"/>
  <c r="Y141" i="6"/>
  <c r="W141" i="6"/>
  <c r="V141" i="6"/>
  <c r="E141" i="6"/>
  <c r="Y140" i="6"/>
  <c r="W140" i="6"/>
  <c r="V140" i="6"/>
  <c r="E140" i="6"/>
  <c r="Y139" i="6"/>
  <c r="W139" i="6"/>
  <c r="V139" i="6"/>
  <c r="E139" i="6"/>
  <c r="Y138" i="6"/>
  <c r="W138" i="6"/>
  <c r="V138" i="6"/>
  <c r="E138" i="6"/>
  <c r="Y137" i="6"/>
  <c r="W137" i="6"/>
  <c r="V137" i="6"/>
  <c r="E137" i="6"/>
  <c r="Y136" i="6"/>
  <c r="W136" i="6"/>
  <c r="V136" i="6"/>
  <c r="E136" i="6"/>
  <c r="Y135" i="6"/>
  <c r="W135" i="6"/>
  <c r="V135" i="6"/>
  <c r="E135" i="6"/>
  <c r="Y134" i="6"/>
  <c r="W134" i="6"/>
  <c r="V134" i="6"/>
  <c r="E134" i="6"/>
  <c r="Y133" i="6"/>
  <c r="W133" i="6"/>
  <c r="V133" i="6"/>
  <c r="E133" i="6"/>
  <c r="Y132" i="6"/>
  <c r="W132" i="6"/>
  <c r="V132" i="6"/>
  <c r="E132" i="6"/>
  <c r="Y131" i="6"/>
  <c r="W131" i="6"/>
  <c r="V131" i="6"/>
  <c r="E131" i="6"/>
  <c r="Y130" i="6"/>
  <c r="W130" i="6"/>
  <c r="V130" i="6"/>
  <c r="E130" i="6"/>
  <c r="Y129" i="6"/>
  <c r="W129" i="6"/>
  <c r="V129" i="6"/>
  <c r="E129" i="6"/>
  <c r="Y128" i="6"/>
  <c r="W128" i="6"/>
  <c r="V128" i="6"/>
  <c r="E128" i="6"/>
  <c r="Y127" i="6"/>
  <c r="W127" i="6"/>
  <c r="V127" i="6"/>
  <c r="E127" i="6"/>
  <c r="Y126" i="6"/>
  <c r="W126" i="6"/>
  <c r="V126" i="6"/>
  <c r="E126" i="6"/>
  <c r="Y125" i="6"/>
  <c r="W125" i="6"/>
  <c r="V125" i="6"/>
  <c r="E125" i="6"/>
  <c r="Y124" i="6"/>
  <c r="W124" i="6"/>
  <c r="V124" i="6"/>
  <c r="E124" i="6"/>
  <c r="Y123" i="6"/>
  <c r="W123" i="6"/>
  <c r="V123" i="6"/>
  <c r="E123" i="6"/>
  <c r="Y122" i="6"/>
  <c r="W122" i="6"/>
  <c r="V122" i="6"/>
  <c r="E122" i="6"/>
  <c r="Y121" i="6"/>
  <c r="W121" i="6"/>
  <c r="V121" i="6"/>
  <c r="E121" i="6"/>
  <c r="Y120" i="6"/>
  <c r="W120" i="6"/>
  <c r="V120" i="6"/>
  <c r="E120" i="6"/>
  <c r="Y119" i="6"/>
  <c r="W119" i="6"/>
  <c r="V119" i="6"/>
  <c r="E119" i="6"/>
  <c r="Y118" i="6"/>
  <c r="W118" i="6"/>
  <c r="V118" i="6"/>
  <c r="E118" i="6"/>
  <c r="Y117" i="6"/>
  <c r="W117" i="6"/>
  <c r="V117" i="6"/>
  <c r="E117" i="6"/>
  <c r="Y116" i="6"/>
  <c r="W116" i="6"/>
  <c r="V116" i="6"/>
  <c r="E116" i="6"/>
  <c r="Y115" i="6"/>
  <c r="W115" i="6"/>
  <c r="V115" i="6"/>
  <c r="E115" i="6"/>
  <c r="Y114" i="6"/>
  <c r="W114" i="6"/>
  <c r="V114" i="6"/>
  <c r="E114" i="6"/>
  <c r="Y113" i="6"/>
  <c r="W113" i="6"/>
  <c r="V113" i="6"/>
  <c r="E113" i="6"/>
  <c r="Y112" i="6"/>
  <c r="W112" i="6"/>
  <c r="V112" i="6"/>
  <c r="E112" i="6"/>
  <c r="Y111" i="6"/>
  <c r="W111" i="6"/>
  <c r="V111" i="6"/>
  <c r="E111" i="6"/>
  <c r="Y110" i="6"/>
  <c r="W110" i="6"/>
  <c r="V110" i="6"/>
  <c r="E110" i="6"/>
  <c r="Y109" i="6"/>
  <c r="W109" i="6"/>
  <c r="V109" i="6"/>
  <c r="E109" i="6"/>
  <c r="Y108" i="6"/>
  <c r="W108" i="6"/>
  <c r="V108" i="6"/>
  <c r="E108" i="6"/>
  <c r="Y107" i="6"/>
  <c r="W107" i="6"/>
  <c r="V107" i="6"/>
  <c r="E107" i="6"/>
  <c r="Y106" i="6"/>
  <c r="W106" i="6"/>
  <c r="V106" i="6"/>
  <c r="E106" i="6"/>
  <c r="Y105" i="6"/>
  <c r="W105" i="6"/>
  <c r="V105" i="6"/>
  <c r="E105" i="6"/>
  <c r="Y104" i="6"/>
  <c r="W104" i="6"/>
  <c r="V104" i="6"/>
  <c r="E104" i="6"/>
  <c r="Y103" i="6"/>
  <c r="W103" i="6"/>
  <c r="V103" i="6"/>
  <c r="E103" i="6"/>
  <c r="Y102" i="6"/>
  <c r="W102" i="6"/>
  <c r="V102" i="6"/>
  <c r="E102" i="6"/>
  <c r="Y101" i="6"/>
  <c r="W101" i="6"/>
  <c r="V101" i="6"/>
  <c r="E101" i="6"/>
  <c r="Y100" i="6"/>
  <c r="W100" i="6"/>
  <c r="V100" i="6"/>
  <c r="E100" i="6"/>
  <c r="Y99" i="6"/>
  <c r="W99" i="6"/>
  <c r="V99" i="6"/>
  <c r="E99" i="6"/>
  <c r="Y98" i="6"/>
  <c r="W98" i="6"/>
  <c r="V98" i="6"/>
  <c r="E98" i="6"/>
  <c r="Y97" i="6"/>
  <c r="W97" i="6"/>
  <c r="V97" i="6"/>
  <c r="E97" i="6"/>
  <c r="Y96" i="6"/>
  <c r="W96" i="6"/>
  <c r="V96" i="6"/>
  <c r="E96" i="6"/>
  <c r="Y95" i="6"/>
  <c r="W95" i="6"/>
  <c r="V95" i="6"/>
  <c r="E95" i="6"/>
  <c r="Y94" i="6"/>
  <c r="W94" i="6"/>
  <c r="V94" i="6"/>
  <c r="E94" i="6"/>
  <c r="Y93" i="6"/>
  <c r="W93" i="6"/>
  <c r="V93" i="6"/>
  <c r="E93" i="6"/>
  <c r="Y92" i="6"/>
  <c r="W92" i="6"/>
  <c r="V92" i="6"/>
  <c r="E92" i="6"/>
  <c r="Y91" i="6"/>
  <c r="W91" i="6"/>
  <c r="V91" i="6"/>
  <c r="E91" i="6"/>
  <c r="Y90" i="6"/>
  <c r="W90" i="6"/>
  <c r="V90" i="6"/>
  <c r="E90" i="6"/>
  <c r="Y89" i="6"/>
  <c r="W89" i="6"/>
  <c r="V89" i="6"/>
  <c r="E89" i="6"/>
  <c r="Y88" i="6"/>
  <c r="W88" i="6"/>
  <c r="V88" i="6"/>
  <c r="E88" i="6"/>
  <c r="Y87" i="6"/>
  <c r="W87" i="6"/>
  <c r="V87" i="6"/>
  <c r="E87" i="6"/>
  <c r="Y86" i="6"/>
  <c r="W86" i="6"/>
  <c r="V86" i="6"/>
  <c r="E86" i="6"/>
  <c r="Y85" i="6"/>
  <c r="W85" i="6"/>
  <c r="V85" i="6"/>
  <c r="E85" i="6"/>
  <c r="Y84" i="6"/>
  <c r="W84" i="6"/>
  <c r="V84" i="6"/>
  <c r="E84" i="6"/>
  <c r="Y83" i="6"/>
  <c r="W83" i="6"/>
  <c r="V83" i="6"/>
  <c r="E83" i="6"/>
  <c r="Y82" i="6"/>
  <c r="W82" i="6"/>
  <c r="V82" i="6"/>
  <c r="E82" i="6"/>
  <c r="Y81" i="6"/>
  <c r="W81" i="6"/>
  <c r="V81" i="6"/>
  <c r="E81" i="6"/>
  <c r="Y80" i="6"/>
  <c r="W80" i="6"/>
  <c r="V80" i="6"/>
  <c r="E80" i="6"/>
  <c r="Y79" i="6"/>
  <c r="W79" i="6"/>
  <c r="V79" i="6"/>
  <c r="E79" i="6"/>
  <c r="Y78" i="6"/>
  <c r="W78" i="6"/>
  <c r="V78" i="6"/>
  <c r="E78" i="6"/>
  <c r="Y77" i="6"/>
  <c r="W77" i="6"/>
  <c r="V77" i="6"/>
  <c r="E77" i="6"/>
  <c r="Y76" i="6"/>
  <c r="W76" i="6"/>
  <c r="V76" i="6"/>
  <c r="E76" i="6"/>
  <c r="Y75" i="6"/>
  <c r="W75" i="6"/>
  <c r="V75" i="6"/>
  <c r="E75" i="6"/>
  <c r="Y74" i="6"/>
  <c r="W74" i="6"/>
  <c r="V74" i="6"/>
  <c r="E74" i="6"/>
  <c r="Y73" i="6"/>
  <c r="W73" i="6"/>
  <c r="V73" i="6"/>
  <c r="E73" i="6"/>
  <c r="Y72" i="6"/>
  <c r="W72" i="6"/>
  <c r="V72" i="6"/>
  <c r="E72" i="6"/>
  <c r="Y71" i="6"/>
  <c r="W71" i="6"/>
  <c r="V71" i="6"/>
  <c r="E71" i="6"/>
  <c r="Y70" i="6"/>
  <c r="W70" i="6"/>
  <c r="V70" i="6"/>
  <c r="E70" i="6"/>
  <c r="Y69" i="6"/>
  <c r="W69" i="6"/>
  <c r="V69" i="6"/>
  <c r="E69" i="6"/>
  <c r="Y68" i="6"/>
  <c r="W68" i="6"/>
  <c r="V68" i="6"/>
  <c r="E68" i="6"/>
  <c r="Y67" i="6"/>
  <c r="W67" i="6"/>
  <c r="V67" i="6"/>
  <c r="E67" i="6"/>
  <c r="Y66" i="6"/>
  <c r="W66" i="6"/>
  <c r="V66" i="6"/>
  <c r="E66" i="6"/>
  <c r="Y65" i="6"/>
  <c r="W65" i="6"/>
  <c r="V65" i="6"/>
  <c r="E65" i="6"/>
  <c r="Y64" i="6"/>
  <c r="W64" i="6"/>
  <c r="V64" i="6"/>
  <c r="E64" i="6"/>
  <c r="Y63" i="6"/>
  <c r="W63" i="6"/>
  <c r="V63" i="6"/>
  <c r="E63" i="6"/>
  <c r="Y62" i="6"/>
  <c r="W62" i="6"/>
  <c r="V62" i="6"/>
  <c r="E62" i="6"/>
  <c r="Y61" i="6"/>
  <c r="W61" i="6"/>
  <c r="V61" i="6"/>
  <c r="E61" i="6"/>
  <c r="Y60" i="6"/>
  <c r="W60" i="6"/>
  <c r="V60" i="6"/>
  <c r="E60" i="6"/>
  <c r="Y59" i="6"/>
  <c r="W59" i="6"/>
  <c r="V59" i="6"/>
  <c r="E59" i="6"/>
  <c r="Y58" i="6"/>
  <c r="W58" i="6"/>
  <c r="V58" i="6"/>
  <c r="E58" i="6"/>
  <c r="Y57" i="6"/>
  <c r="W57" i="6"/>
  <c r="V57" i="6"/>
  <c r="E57" i="6"/>
  <c r="Y56" i="6"/>
  <c r="W56" i="6"/>
  <c r="V56" i="6"/>
  <c r="E56" i="6"/>
  <c r="Y55" i="6"/>
  <c r="W55" i="6"/>
  <c r="V55" i="6"/>
  <c r="E55" i="6"/>
  <c r="Y54" i="6"/>
  <c r="W54" i="6"/>
  <c r="V54" i="6"/>
  <c r="E54" i="6"/>
  <c r="Y53" i="6"/>
  <c r="W53" i="6"/>
  <c r="V53" i="6"/>
  <c r="E53" i="6"/>
  <c r="Y52" i="6"/>
  <c r="W52" i="6"/>
  <c r="V52" i="6"/>
  <c r="E52" i="6"/>
  <c r="Y51" i="6"/>
  <c r="W51" i="6"/>
  <c r="V51" i="6"/>
  <c r="E51" i="6"/>
  <c r="Y50" i="6"/>
  <c r="W50" i="6"/>
  <c r="V50" i="6"/>
  <c r="E50" i="6"/>
  <c r="Y49" i="6"/>
  <c r="W49" i="6"/>
  <c r="V49" i="6"/>
  <c r="E49" i="6"/>
  <c r="Y48" i="6"/>
  <c r="W48" i="6"/>
  <c r="V48" i="6"/>
  <c r="E48" i="6"/>
  <c r="Y47" i="6"/>
  <c r="W47" i="6"/>
  <c r="V47" i="6"/>
  <c r="E47" i="6"/>
  <c r="Y46" i="6"/>
  <c r="W46" i="6"/>
  <c r="V46" i="6"/>
  <c r="E46" i="6"/>
  <c r="Y45" i="6"/>
  <c r="W45" i="6"/>
  <c r="V45" i="6"/>
  <c r="E45" i="6"/>
  <c r="Y44" i="6"/>
  <c r="W44" i="6"/>
  <c r="V44" i="6"/>
  <c r="E44" i="6"/>
  <c r="Y43" i="6"/>
  <c r="W43" i="6"/>
  <c r="V43" i="6"/>
  <c r="E43" i="6"/>
  <c r="Y42" i="6"/>
  <c r="W42" i="6"/>
  <c r="V42" i="6"/>
  <c r="E42" i="6"/>
  <c r="Y41" i="6"/>
  <c r="W41" i="6"/>
  <c r="V41" i="6"/>
  <c r="E41" i="6"/>
  <c r="Y40" i="6"/>
  <c r="W40" i="6"/>
  <c r="V40" i="6"/>
  <c r="E40" i="6"/>
  <c r="Y39" i="6"/>
  <c r="W39" i="6"/>
  <c r="V39" i="6"/>
  <c r="E39" i="6"/>
  <c r="Y38" i="6"/>
  <c r="W38" i="6"/>
  <c r="V38" i="6"/>
  <c r="E38" i="6"/>
  <c r="Y37" i="6"/>
  <c r="W37" i="6"/>
  <c r="V37" i="6"/>
  <c r="E37" i="6"/>
  <c r="Y36" i="6"/>
  <c r="W36" i="6"/>
  <c r="V36" i="6"/>
  <c r="E36" i="6"/>
  <c r="Y35" i="6"/>
  <c r="W35" i="6"/>
  <c r="V35" i="6"/>
  <c r="E35" i="6"/>
  <c r="Y34" i="6"/>
  <c r="W34" i="6"/>
  <c r="V34" i="6"/>
  <c r="E34" i="6"/>
  <c r="Y33" i="6"/>
  <c r="W33" i="6"/>
  <c r="V33" i="6"/>
  <c r="E33" i="6"/>
  <c r="Y32" i="6"/>
  <c r="W32" i="6"/>
  <c r="V32" i="6"/>
  <c r="E32" i="6"/>
  <c r="Y31" i="6"/>
  <c r="W31" i="6"/>
  <c r="V31" i="6"/>
  <c r="E31" i="6"/>
  <c r="Y30" i="6"/>
  <c r="W30" i="6"/>
  <c r="E30" i="6"/>
  <c r="Y29" i="6"/>
  <c r="W29" i="6"/>
  <c r="E29" i="6"/>
  <c r="Y28" i="6"/>
  <c r="W28" i="6"/>
  <c r="E28" i="6"/>
  <c r="Y27" i="6"/>
  <c r="W27" i="6"/>
  <c r="E27" i="6"/>
  <c r="Y26" i="6"/>
  <c r="W26" i="6"/>
  <c r="E26" i="6"/>
  <c r="Y25" i="6"/>
  <c r="W25" i="6"/>
  <c r="E25" i="6"/>
  <c r="Y24" i="6"/>
  <c r="W24" i="6"/>
  <c r="E24" i="6"/>
  <c r="Y23" i="6"/>
  <c r="W23" i="6"/>
  <c r="E23" i="6"/>
  <c r="Y22" i="6"/>
  <c r="W22" i="6"/>
  <c r="E22" i="6"/>
  <c r="Y21" i="6"/>
  <c r="W21" i="6"/>
  <c r="E21" i="6"/>
  <c r="W20" i="6"/>
  <c r="E20" i="6"/>
  <c r="W19" i="6"/>
  <c r="E19" i="6"/>
  <c r="W18" i="6"/>
  <c r="E18" i="6"/>
  <c r="W17" i="6"/>
  <c r="E17" i="6"/>
  <c r="W16" i="6"/>
  <c r="E16" i="6"/>
  <c r="W15" i="6"/>
  <c r="E15" i="6"/>
  <c r="W14" i="6"/>
  <c r="E14" i="6"/>
  <c r="W13" i="6"/>
  <c r="E13" i="6"/>
  <c r="W12" i="6"/>
  <c r="E12" i="6"/>
  <c r="W11" i="6"/>
  <c r="E11" i="6"/>
  <c r="W10" i="6"/>
  <c r="E10" i="6"/>
  <c r="W9" i="6"/>
  <c r="E9" i="6"/>
  <c r="W8" i="6"/>
  <c r="E8" i="6"/>
  <c r="W7" i="6"/>
  <c r="E7" i="6"/>
  <c r="W6" i="6"/>
  <c r="E6" i="6"/>
  <c r="Q11" i="5"/>
  <c r="O11" i="5"/>
  <c r="M11" i="5"/>
  <c r="Q10" i="5"/>
  <c r="O10" i="5"/>
  <c r="M10" i="5"/>
  <c r="Q9" i="5"/>
  <c r="O9" i="5"/>
  <c r="M9" i="5"/>
  <c r="Q8" i="5"/>
  <c r="O8" i="5"/>
  <c r="M8" i="5"/>
  <c r="Q7" i="5"/>
  <c r="O7" i="5"/>
  <c r="M7" i="5"/>
  <c r="AC111" i="4"/>
  <c r="N111" i="4"/>
  <c r="L111" i="4"/>
  <c r="M111" i="4" s="1"/>
  <c r="I111" i="4"/>
  <c r="AC110" i="4"/>
  <c r="N110" i="4"/>
  <c r="L110" i="4"/>
  <c r="M110" i="4" s="1"/>
  <c r="I110" i="4"/>
  <c r="AC109" i="4"/>
  <c r="N109" i="4"/>
  <c r="L109" i="4"/>
  <c r="M109" i="4" s="1"/>
  <c r="I109" i="4"/>
  <c r="AC108" i="4"/>
  <c r="N108" i="4"/>
  <c r="L108" i="4"/>
  <c r="M108" i="4" s="1"/>
  <c r="I108" i="4"/>
  <c r="AC107" i="4"/>
  <c r="N107" i="4"/>
  <c r="L107" i="4"/>
  <c r="M107" i="4" s="1"/>
  <c r="I107" i="4"/>
  <c r="AC106" i="4"/>
  <c r="N106" i="4"/>
  <c r="L106" i="4"/>
  <c r="M106" i="4" s="1"/>
  <c r="I106" i="4"/>
  <c r="AC105" i="4"/>
  <c r="N105" i="4"/>
  <c r="L105" i="4"/>
  <c r="M105" i="4" s="1"/>
  <c r="I105" i="4"/>
  <c r="AC104" i="4"/>
  <c r="N104" i="4"/>
  <c r="L104" i="4"/>
  <c r="M104" i="4" s="1"/>
  <c r="I104" i="4"/>
  <c r="AC103" i="4"/>
  <c r="N103" i="4"/>
  <c r="L103" i="4"/>
  <c r="M103" i="4" s="1"/>
  <c r="I103" i="4"/>
  <c r="AC102" i="4"/>
  <c r="N102" i="4"/>
  <c r="L102" i="4"/>
  <c r="M102" i="4" s="1"/>
  <c r="I102" i="4"/>
  <c r="AC101" i="4"/>
  <c r="N101" i="4"/>
  <c r="L101" i="4"/>
  <c r="M101" i="4" s="1"/>
  <c r="I101" i="4"/>
  <c r="AC100" i="4"/>
  <c r="N100" i="4"/>
  <c r="L100" i="4"/>
  <c r="M100" i="4" s="1"/>
  <c r="I100" i="4"/>
  <c r="AC99" i="4"/>
  <c r="N99" i="4"/>
  <c r="L99" i="4"/>
  <c r="M99" i="4" s="1"/>
  <c r="I99" i="4"/>
  <c r="AC98" i="4"/>
  <c r="N98" i="4"/>
  <c r="L98" i="4"/>
  <c r="M98" i="4" s="1"/>
  <c r="I98" i="4"/>
  <c r="AC97" i="4"/>
  <c r="N97" i="4"/>
  <c r="L97" i="4"/>
  <c r="M97" i="4" s="1"/>
  <c r="I97" i="4"/>
  <c r="AC96" i="4"/>
  <c r="N96" i="4"/>
  <c r="L96" i="4"/>
  <c r="M96" i="4" s="1"/>
  <c r="I96" i="4"/>
  <c r="AC95" i="4"/>
  <c r="N95" i="4"/>
  <c r="L95" i="4"/>
  <c r="M95" i="4" s="1"/>
  <c r="I95" i="4"/>
  <c r="AC94" i="4"/>
  <c r="N94" i="4"/>
  <c r="L94" i="4"/>
  <c r="M94" i="4" s="1"/>
  <c r="I94" i="4"/>
  <c r="AC93" i="4"/>
  <c r="N93" i="4"/>
  <c r="L93" i="4"/>
  <c r="M93" i="4" s="1"/>
  <c r="I93" i="4"/>
  <c r="AC92" i="4"/>
  <c r="N92" i="4"/>
  <c r="L92" i="4"/>
  <c r="M92" i="4" s="1"/>
  <c r="I92" i="4"/>
  <c r="AC91" i="4"/>
  <c r="N91" i="4"/>
  <c r="L91" i="4"/>
  <c r="M91" i="4" s="1"/>
  <c r="I91" i="4"/>
  <c r="AC90" i="4"/>
  <c r="N90" i="4"/>
  <c r="L90" i="4"/>
  <c r="M90" i="4" s="1"/>
  <c r="I90" i="4"/>
  <c r="AC89" i="4"/>
  <c r="N89" i="4"/>
  <c r="L89" i="4"/>
  <c r="M89" i="4" s="1"/>
  <c r="I89" i="4"/>
  <c r="AC88" i="4"/>
  <c r="N88" i="4"/>
  <c r="L88" i="4"/>
  <c r="M88" i="4" s="1"/>
  <c r="I88" i="4"/>
  <c r="AC87" i="4"/>
  <c r="N87" i="4"/>
  <c r="L87" i="4"/>
  <c r="M87" i="4" s="1"/>
  <c r="I87" i="4"/>
  <c r="AE86" i="4"/>
  <c r="AC86" i="4"/>
  <c r="AF86" i="4" s="1"/>
  <c r="N86" i="4"/>
  <c r="L86" i="4"/>
  <c r="M86" i="4" s="1"/>
  <c r="I86" i="4"/>
  <c r="AC85" i="4"/>
  <c r="N85" i="4"/>
  <c r="L85" i="4"/>
  <c r="M85" i="4" s="1"/>
  <c r="I85" i="4"/>
  <c r="AC84" i="4"/>
  <c r="N84" i="4"/>
  <c r="L84" i="4"/>
  <c r="M84" i="4" s="1"/>
  <c r="I84" i="4"/>
  <c r="AC83" i="4"/>
  <c r="N83" i="4"/>
  <c r="L83" i="4"/>
  <c r="M83" i="4" s="1"/>
  <c r="I83" i="4"/>
  <c r="AC82" i="4"/>
  <c r="N82" i="4"/>
  <c r="L82" i="4"/>
  <c r="M82" i="4" s="1"/>
  <c r="I82" i="4"/>
  <c r="AC81" i="4"/>
  <c r="N81" i="4"/>
  <c r="L81" i="4"/>
  <c r="M81" i="4" s="1"/>
  <c r="I81" i="4"/>
  <c r="AC80" i="4"/>
  <c r="N80" i="4"/>
  <c r="L80" i="4"/>
  <c r="M80" i="4" s="1"/>
  <c r="I80" i="4"/>
  <c r="AC79" i="4"/>
  <c r="N79" i="4"/>
  <c r="L79" i="4"/>
  <c r="M79" i="4" s="1"/>
  <c r="I79" i="4"/>
  <c r="AC78" i="4"/>
  <c r="N78" i="4"/>
  <c r="L78" i="4"/>
  <c r="M78" i="4" s="1"/>
  <c r="I78" i="4"/>
  <c r="AC77" i="4"/>
  <c r="N77" i="4"/>
  <c r="L77" i="4"/>
  <c r="M77" i="4" s="1"/>
  <c r="I77" i="4"/>
  <c r="AC76" i="4"/>
  <c r="N76" i="4"/>
  <c r="L76" i="4"/>
  <c r="M76" i="4" s="1"/>
  <c r="I76" i="4"/>
  <c r="AC75" i="4"/>
  <c r="N75" i="4"/>
  <c r="L75" i="4"/>
  <c r="M75" i="4" s="1"/>
  <c r="I75" i="4"/>
  <c r="AC74" i="4"/>
  <c r="N74" i="4"/>
  <c r="L74" i="4"/>
  <c r="M74" i="4" s="1"/>
  <c r="I74" i="4"/>
  <c r="AC73" i="4"/>
  <c r="N73" i="4"/>
  <c r="L73" i="4"/>
  <c r="M73" i="4" s="1"/>
  <c r="I73" i="4"/>
  <c r="AC72" i="4"/>
  <c r="N72" i="4"/>
  <c r="L72" i="4"/>
  <c r="M72" i="4" s="1"/>
  <c r="I72" i="4"/>
  <c r="AC71" i="4"/>
  <c r="N71" i="4"/>
  <c r="L71" i="4"/>
  <c r="M71" i="4" s="1"/>
  <c r="I71" i="4"/>
  <c r="AC70" i="4"/>
  <c r="N70" i="4"/>
  <c r="L70" i="4"/>
  <c r="M70" i="4" s="1"/>
  <c r="I70" i="4"/>
  <c r="AC69" i="4"/>
  <c r="N69" i="4"/>
  <c r="L69" i="4"/>
  <c r="M69" i="4" s="1"/>
  <c r="I69" i="4"/>
  <c r="AC68" i="4"/>
  <c r="N68" i="4"/>
  <c r="L68" i="4"/>
  <c r="M68" i="4" s="1"/>
  <c r="I68" i="4"/>
  <c r="AC67" i="4"/>
  <c r="N67" i="4"/>
  <c r="L67" i="4"/>
  <c r="M67" i="4" s="1"/>
  <c r="I67" i="4"/>
  <c r="AC66" i="4"/>
  <c r="N66" i="4"/>
  <c r="L66" i="4"/>
  <c r="M66" i="4" s="1"/>
  <c r="I66" i="4"/>
  <c r="AC65" i="4"/>
  <c r="N65" i="4"/>
  <c r="L65" i="4"/>
  <c r="M65" i="4" s="1"/>
  <c r="I65" i="4"/>
  <c r="AC64" i="4"/>
  <c r="N64" i="4"/>
  <c r="L64" i="4"/>
  <c r="M64" i="4" s="1"/>
  <c r="I64" i="4"/>
  <c r="AC63" i="4"/>
  <c r="N63" i="4"/>
  <c r="L63" i="4"/>
  <c r="M63" i="4" s="1"/>
  <c r="I63" i="4"/>
  <c r="AC62" i="4"/>
  <c r="N62" i="4"/>
  <c r="L62" i="4"/>
  <c r="M62" i="4" s="1"/>
  <c r="I62" i="4"/>
  <c r="AC61" i="4"/>
  <c r="N61" i="4"/>
  <c r="L61" i="4"/>
  <c r="M61" i="4" s="1"/>
  <c r="I61" i="4"/>
  <c r="AC60" i="4"/>
  <c r="N60" i="4"/>
  <c r="L60" i="4"/>
  <c r="M60" i="4" s="1"/>
  <c r="I60" i="4"/>
  <c r="AC59" i="4"/>
  <c r="N59" i="4"/>
  <c r="L59" i="4"/>
  <c r="M59" i="4" s="1"/>
  <c r="I59" i="4"/>
  <c r="AC58" i="4"/>
  <c r="N58" i="4"/>
  <c r="L58" i="4"/>
  <c r="M58" i="4" s="1"/>
  <c r="I58" i="4"/>
  <c r="AC57" i="4"/>
  <c r="N57" i="4"/>
  <c r="L57" i="4"/>
  <c r="M57" i="4" s="1"/>
  <c r="I57" i="4"/>
  <c r="AC56" i="4"/>
  <c r="N56" i="4"/>
  <c r="L56" i="4"/>
  <c r="M56" i="4" s="1"/>
  <c r="I56" i="4"/>
  <c r="AC55" i="4"/>
  <c r="N55" i="4"/>
  <c r="L55" i="4"/>
  <c r="M55" i="4" s="1"/>
  <c r="I55" i="4"/>
  <c r="AC54" i="4"/>
  <c r="N54" i="4"/>
  <c r="L54" i="4"/>
  <c r="M54" i="4" s="1"/>
  <c r="I54" i="4"/>
  <c r="AC53" i="4"/>
  <c r="N53" i="4"/>
  <c r="L53" i="4"/>
  <c r="M53" i="4" s="1"/>
  <c r="I53" i="4"/>
  <c r="AC52" i="4"/>
  <c r="N52" i="4"/>
  <c r="L52" i="4"/>
  <c r="M52" i="4" s="1"/>
  <c r="I52" i="4"/>
  <c r="AC51" i="4"/>
  <c r="N51" i="4"/>
  <c r="L51" i="4"/>
  <c r="M51" i="4" s="1"/>
  <c r="I51" i="4"/>
  <c r="AC50" i="4"/>
  <c r="N50" i="4"/>
  <c r="L50" i="4"/>
  <c r="M50" i="4" s="1"/>
  <c r="I50" i="4"/>
  <c r="AC49" i="4"/>
  <c r="N49" i="4"/>
  <c r="L49" i="4"/>
  <c r="M49" i="4" s="1"/>
  <c r="I49" i="4"/>
  <c r="AC48" i="4"/>
  <c r="N48" i="4"/>
  <c r="L48" i="4"/>
  <c r="M48" i="4" s="1"/>
  <c r="I48" i="4"/>
  <c r="AC47" i="4"/>
  <c r="N47" i="4"/>
  <c r="L47" i="4"/>
  <c r="M47" i="4" s="1"/>
  <c r="I47" i="4"/>
  <c r="AC46" i="4"/>
  <c r="N46" i="4"/>
  <c r="L46" i="4"/>
  <c r="M46" i="4" s="1"/>
  <c r="I46" i="4"/>
  <c r="AC45" i="4"/>
  <c r="N45" i="4"/>
  <c r="L45" i="4"/>
  <c r="M45" i="4" s="1"/>
  <c r="I45" i="4"/>
  <c r="AC44" i="4"/>
  <c r="N44" i="4"/>
  <c r="L44" i="4"/>
  <c r="M44" i="4" s="1"/>
  <c r="I44" i="4"/>
  <c r="AC43" i="4"/>
  <c r="N43" i="4"/>
  <c r="L43" i="4"/>
  <c r="M43" i="4" s="1"/>
  <c r="I43" i="4"/>
  <c r="AC42" i="4"/>
  <c r="N42" i="4"/>
  <c r="L42" i="4"/>
  <c r="M42" i="4" s="1"/>
  <c r="I42" i="4"/>
  <c r="AC41" i="4"/>
  <c r="N41" i="4"/>
  <c r="L41" i="4"/>
  <c r="M41" i="4" s="1"/>
  <c r="I41" i="4"/>
  <c r="AC40" i="4"/>
  <c r="N40" i="4"/>
  <c r="L40" i="4"/>
  <c r="M40" i="4" s="1"/>
  <c r="I40" i="4"/>
  <c r="AC39" i="4"/>
  <c r="N39" i="4"/>
  <c r="L39" i="4"/>
  <c r="M39" i="4" s="1"/>
  <c r="I39" i="4"/>
  <c r="AC38" i="4"/>
  <c r="N38" i="4"/>
  <c r="L38" i="4"/>
  <c r="M38" i="4" s="1"/>
  <c r="I38" i="4"/>
  <c r="AC37" i="4"/>
  <c r="N37" i="4"/>
  <c r="L37" i="4"/>
  <c r="M37" i="4" s="1"/>
  <c r="I37" i="4"/>
  <c r="AC36" i="4"/>
  <c r="N36" i="4"/>
  <c r="L36" i="4"/>
  <c r="M36" i="4" s="1"/>
  <c r="I36" i="4"/>
  <c r="AC35" i="4"/>
  <c r="N35" i="4"/>
  <c r="L35" i="4"/>
  <c r="M35" i="4" s="1"/>
  <c r="I35" i="4"/>
  <c r="AC34" i="4"/>
  <c r="N34" i="4"/>
  <c r="L34" i="4"/>
  <c r="M34" i="4" s="1"/>
  <c r="I34" i="4"/>
  <c r="AC33" i="4"/>
  <c r="N33" i="4"/>
  <c r="L33" i="4"/>
  <c r="M33" i="4" s="1"/>
  <c r="I33" i="4"/>
  <c r="AC32" i="4"/>
  <c r="N32" i="4"/>
  <c r="L32" i="4"/>
  <c r="M32" i="4" s="1"/>
  <c r="I32" i="4"/>
  <c r="AC31" i="4"/>
  <c r="N31" i="4"/>
  <c r="L31" i="4"/>
  <c r="M31" i="4" s="1"/>
  <c r="I31" i="4"/>
  <c r="AC30" i="4"/>
  <c r="N30" i="4"/>
  <c r="L30" i="4"/>
  <c r="M30" i="4" s="1"/>
  <c r="I30" i="4"/>
  <c r="AE29" i="4"/>
  <c r="AC29" i="4"/>
  <c r="AF29" i="4" s="1"/>
  <c r="N29" i="4"/>
  <c r="L29" i="4"/>
  <c r="M29" i="4" s="1"/>
  <c r="I29" i="4"/>
  <c r="AC28" i="4"/>
  <c r="N28" i="4"/>
  <c r="L28" i="4"/>
  <c r="M28" i="4" s="1"/>
  <c r="I28" i="4"/>
  <c r="AC27" i="4"/>
  <c r="N27" i="4"/>
  <c r="L27" i="4"/>
  <c r="M27" i="4" s="1"/>
  <c r="I27" i="4"/>
  <c r="AC26" i="4"/>
  <c r="N26" i="4"/>
  <c r="L26" i="4"/>
  <c r="M26" i="4" s="1"/>
  <c r="I26" i="4"/>
  <c r="AC25" i="4"/>
  <c r="N25" i="4"/>
  <c r="L25" i="4"/>
  <c r="M25" i="4" s="1"/>
  <c r="I25" i="4"/>
  <c r="AC24" i="4"/>
  <c r="N24" i="4"/>
  <c r="L24" i="4"/>
  <c r="M24" i="4" s="1"/>
  <c r="I24" i="4"/>
  <c r="AC23" i="4"/>
  <c r="N23" i="4"/>
  <c r="L23" i="4"/>
  <c r="M23" i="4" s="1"/>
  <c r="I23" i="4"/>
  <c r="AC22" i="4"/>
  <c r="N22" i="4"/>
  <c r="L22" i="4"/>
  <c r="M22" i="4" s="1"/>
  <c r="I22" i="4"/>
  <c r="AC21" i="4"/>
  <c r="N21" i="4"/>
  <c r="L21" i="4"/>
  <c r="M21" i="4" s="1"/>
  <c r="I21" i="4"/>
  <c r="AC20" i="4"/>
  <c r="N20" i="4"/>
  <c r="L20" i="4"/>
  <c r="M20" i="4" s="1"/>
  <c r="I20" i="4"/>
  <c r="AC19" i="4"/>
  <c r="N19" i="4"/>
  <c r="L19" i="4"/>
  <c r="M19" i="4" s="1"/>
  <c r="I19" i="4"/>
  <c r="AC18" i="4"/>
  <c r="N18" i="4"/>
  <c r="L18" i="4"/>
  <c r="M18" i="4" s="1"/>
  <c r="I18" i="4"/>
  <c r="AC17" i="4"/>
  <c r="N17" i="4"/>
  <c r="L17" i="4"/>
  <c r="M17" i="4" s="1"/>
  <c r="I17" i="4"/>
  <c r="AC16" i="4"/>
  <c r="N16" i="4"/>
  <c r="L16" i="4"/>
  <c r="M16" i="4" s="1"/>
  <c r="I16" i="4"/>
  <c r="AC15" i="4"/>
  <c r="N15" i="4"/>
  <c r="L15" i="4"/>
  <c r="M15" i="4" s="1"/>
  <c r="I15" i="4"/>
  <c r="AC14" i="4"/>
  <c r="N14" i="4"/>
  <c r="L14" i="4"/>
  <c r="M14" i="4" s="1"/>
  <c r="I14" i="4"/>
  <c r="AC13" i="4"/>
  <c r="N13" i="4"/>
  <c r="L13" i="4"/>
  <c r="M13" i="4" s="1"/>
  <c r="I13" i="4"/>
  <c r="AC12" i="4"/>
  <c r="N12" i="4"/>
  <c r="L12" i="4"/>
  <c r="M12" i="4" s="1"/>
  <c r="I12" i="4"/>
  <c r="AC11" i="4"/>
  <c r="N11" i="4"/>
  <c r="L11" i="4"/>
  <c r="M11" i="4" s="1"/>
  <c r="I11" i="4"/>
  <c r="AC10" i="4"/>
  <c r="L10" i="4"/>
  <c r="M10" i="4" s="1"/>
  <c r="I10" i="4"/>
  <c r="AC9" i="4"/>
  <c r="L9" i="4"/>
  <c r="M9" i="4" s="1"/>
  <c r="I9" i="4"/>
  <c r="AC8" i="4"/>
  <c r="I8" i="4"/>
  <c r="AC7" i="4"/>
  <c r="I7" i="4"/>
  <c r="Y425" i="3"/>
  <c r="W425" i="3"/>
  <c r="V425" i="3"/>
  <c r="E425" i="3"/>
  <c r="Y424" i="3"/>
  <c r="W424" i="3"/>
  <c r="V424" i="3"/>
  <c r="E424" i="3"/>
  <c r="Y423" i="3"/>
  <c r="W423" i="3"/>
  <c r="V423" i="3"/>
  <c r="E423" i="3"/>
  <c r="Y422" i="3"/>
  <c r="W422" i="3"/>
  <c r="V422" i="3"/>
  <c r="E422" i="3"/>
  <c r="Y421" i="3"/>
  <c r="W421" i="3"/>
  <c r="V421" i="3"/>
  <c r="E421" i="3"/>
  <c r="Y420" i="3"/>
  <c r="W420" i="3"/>
  <c r="V420" i="3"/>
  <c r="E420" i="3"/>
  <c r="Y419" i="3"/>
  <c r="W419" i="3"/>
  <c r="V419" i="3"/>
  <c r="E419" i="3"/>
  <c r="Y418" i="3"/>
  <c r="W418" i="3"/>
  <c r="V418" i="3"/>
  <c r="E418" i="3"/>
  <c r="Y417" i="3"/>
  <c r="W417" i="3"/>
  <c r="V417" i="3"/>
  <c r="E417" i="3"/>
  <c r="Y416" i="3"/>
  <c r="W416" i="3"/>
  <c r="V416" i="3"/>
  <c r="E416" i="3"/>
  <c r="Y415" i="3"/>
  <c r="W415" i="3"/>
  <c r="V415" i="3"/>
  <c r="E415" i="3"/>
  <c r="Y414" i="3"/>
  <c r="W414" i="3"/>
  <c r="V414" i="3"/>
  <c r="E414" i="3"/>
  <c r="Y413" i="3"/>
  <c r="W413" i="3"/>
  <c r="V413" i="3"/>
  <c r="E413" i="3"/>
  <c r="Y412" i="3"/>
  <c r="W412" i="3"/>
  <c r="V412" i="3"/>
  <c r="E412" i="3"/>
  <c r="Y411" i="3"/>
  <c r="W411" i="3"/>
  <c r="V411" i="3"/>
  <c r="E411" i="3"/>
  <c r="Y410" i="3"/>
  <c r="W410" i="3"/>
  <c r="V410" i="3"/>
  <c r="E410" i="3"/>
  <c r="Y409" i="3"/>
  <c r="W409" i="3"/>
  <c r="V409" i="3"/>
  <c r="E409" i="3"/>
  <c r="Y408" i="3"/>
  <c r="W408" i="3"/>
  <c r="V408" i="3"/>
  <c r="E408" i="3"/>
  <c r="Y407" i="3"/>
  <c r="W407" i="3"/>
  <c r="V407" i="3"/>
  <c r="E407" i="3"/>
  <c r="Y406" i="3"/>
  <c r="W406" i="3"/>
  <c r="V406" i="3"/>
  <c r="E406" i="3"/>
  <c r="Y405" i="3"/>
  <c r="W405" i="3"/>
  <c r="V405" i="3"/>
  <c r="E405" i="3"/>
  <c r="Y404" i="3"/>
  <c r="W404" i="3"/>
  <c r="V404" i="3"/>
  <c r="E404" i="3"/>
  <c r="Y403" i="3"/>
  <c r="W403" i="3"/>
  <c r="V403" i="3"/>
  <c r="E403" i="3"/>
  <c r="Y402" i="3"/>
  <c r="W402" i="3"/>
  <c r="V402" i="3"/>
  <c r="E402" i="3"/>
  <c r="Y401" i="3"/>
  <c r="W401" i="3"/>
  <c r="V401" i="3"/>
  <c r="E401" i="3"/>
  <c r="Y400" i="3"/>
  <c r="W400" i="3"/>
  <c r="V400" i="3"/>
  <c r="E400" i="3"/>
  <c r="Y399" i="3"/>
  <c r="W399" i="3"/>
  <c r="V399" i="3"/>
  <c r="E399" i="3"/>
  <c r="Y398" i="3"/>
  <c r="W398" i="3"/>
  <c r="V398" i="3"/>
  <c r="E398" i="3"/>
  <c r="Y397" i="3"/>
  <c r="W397" i="3"/>
  <c r="V397" i="3"/>
  <c r="E397" i="3"/>
  <c r="Y396" i="3"/>
  <c r="W396" i="3"/>
  <c r="V396" i="3"/>
  <c r="E396" i="3"/>
  <c r="Y395" i="3"/>
  <c r="W395" i="3"/>
  <c r="V395" i="3"/>
  <c r="E395" i="3"/>
  <c r="Y394" i="3"/>
  <c r="W394" i="3"/>
  <c r="V394" i="3"/>
  <c r="E394" i="3"/>
  <c r="Y393" i="3"/>
  <c r="W393" i="3"/>
  <c r="V393" i="3"/>
  <c r="E393" i="3"/>
  <c r="Y392" i="3"/>
  <c r="W392" i="3"/>
  <c r="V392" i="3"/>
  <c r="E392" i="3"/>
  <c r="Y391" i="3"/>
  <c r="W391" i="3"/>
  <c r="V391" i="3"/>
  <c r="E391" i="3"/>
  <c r="Y390" i="3"/>
  <c r="W390" i="3"/>
  <c r="V390" i="3"/>
  <c r="E390" i="3"/>
  <c r="Y389" i="3"/>
  <c r="W389" i="3"/>
  <c r="V389" i="3"/>
  <c r="E389" i="3"/>
  <c r="Y388" i="3"/>
  <c r="W388" i="3"/>
  <c r="V388" i="3"/>
  <c r="E388" i="3"/>
  <c r="Y387" i="3"/>
  <c r="W387" i="3"/>
  <c r="V387" i="3"/>
  <c r="E387" i="3"/>
  <c r="Y386" i="3"/>
  <c r="W386" i="3"/>
  <c r="V386" i="3"/>
  <c r="E386" i="3"/>
  <c r="Y385" i="3"/>
  <c r="W385" i="3"/>
  <c r="V385" i="3"/>
  <c r="E385" i="3"/>
  <c r="Y384" i="3"/>
  <c r="W384" i="3"/>
  <c r="V384" i="3"/>
  <c r="E384" i="3"/>
  <c r="Y383" i="3"/>
  <c r="W383" i="3"/>
  <c r="V383" i="3"/>
  <c r="E383" i="3"/>
  <c r="Y382" i="3"/>
  <c r="W382" i="3"/>
  <c r="V382" i="3"/>
  <c r="E382" i="3"/>
  <c r="Y381" i="3"/>
  <c r="W381" i="3"/>
  <c r="V381" i="3"/>
  <c r="E381" i="3"/>
  <c r="Y380" i="3"/>
  <c r="W380" i="3"/>
  <c r="V380" i="3"/>
  <c r="E380" i="3"/>
  <c r="Y379" i="3"/>
  <c r="W379" i="3"/>
  <c r="V379" i="3"/>
  <c r="E379" i="3"/>
  <c r="Y378" i="3"/>
  <c r="W378" i="3"/>
  <c r="V378" i="3"/>
  <c r="E378" i="3"/>
  <c r="Y377" i="3"/>
  <c r="W377" i="3"/>
  <c r="V377" i="3"/>
  <c r="E377" i="3"/>
  <c r="Y376" i="3"/>
  <c r="W376" i="3"/>
  <c r="V376" i="3"/>
  <c r="E376" i="3"/>
  <c r="Y375" i="3"/>
  <c r="W375" i="3"/>
  <c r="V375" i="3"/>
  <c r="E375" i="3"/>
  <c r="Y374" i="3"/>
  <c r="W374" i="3"/>
  <c r="V374" i="3"/>
  <c r="E374" i="3"/>
  <c r="Y373" i="3"/>
  <c r="W373" i="3"/>
  <c r="V373" i="3"/>
  <c r="E373" i="3"/>
  <c r="Y372" i="3"/>
  <c r="W372" i="3"/>
  <c r="V372" i="3"/>
  <c r="E372" i="3"/>
  <c r="Y371" i="3"/>
  <c r="W371" i="3"/>
  <c r="V371" i="3"/>
  <c r="E371" i="3"/>
  <c r="Y370" i="3"/>
  <c r="W370" i="3"/>
  <c r="V370" i="3"/>
  <c r="E370" i="3"/>
  <c r="Y369" i="3"/>
  <c r="W369" i="3"/>
  <c r="V369" i="3"/>
  <c r="E369" i="3"/>
  <c r="Y368" i="3"/>
  <c r="W368" i="3"/>
  <c r="V368" i="3"/>
  <c r="E368" i="3"/>
  <c r="Y367" i="3"/>
  <c r="W367" i="3"/>
  <c r="V367" i="3"/>
  <c r="E367" i="3"/>
  <c r="Y366" i="3"/>
  <c r="W366" i="3"/>
  <c r="V366" i="3"/>
  <c r="E366" i="3"/>
  <c r="Y365" i="3"/>
  <c r="W365" i="3"/>
  <c r="V365" i="3"/>
  <c r="E365" i="3"/>
  <c r="Y364" i="3"/>
  <c r="W364" i="3"/>
  <c r="V364" i="3"/>
  <c r="E364" i="3"/>
  <c r="Y363" i="3"/>
  <c r="W363" i="3"/>
  <c r="V363" i="3"/>
  <c r="E363" i="3"/>
  <c r="Y362" i="3"/>
  <c r="W362" i="3"/>
  <c r="V362" i="3"/>
  <c r="E362" i="3"/>
  <c r="Y361" i="3"/>
  <c r="W361" i="3"/>
  <c r="V361" i="3"/>
  <c r="E361" i="3"/>
  <c r="Y360" i="3"/>
  <c r="W360" i="3"/>
  <c r="V360" i="3"/>
  <c r="E360" i="3"/>
  <c r="Y359" i="3"/>
  <c r="W359" i="3"/>
  <c r="V359" i="3"/>
  <c r="E359" i="3"/>
  <c r="Y358" i="3"/>
  <c r="W358" i="3"/>
  <c r="V358" i="3"/>
  <c r="E358" i="3"/>
  <c r="Y357" i="3"/>
  <c r="W357" i="3"/>
  <c r="V357" i="3"/>
  <c r="E357" i="3"/>
  <c r="Y356" i="3"/>
  <c r="W356" i="3"/>
  <c r="V356" i="3"/>
  <c r="E356" i="3"/>
  <c r="Y355" i="3"/>
  <c r="W355" i="3"/>
  <c r="V355" i="3"/>
  <c r="E355" i="3"/>
  <c r="Y354" i="3"/>
  <c r="W354" i="3"/>
  <c r="V354" i="3"/>
  <c r="E354" i="3"/>
  <c r="Y353" i="3"/>
  <c r="W353" i="3"/>
  <c r="V353" i="3"/>
  <c r="E353" i="3"/>
  <c r="Y352" i="3"/>
  <c r="W352" i="3"/>
  <c r="V352" i="3"/>
  <c r="E352" i="3"/>
  <c r="Y351" i="3"/>
  <c r="W351" i="3"/>
  <c r="V351" i="3"/>
  <c r="E351" i="3"/>
  <c r="Y350" i="3"/>
  <c r="W350" i="3"/>
  <c r="V350" i="3"/>
  <c r="E350" i="3"/>
  <c r="Y349" i="3"/>
  <c r="W349" i="3"/>
  <c r="V349" i="3"/>
  <c r="E349" i="3"/>
  <c r="Y348" i="3"/>
  <c r="W348" i="3"/>
  <c r="V348" i="3"/>
  <c r="E348" i="3"/>
  <c r="Y347" i="3"/>
  <c r="W347" i="3"/>
  <c r="V347" i="3"/>
  <c r="E347" i="3"/>
  <c r="Y346" i="3"/>
  <c r="W346" i="3"/>
  <c r="V346" i="3"/>
  <c r="E346" i="3"/>
  <c r="Y345" i="3"/>
  <c r="W345" i="3"/>
  <c r="V345" i="3"/>
  <c r="E345" i="3"/>
  <c r="Y344" i="3"/>
  <c r="W344" i="3"/>
  <c r="V344" i="3"/>
  <c r="E344" i="3"/>
  <c r="Y343" i="3"/>
  <c r="W343" i="3"/>
  <c r="V343" i="3"/>
  <c r="E343" i="3"/>
  <c r="Y342" i="3"/>
  <c r="W342" i="3"/>
  <c r="V342" i="3"/>
  <c r="E342" i="3"/>
  <c r="Y341" i="3"/>
  <c r="W341" i="3"/>
  <c r="V341" i="3"/>
  <c r="E341" i="3"/>
  <c r="Y340" i="3"/>
  <c r="W340" i="3"/>
  <c r="V340" i="3"/>
  <c r="E340" i="3"/>
  <c r="Y339" i="3"/>
  <c r="W339" i="3"/>
  <c r="V339" i="3"/>
  <c r="E339" i="3"/>
  <c r="Y338" i="3"/>
  <c r="W338" i="3"/>
  <c r="V338" i="3"/>
  <c r="E338" i="3"/>
  <c r="Y337" i="3"/>
  <c r="W337" i="3"/>
  <c r="V337" i="3"/>
  <c r="E337" i="3"/>
  <c r="Y336" i="3"/>
  <c r="W336" i="3"/>
  <c r="V336" i="3"/>
  <c r="E336" i="3"/>
  <c r="Y335" i="3"/>
  <c r="W335" i="3"/>
  <c r="V335" i="3"/>
  <c r="E335" i="3"/>
  <c r="Y334" i="3"/>
  <c r="W334" i="3"/>
  <c r="V334" i="3"/>
  <c r="E334" i="3"/>
  <c r="Y333" i="3"/>
  <c r="W333" i="3"/>
  <c r="V333" i="3"/>
  <c r="E333" i="3"/>
  <c r="Y332" i="3"/>
  <c r="W332" i="3"/>
  <c r="V332" i="3"/>
  <c r="E332" i="3"/>
  <c r="Y331" i="3"/>
  <c r="W331" i="3"/>
  <c r="V331" i="3"/>
  <c r="E331" i="3"/>
  <c r="Y330" i="3"/>
  <c r="W330" i="3"/>
  <c r="V330" i="3"/>
  <c r="E330" i="3"/>
  <c r="Y329" i="3"/>
  <c r="W329" i="3"/>
  <c r="V329" i="3"/>
  <c r="E329" i="3"/>
  <c r="Y328" i="3"/>
  <c r="W328" i="3"/>
  <c r="V328" i="3"/>
  <c r="E328" i="3"/>
  <c r="Y327" i="3"/>
  <c r="W327" i="3"/>
  <c r="V327" i="3"/>
  <c r="E327" i="3"/>
  <c r="Y326" i="3"/>
  <c r="W326" i="3"/>
  <c r="V326" i="3"/>
  <c r="E326" i="3"/>
  <c r="Y325" i="3"/>
  <c r="W325" i="3"/>
  <c r="V325" i="3"/>
  <c r="E325" i="3"/>
  <c r="Y324" i="3"/>
  <c r="W324" i="3"/>
  <c r="V324" i="3"/>
  <c r="E324" i="3"/>
  <c r="Y323" i="3"/>
  <c r="W323" i="3"/>
  <c r="V323" i="3"/>
  <c r="E323" i="3"/>
  <c r="Y322" i="3"/>
  <c r="W322" i="3"/>
  <c r="V322" i="3"/>
  <c r="E322" i="3"/>
  <c r="Y321" i="3"/>
  <c r="W321" i="3"/>
  <c r="V321" i="3"/>
  <c r="E321" i="3"/>
  <c r="Y320" i="3"/>
  <c r="W320" i="3"/>
  <c r="V320" i="3"/>
  <c r="E320" i="3"/>
  <c r="Y319" i="3"/>
  <c r="W319" i="3"/>
  <c r="V319" i="3"/>
  <c r="E319" i="3"/>
  <c r="Y318" i="3"/>
  <c r="W318" i="3"/>
  <c r="V318" i="3"/>
  <c r="E318" i="3"/>
  <c r="Y317" i="3"/>
  <c r="W317" i="3"/>
  <c r="V317" i="3"/>
  <c r="E317" i="3"/>
  <c r="Y316" i="3"/>
  <c r="W316" i="3"/>
  <c r="V316" i="3"/>
  <c r="E316" i="3"/>
  <c r="Y315" i="3"/>
  <c r="W315" i="3"/>
  <c r="V315" i="3"/>
  <c r="E315" i="3"/>
  <c r="Y314" i="3"/>
  <c r="W314" i="3"/>
  <c r="V314" i="3"/>
  <c r="E314" i="3"/>
  <c r="Y313" i="3"/>
  <c r="W313" i="3"/>
  <c r="V313" i="3"/>
  <c r="E313" i="3"/>
  <c r="Y312" i="3"/>
  <c r="W312" i="3"/>
  <c r="V312" i="3"/>
  <c r="E312" i="3"/>
  <c r="Y311" i="3"/>
  <c r="W311" i="3"/>
  <c r="V311" i="3"/>
  <c r="E311" i="3"/>
  <c r="Y310" i="3"/>
  <c r="W310" i="3"/>
  <c r="V310" i="3"/>
  <c r="E310" i="3"/>
  <c r="Y309" i="3"/>
  <c r="W309" i="3"/>
  <c r="V309" i="3"/>
  <c r="E309" i="3"/>
  <c r="Y308" i="3"/>
  <c r="W308" i="3"/>
  <c r="V308" i="3"/>
  <c r="E308" i="3"/>
  <c r="Y307" i="3"/>
  <c r="W307" i="3"/>
  <c r="V307" i="3"/>
  <c r="E307" i="3"/>
  <c r="Y306" i="3"/>
  <c r="W306" i="3"/>
  <c r="V306" i="3"/>
  <c r="E306" i="3"/>
  <c r="Y305" i="3"/>
  <c r="W305" i="3"/>
  <c r="V305" i="3"/>
  <c r="E305" i="3"/>
  <c r="Y304" i="3"/>
  <c r="W304" i="3"/>
  <c r="V304" i="3"/>
  <c r="E304" i="3"/>
  <c r="Y303" i="3"/>
  <c r="W303" i="3"/>
  <c r="V303" i="3"/>
  <c r="E303" i="3"/>
  <c r="Y302" i="3"/>
  <c r="W302" i="3"/>
  <c r="V302" i="3"/>
  <c r="E302" i="3"/>
  <c r="Y301" i="3"/>
  <c r="W301" i="3"/>
  <c r="V301" i="3"/>
  <c r="E301" i="3"/>
  <c r="Y300" i="3"/>
  <c r="W300" i="3"/>
  <c r="V300" i="3"/>
  <c r="E300" i="3"/>
  <c r="Y299" i="3"/>
  <c r="W299" i="3"/>
  <c r="V299" i="3"/>
  <c r="E299" i="3"/>
  <c r="Y298" i="3"/>
  <c r="W298" i="3"/>
  <c r="V298" i="3"/>
  <c r="E298" i="3"/>
  <c r="Y297" i="3"/>
  <c r="W297" i="3"/>
  <c r="V297" i="3"/>
  <c r="E297" i="3"/>
  <c r="Y296" i="3"/>
  <c r="W296" i="3"/>
  <c r="V296" i="3"/>
  <c r="E296" i="3"/>
  <c r="Y295" i="3"/>
  <c r="W295" i="3"/>
  <c r="V295" i="3"/>
  <c r="E295" i="3"/>
  <c r="Y294" i="3"/>
  <c r="W294" i="3"/>
  <c r="V294" i="3"/>
  <c r="E294" i="3"/>
  <c r="Y293" i="3"/>
  <c r="W293" i="3"/>
  <c r="V293" i="3"/>
  <c r="E293" i="3"/>
  <c r="Y292" i="3"/>
  <c r="W292" i="3"/>
  <c r="V292" i="3"/>
  <c r="E292" i="3"/>
  <c r="Y291" i="3"/>
  <c r="W291" i="3"/>
  <c r="V291" i="3"/>
  <c r="E291" i="3"/>
  <c r="Y290" i="3"/>
  <c r="W290" i="3"/>
  <c r="V290" i="3"/>
  <c r="E290" i="3"/>
  <c r="Y289" i="3"/>
  <c r="W289" i="3"/>
  <c r="V289" i="3"/>
  <c r="E289" i="3"/>
  <c r="Y288" i="3"/>
  <c r="W288" i="3"/>
  <c r="V288" i="3"/>
  <c r="E288" i="3"/>
  <c r="Y287" i="3"/>
  <c r="W287" i="3"/>
  <c r="V287" i="3"/>
  <c r="E287" i="3"/>
  <c r="Y286" i="3"/>
  <c r="W286" i="3"/>
  <c r="V286" i="3"/>
  <c r="E286" i="3"/>
  <c r="Y285" i="3"/>
  <c r="W285" i="3"/>
  <c r="V285" i="3"/>
  <c r="E285" i="3"/>
  <c r="Y284" i="3"/>
  <c r="W284" i="3"/>
  <c r="V284" i="3"/>
  <c r="E284" i="3"/>
  <c r="Y283" i="3"/>
  <c r="W283" i="3"/>
  <c r="V283" i="3"/>
  <c r="E283" i="3"/>
  <c r="Y282" i="3"/>
  <c r="W282" i="3"/>
  <c r="V282" i="3"/>
  <c r="E282" i="3"/>
  <c r="Y281" i="3"/>
  <c r="W281" i="3"/>
  <c r="V281" i="3"/>
  <c r="E281" i="3"/>
  <c r="Y280" i="3"/>
  <c r="W280" i="3"/>
  <c r="V280" i="3"/>
  <c r="E280" i="3"/>
  <c r="Y279" i="3"/>
  <c r="W279" i="3"/>
  <c r="V279" i="3"/>
  <c r="E279" i="3"/>
  <c r="Y278" i="3"/>
  <c r="W278" i="3"/>
  <c r="V278" i="3"/>
  <c r="E278" i="3"/>
  <c r="Y277" i="3"/>
  <c r="W277" i="3"/>
  <c r="V277" i="3"/>
  <c r="E277" i="3"/>
  <c r="Y276" i="3"/>
  <c r="W276" i="3"/>
  <c r="V276" i="3"/>
  <c r="E276" i="3"/>
  <c r="Y275" i="3"/>
  <c r="W275" i="3"/>
  <c r="V275" i="3"/>
  <c r="E275" i="3"/>
  <c r="Y274" i="3"/>
  <c r="W274" i="3"/>
  <c r="V274" i="3"/>
  <c r="E274" i="3"/>
  <c r="Y273" i="3"/>
  <c r="W273" i="3"/>
  <c r="V273" i="3"/>
  <c r="E273" i="3"/>
  <c r="Y272" i="3"/>
  <c r="W272" i="3"/>
  <c r="V272" i="3"/>
  <c r="E272" i="3"/>
  <c r="Y271" i="3"/>
  <c r="W271" i="3"/>
  <c r="V271" i="3"/>
  <c r="E271" i="3"/>
  <c r="Y270" i="3"/>
  <c r="W270" i="3"/>
  <c r="V270" i="3"/>
  <c r="E270" i="3"/>
  <c r="Y269" i="3"/>
  <c r="W269" i="3"/>
  <c r="V269" i="3"/>
  <c r="E269" i="3"/>
  <c r="Y268" i="3"/>
  <c r="W268" i="3"/>
  <c r="V268" i="3"/>
  <c r="E268" i="3"/>
  <c r="Y267" i="3"/>
  <c r="W267" i="3"/>
  <c r="V267" i="3"/>
  <c r="E267" i="3"/>
  <c r="Y266" i="3"/>
  <c r="W266" i="3"/>
  <c r="V266" i="3"/>
  <c r="E266" i="3"/>
  <c r="Y265" i="3"/>
  <c r="W265" i="3"/>
  <c r="V265" i="3"/>
  <c r="E265" i="3"/>
  <c r="Y264" i="3"/>
  <c r="W264" i="3"/>
  <c r="V264" i="3"/>
  <c r="E264" i="3"/>
  <c r="Y263" i="3"/>
  <c r="W263" i="3"/>
  <c r="V263" i="3"/>
  <c r="E263" i="3"/>
  <c r="Y262" i="3"/>
  <c r="W262" i="3"/>
  <c r="V262" i="3"/>
  <c r="E262" i="3"/>
  <c r="Y261" i="3"/>
  <c r="W261" i="3"/>
  <c r="V261" i="3"/>
  <c r="E261" i="3"/>
  <c r="Y260" i="3"/>
  <c r="W260" i="3"/>
  <c r="V260" i="3"/>
  <c r="E260" i="3"/>
  <c r="Y259" i="3"/>
  <c r="W259" i="3"/>
  <c r="V259" i="3"/>
  <c r="E259" i="3"/>
  <c r="Y258" i="3"/>
  <c r="W258" i="3"/>
  <c r="V258" i="3"/>
  <c r="E258" i="3"/>
  <c r="Y257" i="3"/>
  <c r="W257" i="3"/>
  <c r="V257" i="3"/>
  <c r="E257" i="3"/>
  <c r="Y256" i="3"/>
  <c r="W256" i="3"/>
  <c r="V256" i="3"/>
  <c r="E256" i="3"/>
  <c r="Y255" i="3"/>
  <c r="W255" i="3"/>
  <c r="V255" i="3"/>
  <c r="E255" i="3"/>
  <c r="Y254" i="3"/>
  <c r="W254" i="3"/>
  <c r="V254" i="3"/>
  <c r="E254" i="3"/>
  <c r="Y253" i="3"/>
  <c r="W253" i="3"/>
  <c r="V253" i="3"/>
  <c r="E253" i="3"/>
  <c r="Y252" i="3"/>
  <c r="W252" i="3"/>
  <c r="V252" i="3"/>
  <c r="E252" i="3"/>
  <c r="Y251" i="3"/>
  <c r="W251" i="3"/>
  <c r="V251" i="3"/>
  <c r="E251" i="3"/>
  <c r="Y250" i="3"/>
  <c r="W250" i="3"/>
  <c r="V250" i="3"/>
  <c r="E250" i="3"/>
  <c r="Y249" i="3"/>
  <c r="W249" i="3"/>
  <c r="V249" i="3"/>
  <c r="E249" i="3"/>
  <c r="Y248" i="3"/>
  <c r="W248" i="3"/>
  <c r="V248" i="3"/>
  <c r="E248" i="3"/>
  <c r="Y247" i="3"/>
  <c r="W247" i="3"/>
  <c r="V247" i="3"/>
  <c r="E247" i="3"/>
  <c r="Y246" i="3"/>
  <c r="W246" i="3"/>
  <c r="V246" i="3"/>
  <c r="E246" i="3"/>
  <c r="Y245" i="3"/>
  <c r="W245" i="3"/>
  <c r="V245" i="3"/>
  <c r="E245" i="3"/>
  <c r="Y244" i="3"/>
  <c r="W244" i="3"/>
  <c r="V244" i="3"/>
  <c r="E244" i="3"/>
  <c r="Y243" i="3"/>
  <c r="W243" i="3"/>
  <c r="V243" i="3"/>
  <c r="E243" i="3"/>
  <c r="Y242" i="3"/>
  <c r="W242" i="3"/>
  <c r="V242" i="3"/>
  <c r="E242" i="3"/>
  <c r="Y241" i="3"/>
  <c r="W241" i="3"/>
  <c r="V241" i="3"/>
  <c r="E241" i="3"/>
  <c r="Y240" i="3"/>
  <c r="W240" i="3"/>
  <c r="V240" i="3"/>
  <c r="E240" i="3"/>
  <c r="Y239" i="3"/>
  <c r="W239" i="3"/>
  <c r="V239" i="3"/>
  <c r="E239" i="3"/>
  <c r="Y238" i="3"/>
  <c r="W238" i="3"/>
  <c r="V238" i="3"/>
  <c r="E238" i="3"/>
  <c r="Y237" i="3"/>
  <c r="W237" i="3"/>
  <c r="V237" i="3"/>
  <c r="E237" i="3"/>
  <c r="Y236" i="3"/>
  <c r="W236" i="3"/>
  <c r="V236" i="3"/>
  <c r="E236" i="3"/>
  <c r="Y235" i="3"/>
  <c r="W235" i="3"/>
  <c r="V235" i="3"/>
  <c r="E235" i="3"/>
  <c r="Y234" i="3"/>
  <c r="W234" i="3"/>
  <c r="V234" i="3"/>
  <c r="E234" i="3"/>
  <c r="Y233" i="3"/>
  <c r="W233" i="3"/>
  <c r="V233" i="3"/>
  <c r="E233" i="3"/>
  <c r="Y232" i="3"/>
  <c r="W232" i="3"/>
  <c r="V232" i="3"/>
  <c r="E232" i="3"/>
  <c r="Y231" i="3"/>
  <c r="W231" i="3"/>
  <c r="V231" i="3"/>
  <c r="E231" i="3"/>
  <c r="Y230" i="3"/>
  <c r="W230" i="3"/>
  <c r="V230" i="3"/>
  <c r="E230" i="3"/>
  <c r="Y229" i="3"/>
  <c r="W229" i="3"/>
  <c r="V229" i="3"/>
  <c r="E229" i="3"/>
  <c r="Y228" i="3"/>
  <c r="W228" i="3"/>
  <c r="V228" i="3"/>
  <c r="E228" i="3"/>
  <c r="Y227" i="3"/>
  <c r="W227" i="3"/>
  <c r="V227" i="3"/>
  <c r="E227" i="3"/>
  <c r="Y226" i="3"/>
  <c r="W226" i="3"/>
  <c r="V226" i="3"/>
  <c r="E226" i="3"/>
  <c r="Y225" i="3"/>
  <c r="W225" i="3"/>
  <c r="V225" i="3"/>
  <c r="E225" i="3"/>
  <c r="Y224" i="3"/>
  <c r="W224" i="3"/>
  <c r="V224" i="3"/>
  <c r="E224" i="3"/>
  <c r="Y223" i="3"/>
  <c r="W223" i="3"/>
  <c r="V223" i="3"/>
  <c r="E223" i="3"/>
  <c r="Y222" i="3"/>
  <c r="W222" i="3"/>
  <c r="V222" i="3"/>
  <c r="E222" i="3"/>
  <c r="Y221" i="3"/>
  <c r="W221" i="3"/>
  <c r="V221" i="3"/>
  <c r="E221" i="3"/>
  <c r="Y220" i="3"/>
  <c r="W220" i="3"/>
  <c r="V220" i="3"/>
  <c r="E220" i="3"/>
  <c r="Y219" i="3"/>
  <c r="W219" i="3"/>
  <c r="V219" i="3"/>
  <c r="E219" i="3"/>
  <c r="Y218" i="3"/>
  <c r="W218" i="3"/>
  <c r="V218" i="3"/>
  <c r="E218" i="3"/>
  <c r="Y217" i="3"/>
  <c r="W217" i="3"/>
  <c r="V217" i="3"/>
  <c r="E217" i="3"/>
  <c r="Y216" i="3"/>
  <c r="W216" i="3"/>
  <c r="V216" i="3"/>
  <c r="E216" i="3"/>
  <c r="Y215" i="3"/>
  <c r="W215" i="3"/>
  <c r="V215" i="3"/>
  <c r="E215" i="3"/>
  <c r="Y214" i="3"/>
  <c r="W214" i="3"/>
  <c r="V214" i="3"/>
  <c r="E214" i="3"/>
  <c r="Y213" i="3"/>
  <c r="W213" i="3"/>
  <c r="V213" i="3"/>
  <c r="E213" i="3"/>
  <c r="Y212" i="3"/>
  <c r="W212" i="3"/>
  <c r="V212" i="3"/>
  <c r="E212" i="3"/>
  <c r="Y211" i="3"/>
  <c r="W211" i="3"/>
  <c r="V211" i="3"/>
  <c r="E211" i="3"/>
  <c r="Y210" i="3"/>
  <c r="W210" i="3"/>
  <c r="V210" i="3"/>
  <c r="E210" i="3"/>
  <c r="Y209" i="3"/>
  <c r="W209" i="3"/>
  <c r="V209" i="3"/>
  <c r="E209" i="3"/>
  <c r="Y208" i="3"/>
  <c r="W208" i="3"/>
  <c r="V208" i="3"/>
  <c r="E208" i="3"/>
  <c r="Y207" i="3"/>
  <c r="W207" i="3"/>
  <c r="V207" i="3"/>
  <c r="E207" i="3"/>
  <c r="Y206" i="3"/>
  <c r="W206" i="3"/>
  <c r="V206" i="3"/>
  <c r="E206" i="3"/>
  <c r="Y205" i="3"/>
  <c r="W205" i="3"/>
  <c r="V205" i="3"/>
  <c r="E205" i="3"/>
  <c r="Y204" i="3"/>
  <c r="W204" i="3"/>
  <c r="V204" i="3"/>
  <c r="E204" i="3"/>
  <c r="Y203" i="3"/>
  <c r="W203" i="3"/>
  <c r="V203" i="3"/>
  <c r="E203" i="3"/>
  <c r="Y202" i="3"/>
  <c r="W202" i="3"/>
  <c r="V202" i="3"/>
  <c r="E202" i="3"/>
  <c r="Y201" i="3"/>
  <c r="W201" i="3"/>
  <c r="V201" i="3"/>
  <c r="E201" i="3"/>
  <c r="Y200" i="3"/>
  <c r="W200" i="3"/>
  <c r="V200" i="3"/>
  <c r="E200" i="3"/>
  <c r="Y199" i="3"/>
  <c r="W199" i="3"/>
  <c r="V199" i="3"/>
  <c r="E199" i="3"/>
  <c r="Y198" i="3"/>
  <c r="W198" i="3"/>
  <c r="V198" i="3"/>
  <c r="E198" i="3"/>
  <c r="Y197" i="3"/>
  <c r="W197" i="3"/>
  <c r="V197" i="3"/>
  <c r="E197" i="3"/>
  <c r="Y196" i="3"/>
  <c r="W196" i="3"/>
  <c r="V196" i="3"/>
  <c r="E196" i="3"/>
  <c r="Y195" i="3"/>
  <c r="W195" i="3"/>
  <c r="V195" i="3"/>
  <c r="E195" i="3"/>
  <c r="Y194" i="3"/>
  <c r="W194" i="3"/>
  <c r="V194" i="3"/>
  <c r="E194" i="3"/>
  <c r="Y193" i="3"/>
  <c r="W193" i="3"/>
  <c r="V193" i="3"/>
  <c r="E193" i="3"/>
  <c r="Y192" i="3"/>
  <c r="W192" i="3"/>
  <c r="V192" i="3"/>
  <c r="E192" i="3"/>
  <c r="Y191" i="3"/>
  <c r="W191" i="3"/>
  <c r="V191" i="3"/>
  <c r="E191" i="3"/>
  <c r="Y190" i="3"/>
  <c r="W190" i="3"/>
  <c r="V190" i="3"/>
  <c r="E190" i="3"/>
  <c r="Y189" i="3"/>
  <c r="W189" i="3"/>
  <c r="V189" i="3"/>
  <c r="E189" i="3"/>
  <c r="Y188" i="3"/>
  <c r="W188" i="3"/>
  <c r="V188" i="3"/>
  <c r="E188" i="3"/>
  <c r="Y187" i="3"/>
  <c r="W187" i="3"/>
  <c r="V187" i="3"/>
  <c r="E187" i="3"/>
  <c r="Y186" i="3"/>
  <c r="W186" i="3"/>
  <c r="V186" i="3"/>
  <c r="E186" i="3"/>
  <c r="Y185" i="3"/>
  <c r="W185" i="3"/>
  <c r="V185" i="3"/>
  <c r="E185" i="3"/>
  <c r="Y184" i="3"/>
  <c r="W184" i="3"/>
  <c r="V184" i="3"/>
  <c r="E184" i="3"/>
  <c r="Y183" i="3"/>
  <c r="W183" i="3"/>
  <c r="V183" i="3"/>
  <c r="E183" i="3"/>
  <c r="Y182" i="3"/>
  <c r="W182" i="3"/>
  <c r="V182" i="3"/>
  <c r="E182" i="3"/>
  <c r="Y181" i="3"/>
  <c r="W181" i="3"/>
  <c r="V181" i="3"/>
  <c r="E181" i="3"/>
  <c r="Y180" i="3"/>
  <c r="W180" i="3"/>
  <c r="V180" i="3"/>
  <c r="E180" i="3"/>
  <c r="Y179" i="3"/>
  <c r="W179" i="3"/>
  <c r="V179" i="3"/>
  <c r="E179" i="3"/>
  <c r="Y178" i="3"/>
  <c r="W178" i="3"/>
  <c r="V178" i="3"/>
  <c r="E178" i="3"/>
  <c r="Y177" i="3"/>
  <c r="W177" i="3"/>
  <c r="V177" i="3"/>
  <c r="E177" i="3"/>
  <c r="Y176" i="3"/>
  <c r="W176" i="3"/>
  <c r="V176" i="3"/>
  <c r="E176" i="3"/>
  <c r="Y175" i="3"/>
  <c r="W175" i="3"/>
  <c r="V175" i="3"/>
  <c r="E175" i="3"/>
  <c r="Y174" i="3"/>
  <c r="W174" i="3"/>
  <c r="V174" i="3"/>
  <c r="E174" i="3"/>
  <c r="Y173" i="3"/>
  <c r="W173" i="3"/>
  <c r="V173" i="3"/>
  <c r="E173" i="3"/>
  <c r="Y172" i="3"/>
  <c r="W172" i="3"/>
  <c r="V172" i="3"/>
  <c r="E172" i="3"/>
  <c r="Y171" i="3"/>
  <c r="W171" i="3"/>
  <c r="V171" i="3"/>
  <c r="E171" i="3"/>
  <c r="Y170" i="3"/>
  <c r="W170" i="3"/>
  <c r="V170" i="3"/>
  <c r="E170" i="3"/>
  <c r="Y169" i="3"/>
  <c r="W169" i="3"/>
  <c r="V169" i="3"/>
  <c r="E169" i="3"/>
  <c r="Y168" i="3"/>
  <c r="W168" i="3"/>
  <c r="V168" i="3"/>
  <c r="E168" i="3"/>
  <c r="Y167" i="3"/>
  <c r="W167" i="3"/>
  <c r="V167" i="3"/>
  <c r="E167" i="3"/>
  <c r="Y166" i="3"/>
  <c r="W166" i="3"/>
  <c r="V166" i="3"/>
  <c r="E166" i="3"/>
  <c r="Y165" i="3"/>
  <c r="W165" i="3"/>
  <c r="V165" i="3"/>
  <c r="E165" i="3"/>
  <c r="Y164" i="3"/>
  <c r="W164" i="3"/>
  <c r="V164" i="3"/>
  <c r="E164" i="3"/>
  <c r="Y163" i="3"/>
  <c r="W163" i="3"/>
  <c r="V163" i="3"/>
  <c r="E163" i="3"/>
  <c r="Y162" i="3"/>
  <c r="W162" i="3"/>
  <c r="V162" i="3"/>
  <c r="E162" i="3"/>
  <c r="Y161" i="3"/>
  <c r="W161" i="3"/>
  <c r="V161" i="3"/>
  <c r="E161" i="3"/>
  <c r="Y160" i="3"/>
  <c r="W160" i="3"/>
  <c r="V160" i="3"/>
  <c r="E160" i="3"/>
  <c r="Y159" i="3"/>
  <c r="W159" i="3"/>
  <c r="V159" i="3"/>
  <c r="E159" i="3"/>
  <c r="Y158" i="3"/>
  <c r="W158" i="3"/>
  <c r="V158" i="3"/>
  <c r="E158" i="3"/>
  <c r="Y157" i="3"/>
  <c r="W157" i="3"/>
  <c r="V157" i="3"/>
  <c r="E157" i="3"/>
  <c r="Y156" i="3"/>
  <c r="W156" i="3"/>
  <c r="V156" i="3"/>
  <c r="E156" i="3"/>
  <c r="Y155" i="3"/>
  <c r="W155" i="3"/>
  <c r="V155" i="3"/>
  <c r="E155" i="3"/>
  <c r="Y154" i="3"/>
  <c r="W154" i="3"/>
  <c r="V154" i="3"/>
  <c r="E154" i="3"/>
  <c r="Y153" i="3"/>
  <c r="W153" i="3"/>
  <c r="V153" i="3"/>
  <c r="E153" i="3"/>
  <c r="Y152" i="3"/>
  <c r="W152" i="3"/>
  <c r="V152" i="3"/>
  <c r="E152" i="3"/>
  <c r="Y151" i="3"/>
  <c r="W151" i="3"/>
  <c r="V151" i="3"/>
  <c r="E151" i="3"/>
  <c r="Y150" i="3"/>
  <c r="W150" i="3"/>
  <c r="V150" i="3"/>
  <c r="E150" i="3"/>
  <c r="Y149" i="3"/>
  <c r="W149" i="3"/>
  <c r="V149" i="3"/>
  <c r="E149" i="3"/>
  <c r="Y148" i="3"/>
  <c r="W148" i="3"/>
  <c r="V148" i="3"/>
  <c r="E148" i="3"/>
  <c r="Y147" i="3"/>
  <c r="W147" i="3"/>
  <c r="V147" i="3"/>
  <c r="E147" i="3"/>
  <c r="Y146" i="3"/>
  <c r="W146" i="3"/>
  <c r="V146" i="3"/>
  <c r="E146" i="3"/>
  <c r="Y145" i="3"/>
  <c r="W145" i="3"/>
  <c r="V145" i="3"/>
  <c r="E145" i="3"/>
  <c r="Y144" i="3"/>
  <c r="W144" i="3"/>
  <c r="V144" i="3"/>
  <c r="E144" i="3"/>
  <c r="Y143" i="3"/>
  <c r="W143" i="3"/>
  <c r="V143" i="3"/>
  <c r="E143" i="3"/>
  <c r="Y142" i="3"/>
  <c r="W142" i="3"/>
  <c r="V142" i="3"/>
  <c r="E142" i="3"/>
  <c r="Y141" i="3"/>
  <c r="W141" i="3"/>
  <c r="V141" i="3"/>
  <c r="E141" i="3"/>
  <c r="Y140" i="3"/>
  <c r="W140" i="3"/>
  <c r="V140" i="3"/>
  <c r="E140" i="3"/>
  <c r="Y139" i="3"/>
  <c r="W139" i="3"/>
  <c r="V139" i="3"/>
  <c r="E139" i="3"/>
  <c r="Y138" i="3"/>
  <c r="W138" i="3"/>
  <c r="V138" i="3"/>
  <c r="E138" i="3"/>
  <c r="Y137" i="3"/>
  <c r="W137" i="3"/>
  <c r="V137" i="3"/>
  <c r="E137" i="3"/>
  <c r="Y136" i="3"/>
  <c r="W136" i="3"/>
  <c r="V136" i="3"/>
  <c r="E136" i="3"/>
  <c r="Y135" i="3"/>
  <c r="W135" i="3"/>
  <c r="V135" i="3"/>
  <c r="E135" i="3"/>
  <c r="Y134" i="3"/>
  <c r="W134" i="3"/>
  <c r="V134" i="3"/>
  <c r="E134" i="3"/>
  <c r="Y133" i="3"/>
  <c r="W133" i="3"/>
  <c r="V133" i="3"/>
  <c r="E133" i="3"/>
  <c r="Y132" i="3"/>
  <c r="W132" i="3"/>
  <c r="V132" i="3"/>
  <c r="E132" i="3"/>
  <c r="Y131" i="3"/>
  <c r="W131" i="3"/>
  <c r="V131" i="3"/>
  <c r="E131" i="3"/>
  <c r="Y130" i="3"/>
  <c r="W130" i="3"/>
  <c r="V130" i="3"/>
  <c r="E130" i="3"/>
  <c r="Y129" i="3"/>
  <c r="W129" i="3"/>
  <c r="V129" i="3"/>
  <c r="E129" i="3"/>
  <c r="Y128" i="3"/>
  <c r="W128" i="3"/>
  <c r="V128" i="3"/>
  <c r="E128" i="3"/>
  <c r="Y127" i="3"/>
  <c r="W127" i="3"/>
  <c r="V127" i="3"/>
  <c r="E127" i="3"/>
  <c r="Y126" i="3"/>
  <c r="W126" i="3"/>
  <c r="V126" i="3"/>
  <c r="E126" i="3"/>
  <c r="Y125" i="3"/>
  <c r="W125" i="3"/>
  <c r="V125" i="3"/>
  <c r="E125" i="3"/>
  <c r="Y124" i="3"/>
  <c r="W124" i="3"/>
  <c r="V124" i="3"/>
  <c r="E124" i="3"/>
  <c r="Y123" i="3"/>
  <c r="W123" i="3"/>
  <c r="V123" i="3"/>
  <c r="E123" i="3"/>
  <c r="Y122" i="3"/>
  <c r="W122" i="3"/>
  <c r="V122" i="3"/>
  <c r="E122" i="3"/>
  <c r="Y121" i="3"/>
  <c r="W121" i="3"/>
  <c r="V121" i="3"/>
  <c r="E121" i="3"/>
  <c r="Y120" i="3"/>
  <c r="W120" i="3"/>
  <c r="V120" i="3"/>
  <c r="E120" i="3"/>
  <c r="Y119" i="3"/>
  <c r="W119" i="3"/>
  <c r="V119" i="3"/>
  <c r="E119" i="3"/>
  <c r="Y118" i="3"/>
  <c r="W118" i="3"/>
  <c r="V118" i="3"/>
  <c r="E118" i="3"/>
  <c r="Y117" i="3"/>
  <c r="W117" i="3"/>
  <c r="V117" i="3"/>
  <c r="E117" i="3"/>
  <c r="Y116" i="3"/>
  <c r="W116" i="3"/>
  <c r="V116" i="3"/>
  <c r="E116" i="3"/>
  <c r="Y115" i="3"/>
  <c r="W115" i="3"/>
  <c r="V115" i="3"/>
  <c r="E115" i="3"/>
  <c r="Y114" i="3"/>
  <c r="W114" i="3"/>
  <c r="V114" i="3"/>
  <c r="E114" i="3"/>
  <c r="Y113" i="3"/>
  <c r="W113" i="3"/>
  <c r="V113" i="3"/>
  <c r="E113" i="3"/>
  <c r="Y112" i="3"/>
  <c r="W112" i="3"/>
  <c r="V112" i="3"/>
  <c r="E112" i="3"/>
  <c r="Y111" i="3"/>
  <c r="W111" i="3"/>
  <c r="V111" i="3"/>
  <c r="E111" i="3"/>
  <c r="Y110" i="3"/>
  <c r="W110" i="3"/>
  <c r="V110" i="3"/>
  <c r="E110" i="3"/>
  <c r="Y109" i="3"/>
  <c r="W109" i="3"/>
  <c r="V109" i="3"/>
  <c r="E109" i="3"/>
  <c r="Y108" i="3"/>
  <c r="W108" i="3"/>
  <c r="V108" i="3"/>
  <c r="E108" i="3"/>
  <c r="Y107" i="3"/>
  <c r="W107" i="3"/>
  <c r="V107" i="3"/>
  <c r="E107" i="3"/>
  <c r="Y106" i="3"/>
  <c r="W106" i="3"/>
  <c r="V106" i="3"/>
  <c r="E106" i="3"/>
  <c r="Y105" i="3"/>
  <c r="W105" i="3"/>
  <c r="V105" i="3"/>
  <c r="E105" i="3"/>
  <c r="Y104" i="3"/>
  <c r="W104" i="3"/>
  <c r="V104" i="3"/>
  <c r="E104" i="3"/>
  <c r="Y103" i="3"/>
  <c r="W103" i="3"/>
  <c r="V103" i="3"/>
  <c r="E103" i="3"/>
  <c r="Y102" i="3"/>
  <c r="W102" i="3"/>
  <c r="V102" i="3"/>
  <c r="E102" i="3"/>
  <c r="Y101" i="3"/>
  <c r="W101" i="3"/>
  <c r="V101" i="3"/>
  <c r="E101" i="3"/>
  <c r="Y100" i="3"/>
  <c r="W100" i="3"/>
  <c r="V100" i="3"/>
  <c r="E100" i="3"/>
  <c r="Y99" i="3"/>
  <c r="W99" i="3"/>
  <c r="V99" i="3"/>
  <c r="E99" i="3"/>
  <c r="Y98" i="3"/>
  <c r="W98" i="3"/>
  <c r="V98" i="3"/>
  <c r="E98" i="3"/>
  <c r="Y97" i="3"/>
  <c r="W97" i="3"/>
  <c r="V97" i="3"/>
  <c r="E97" i="3"/>
  <c r="Y96" i="3"/>
  <c r="W96" i="3"/>
  <c r="V96" i="3"/>
  <c r="E96" i="3"/>
  <c r="Y95" i="3"/>
  <c r="W95" i="3"/>
  <c r="V95" i="3"/>
  <c r="E95" i="3"/>
  <c r="Y94" i="3"/>
  <c r="W94" i="3"/>
  <c r="V94" i="3"/>
  <c r="E94" i="3"/>
  <c r="Y93" i="3"/>
  <c r="W93" i="3"/>
  <c r="V93" i="3"/>
  <c r="E93" i="3"/>
  <c r="Y92" i="3"/>
  <c r="W92" i="3"/>
  <c r="V92" i="3"/>
  <c r="E92" i="3"/>
  <c r="Y91" i="3"/>
  <c r="W91" i="3"/>
  <c r="V91" i="3"/>
  <c r="E91" i="3"/>
  <c r="Y90" i="3"/>
  <c r="W90" i="3"/>
  <c r="V90" i="3"/>
  <c r="E90" i="3"/>
  <c r="Y89" i="3"/>
  <c r="W89" i="3"/>
  <c r="V89" i="3"/>
  <c r="E89" i="3"/>
  <c r="Y88" i="3"/>
  <c r="W88" i="3"/>
  <c r="V88" i="3"/>
  <c r="E88" i="3"/>
  <c r="Y87" i="3"/>
  <c r="W87" i="3"/>
  <c r="V87" i="3"/>
  <c r="E87" i="3"/>
  <c r="Y86" i="3"/>
  <c r="W86" i="3"/>
  <c r="V86" i="3"/>
  <c r="E86" i="3"/>
  <c r="Y85" i="3"/>
  <c r="W85" i="3"/>
  <c r="V85" i="3"/>
  <c r="E85" i="3"/>
  <c r="Y84" i="3"/>
  <c r="W84" i="3"/>
  <c r="V84" i="3"/>
  <c r="E84" i="3"/>
  <c r="Y83" i="3"/>
  <c r="W83" i="3"/>
  <c r="V83" i="3"/>
  <c r="E83" i="3"/>
  <c r="Y82" i="3"/>
  <c r="W82" i="3"/>
  <c r="V82" i="3"/>
  <c r="E82" i="3"/>
  <c r="Y81" i="3"/>
  <c r="W81" i="3"/>
  <c r="V81" i="3"/>
  <c r="E81" i="3"/>
  <c r="Y80" i="3"/>
  <c r="W80" i="3"/>
  <c r="V80" i="3"/>
  <c r="E80" i="3"/>
  <c r="Y79" i="3"/>
  <c r="W79" i="3"/>
  <c r="V79" i="3"/>
  <c r="E79" i="3"/>
  <c r="Y78" i="3"/>
  <c r="W78" i="3"/>
  <c r="V78" i="3"/>
  <c r="E78" i="3"/>
  <c r="Y77" i="3"/>
  <c r="W77" i="3"/>
  <c r="V77" i="3"/>
  <c r="E77" i="3"/>
  <c r="Y76" i="3"/>
  <c r="W76" i="3"/>
  <c r="V76" i="3"/>
  <c r="E76" i="3"/>
  <c r="Y75" i="3"/>
  <c r="W75" i="3"/>
  <c r="V75" i="3"/>
  <c r="E75" i="3"/>
  <c r="Y74" i="3"/>
  <c r="W74" i="3"/>
  <c r="V74" i="3"/>
  <c r="E74" i="3"/>
  <c r="Y73" i="3"/>
  <c r="W73" i="3"/>
  <c r="V73" i="3"/>
  <c r="E73" i="3"/>
  <c r="Y72" i="3"/>
  <c r="W72" i="3"/>
  <c r="V72" i="3"/>
  <c r="E72" i="3"/>
  <c r="Y71" i="3"/>
  <c r="W71" i="3"/>
  <c r="V71" i="3"/>
  <c r="E71" i="3"/>
  <c r="Y70" i="3"/>
  <c r="W70" i="3"/>
  <c r="V70" i="3"/>
  <c r="E70" i="3"/>
  <c r="Y69" i="3"/>
  <c r="W69" i="3"/>
  <c r="V69" i="3"/>
  <c r="E69" i="3"/>
  <c r="Y68" i="3"/>
  <c r="W68" i="3"/>
  <c r="V68" i="3"/>
  <c r="E68" i="3"/>
  <c r="Y67" i="3"/>
  <c r="W67" i="3"/>
  <c r="V67" i="3"/>
  <c r="E67" i="3"/>
  <c r="Y66" i="3"/>
  <c r="W66" i="3"/>
  <c r="V66" i="3"/>
  <c r="E66" i="3"/>
  <c r="Y65" i="3"/>
  <c r="W65" i="3"/>
  <c r="V65" i="3"/>
  <c r="E65" i="3"/>
  <c r="Y64" i="3"/>
  <c r="W64" i="3"/>
  <c r="V64" i="3"/>
  <c r="E64" i="3"/>
  <c r="Y63" i="3"/>
  <c r="W63" i="3"/>
  <c r="V63" i="3"/>
  <c r="E63" i="3"/>
  <c r="Y62" i="3"/>
  <c r="W62" i="3"/>
  <c r="V62" i="3"/>
  <c r="E62" i="3"/>
  <c r="Y61" i="3"/>
  <c r="W61" i="3"/>
  <c r="V61" i="3"/>
  <c r="E61" i="3"/>
  <c r="Y60" i="3"/>
  <c r="W60" i="3"/>
  <c r="V60" i="3"/>
  <c r="E60" i="3"/>
  <c r="Y59" i="3"/>
  <c r="W59" i="3"/>
  <c r="V59" i="3"/>
  <c r="E59" i="3"/>
  <c r="Y58" i="3"/>
  <c r="W58" i="3"/>
  <c r="V58" i="3"/>
  <c r="E58" i="3"/>
  <c r="Y57" i="3"/>
  <c r="W57" i="3"/>
  <c r="V57" i="3"/>
  <c r="E57" i="3"/>
  <c r="Y56" i="3"/>
  <c r="W56" i="3"/>
  <c r="V56" i="3"/>
  <c r="E56" i="3"/>
  <c r="Y55" i="3"/>
  <c r="W55" i="3"/>
  <c r="V55" i="3"/>
  <c r="E55" i="3"/>
  <c r="Y54" i="3"/>
  <c r="W54" i="3"/>
  <c r="V54" i="3"/>
  <c r="E54" i="3"/>
  <c r="Y53" i="3"/>
  <c r="W53" i="3"/>
  <c r="V53" i="3"/>
  <c r="E53" i="3"/>
  <c r="Y52" i="3"/>
  <c r="W52" i="3"/>
  <c r="V52" i="3"/>
  <c r="E52" i="3"/>
  <c r="Y51" i="3"/>
  <c r="W51" i="3"/>
  <c r="V51" i="3"/>
  <c r="E51" i="3"/>
  <c r="Y50" i="3"/>
  <c r="W50" i="3"/>
  <c r="V50" i="3"/>
  <c r="E50" i="3"/>
  <c r="Y49" i="3"/>
  <c r="W49" i="3"/>
  <c r="V49" i="3"/>
  <c r="E49" i="3"/>
  <c r="Y48" i="3"/>
  <c r="W48" i="3"/>
  <c r="V48" i="3"/>
  <c r="E48" i="3"/>
  <c r="Y47" i="3"/>
  <c r="W47" i="3"/>
  <c r="V47" i="3"/>
  <c r="E47" i="3"/>
  <c r="Y46" i="3"/>
  <c r="W46" i="3"/>
  <c r="V46" i="3"/>
  <c r="E46" i="3"/>
  <c r="Y45" i="3"/>
  <c r="W45" i="3"/>
  <c r="V45" i="3"/>
  <c r="E45" i="3"/>
  <c r="Y44" i="3"/>
  <c r="W44" i="3"/>
  <c r="V44" i="3"/>
  <c r="E44" i="3"/>
  <c r="Y43" i="3"/>
  <c r="W43" i="3"/>
  <c r="V43" i="3"/>
  <c r="E43" i="3"/>
  <c r="Y42" i="3"/>
  <c r="W42" i="3"/>
  <c r="V42" i="3"/>
  <c r="E42" i="3"/>
  <c r="Y41" i="3"/>
  <c r="W41" i="3"/>
  <c r="V41" i="3"/>
  <c r="E41" i="3"/>
  <c r="Y40" i="3"/>
  <c r="W40" i="3"/>
  <c r="V40" i="3"/>
  <c r="E40" i="3"/>
  <c r="Y39" i="3"/>
  <c r="W39" i="3"/>
  <c r="V39" i="3"/>
  <c r="E39" i="3"/>
  <c r="Y38" i="3"/>
  <c r="W38" i="3"/>
  <c r="V38" i="3"/>
  <c r="E38" i="3"/>
  <c r="Y37" i="3"/>
  <c r="W37" i="3"/>
  <c r="V37" i="3"/>
  <c r="E37" i="3"/>
  <c r="Y36" i="3"/>
  <c r="W36" i="3"/>
  <c r="V36" i="3"/>
  <c r="E36" i="3"/>
  <c r="Y35" i="3"/>
  <c r="W35" i="3"/>
  <c r="V35" i="3"/>
  <c r="E35" i="3"/>
  <c r="Y34" i="3"/>
  <c r="W34" i="3"/>
  <c r="V34" i="3"/>
  <c r="E34" i="3"/>
  <c r="Y33" i="3"/>
  <c r="W33" i="3"/>
  <c r="V33" i="3"/>
  <c r="E33" i="3"/>
  <c r="Y32" i="3"/>
  <c r="W32" i="3"/>
  <c r="V32" i="3"/>
  <c r="E32" i="3"/>
  <c r="Y31" i="3"/>
  <c r="W31" i="3"/>
  <c r="V31" i="3"/>
  <c r="E31" i="3"/>
  <c r="Y30" i="3"/>
  <c r="W30" i="3"/>
  <c r="E30" i="3"/>
  <c r="Y29" i="3"/>
  <c r="W29" i="3"/>
  <c r="E29" i="3"/>
  <c r="Y28" i="3"/>
  <c r="W28" i="3"/>
  <c r="E28" i="3"/>
  <c r="Y27" i="3"/>
  <c r="W27" i="3"/>
  <c r="E27" i="3"/>
  <c r="Y26" i="3"/>
  <c r="W26" i="3"/>
  <c r="E26" i="3"/>
  <c r="Y25" i="3"/>
  <c r="W25" i="3"/>
  <c r="E25" i="3"/>
  <c r="Y24" i="3"/>
  <c r="W24" i="3"/>
  <c r="E24" i="3"/>
  <c r="Y23" i="3"/>
  <c r="W23" i="3"/>
  <c r="E23" i="3"/>
  <c r="Y22" i="3"/>
  <c r="W22" i="3"/>
  <c r="E22" i="3"/>
  <c r="Y21" i="3"/>
  <c r="W21" i="3"/>
  <c r="E21" i="3"/>
  <c r="W20" i="3"/>
  <c r="E20" i="3"/>
  <c r="W19" i="3"/>
  <c r="E19" i="3"/>
  <c r="W18" i="3"/>
  <c r="E18" i="3"/>
  <c r="W17" i="3"/>
  <c r="E17" i="3"/>
  <c r="W16" i="3"/>
  <c r="E16" i="3"/>
  <c r="W15" i="3"/>
  <c r="E15" i="3"/>
  <c r="W14" i="3"/>
  <c r="E14" i="3"/>
  <c r="W13" i="3"/>
  <c r="E13" i="3"/>
  <c r="W12" i="3"/>
  <c r="E12" i="3"/>
  <c r="W11" i="3"/>
  <c r="E11" i="3"/>
  <c r="W10" i="3"/>
  <c r="E10" i="3"/>
  <c r="W9" i="3"/>
  <c r="E9" i="3"/>
  <c r="W8" i="3"/>
  <c r="E8" i="3"/>
  <c r="W7" i="3"/>
  <c r="E7" i="3"/>
  <c r="W6" i="3"/>
  <c r="E6" i="3"/>
  <c r="AF111" i="7" l="1"/>
  <c r="AE111" i="7"/>
  <c r="AF110" i="7"/>
  <c r="AE110" i="7"/>
  <c r="AF109" i="7"/>
  <c r="AE109" i="7"/>
  <c r="AF108" i="7"/>
  <c r="AE108" i="7"/>
  <c r="AF107" i="7"/>
  <c r="AE107" i="7"/>
  <c r="AF106" i="7"/>
  <c r="AE106" i="7"/>
  <c r="AF105" i="7"/>
  <c r="AE105" i="7"/>
  <c r="AF104" i="7"/>
  <c r="AE104" i="7"/>
  <c r="AF103" i="7"/>
  <c r="AE103" i="7"/>
  <c r="AF102" i="7"/>
  <c r="AE102" i="7"/>
  <c r="AF101" i="7"/>
  <c r="AE101" i="7"/>
  <c r="AF100" i="7"/>
  <c r="AE100" i="7"/>
  <c r="AF99" i="7"/>
  <c r="AE99" i="7"/>
  <c r="AF98" i="7"/>
  <c r="AE98" i="7"/>
  <c r="AF97" i="7"/>
  <c r="AE97" i="7"/>
  <c r="AF96" i="7"/>
  <c r="AE96" i="7"/>
  <c r="AF95" i="7"/>
  <c r="AE95" i="7"/>
  <c r="AF94" i="7"/>
  <c r="AE94" i="7"/>
  <c r="AF93" i="7"/>
  <c r="AE93" i="7"/>
  <c r="AF92" i="7"/>
  <c r="AE92" i="7"/>
  <c r="AF91" i="7"/>
  <c r="AE91" i="7"/>
  <c r="AF90" i="7"/>
  <c r="AE90" i="7"/>
  <c r="AF89" i="7"/>
  <c r="AE89" i="7"/>
  <c r="AF88" i="7"/>
  <c r="AE88" i="7"/>
  <c r="AF87" i="7"/>
  <c r="AE87" i="7"/>
  <c r="AF86" i="7"/>
  <c r="AE86" i="7"/>
  <c r="AF85" i="7"/>
  <c r="AE85" i="7"/>
  <c r="AF84" i="7"/>
  <c r="AE84" i="7"/>
  <c r="AF83" i="7"/>
  <c r="AE83" i="7"/>
  <c r="AF82" i="7"/>
  <c r="AE82" i="7"/>
  <c r="AF81" i="7"/>
  <c r="AE81" i="7"/>
  <c r="AF80" i="7"/>
  <c r="AE80" i="7"/>
  <c r="AF79" i="7"/>
  <c r="AE79" i="7"/>
  <c r="AF78" i="7"/>
  <c r="AE78" i="7"/>
  <c r="AF77" i="7"/>
  <c r="AE77" i="7"/>
  <c r="AF76" i="7"/>
  <c r="AE76" i="7"/>
  <c r="AF75" i="7"/>
  <c r="AE75" i="7"/>
  <c r="AF74" i="7"/>
  <c r="AE74" i="7"/>
  <c r="AF73" i="7"/>
  <c r="AE73" i="7"/>
  <c r="AF72" i="7"/>
  <c r="AE72" i="7"/>
  <c r="AF71" i="7"/>
  <c r="AE71" i="7"/>
  <c r="AF70" i="7"/>
  <c r="AE70" i="7"/>
  <c r="AF69" i="7"/>
  <c r="AE69" i="7"/>
  <c r="AF68" i="7"/>
  <c r="AE68" i="7"/>
  <c r="AF67" i="7"/>
  <c r="AE67" i="7"/>
  <c r="AF66" i="7"/>
  <c r="AE66" i="7"/>
  <c r="AF65" i="7"/>
  <c r="AE65" i="7"/>
  <c r="AF64" i="7"/>
  <c r="AE64" i="7"/>
  <c r="AF63" i="7"/>
  <c r="AE63" i="7"/>
  <c r="AF62" i="7"/>
  <c r="AE62" i="7"/>
  <c r="AF61" i="7"/>
  <c r="AE61" i="7"/>
  <c r="AF60" i="7"/>
  <c r="AE60" i="7"/>
  <c r="AF59" i="7"/>
  <c r="AE59" i="7"/>
  <c r="AF58" i="7"/>
  <c r="AE58" i="7"/>
  <c r="AF57" i="7"/>
  <c r="AE57" i="7"/>
  <c r="AF56" i="7"/>
  <c r="AE56" i="7"/>
  <c r="AF55" i="7"/>
  <c r="AE55" i="7"/>
  <c r="AF54" i="7"/>
  <c r="AE54" i="7"/>
  <c r="AF53" i="7"/>
  <c r="AE53" i="7"/>
  <c r="AF52" i="7"/>
  <c r="AE52" i="7"/>
  <c r="AF51" i="7"/>
  <c r="AE51" i="7"/>
  <c r="AF50" i="7"/>
  <c r="AE50" i="7"/>
  <c r="AF49" i="7"/>
  <c r="AE49" i="7"/>
  <c r="AF48" i="7"/>
  <c r="AE48" i="7"/>
  <c r="AF47" i="7"/>
  <c r="AE47" i="7"/>
  <c r="AF46" i="7"/>
  <c r="AE46" i="7"/>
  <c r="AF45" i="7"/>
  <c r="AE45" i="7"/>
  <c r="AF44" i="7"/>
  <c r="AE44" i="7"/>
  <c r="AF43" i="7"/>
  <c r="AE43" i="7"/>
  <c r="AF42" i="7"/>
  <c r="AE42" i="7"/>
  <c r="AF41" i="7"/>
  <c r="AE41" i="7"/>
  <c r="AF40" i="7"/>
  <c r="AE40" i="7"/>
  <c r="AF39" i="7"/>
  <c r="AE39" i="7"/>
  <c r="AF38" i="7"/>
  <c r="AE38" i="7"/>
  <c r="AF37" i="7"/>
  <c r="AE37" i="7"/>
  <c r="AF36" i="7"/>
  <c r="AE36" i="7"/>
  <c r="AF35" i="7"/>
  <c r="AE35" i="7"/>
  <c r="AF34" i="7"/>
  <c r="AE34" i="7"/>
  <c r="AF33" i="7"/>
  <c r="AE33" i="7"/>
  <c r="AF32" i="7"/>
  <c r="AE32" i="7"/>
  <c r="AF31" i="7"/>
  <c r="AE31" i="7"/>
  <c r="AF30" i="7"/>
  <c r="AE30" i="7"/>
  <c r="AF29" i="7"/>
  <c r="AE29" i="7"/>
  <c r="AF28" i="7"/>
  <c r="AE28" i="7"/>
  <c r="AF27" i="7"/>
  <c r="AE27" i="7"/>
  <c r="AF26" i="7"/>
  <c r="AE26" i="7"/>
  <c r="AF25" i="7"/>
  <c r="AE25" i="7"/>
  <c r="AF24" i="7"/>
  <c r="AE24" i="7"/>
  <c r="AF23" i="7"/>
  <c r="AE23" i="7"/>
  <c r="AF22" i="7"/>
  <c r="AE22" i="7"/>
  <c r="AF21" i="7"/>
  <c r="AE21" i="7"/>
  <c r="AF20" i="7"/>
  <c r="AE20" i="7"/>
  <c r="AF19" i="7"/>
  <c r="AE19" i="7"/>
  <c r="AF18" i="7"/>
  <c r="AE18" i="7"/>
  <c r="AF17" i="7"/>
  <c r="AE17" i="7"/>
  <c r="AF16" i="7"/>
  <c r="AE16" i="7"/>
  <c r="AF15" i="7"/>
  <c r="AE15" i="7"/>
  <c r="AF14" i="7"/>
  <c r="AE14" i="7"/>
  <c r="AF13" i="7"/>
  <c r="AE13" i="7"/>
  <c r="AF12" i="7"/>
  <c r="AE12" i="7"/>
  <c r="AF11" i="7"/>
  <c r="AE11" i="7"/>
  <c r="AF10" i="7"/>
  <c r="AE10" i="7"/>
  <c r="AF9" i="7"/>
  <c r="AE9" i="7"/>
  <c r="AF8" i="7"/>
  <c r="AE8" i="7"/>
  <c r="AF7" i="7"/>
  <c r="AE7" i="7"/>
  <c r="AF111" i="4"/>
  <c r="AE111" i="4"/>
  <c r="AF110" i="4"/>
  <c r="AE110" i="4"/>
  <c r="AF109" i="4"/>
  <c r="AE109" i="4"/>
  <c r="AF108" i="4"/>
  <c r="AE108" i="4"/>
  <c r="AE107" i="4"/>
  <c r="AF107" i="4"/>
  <c r="AF106" i="4"/>
  <c r="AE106" i="4"/>
  <c r="AF105" i="4"/>
  <c r="AE105" i="4"/>
  <c r="AE104" i="4"/>
  <c r="AF104" i="4"/>
  <c r="AF103" i="4"/>
  <c r="AE103" i="4"/>
  <c r="AE102" i="4"/>
  <c r="AF102" i="4"/>
  <c r="AE101" i="4"/>
  <c r="AF101" i="4"/>
  <c r="AE100" i="4"/>
  <c r="AF100" i="4"/>
  <c r="AF99" i="4"/>
  <c r="AE99" i="4"/>
  <c r="AE98" i="4"/>
  <c r="AF98" i="4"/>
  <c r="AF97" i="4"/>
  <c r="AE97" i="4"/>
  <c r="AE96" i="4"/>
  <c r="AF96" i="4"/>
  <c r="AE95" i="4"/>
  <c r="AF95" i="4"/>
  <c r="AE94" i="4"/>
  <c r="AF94" i="4"/>
  <c r="AF93" i="4"/>
  <c r="AE93" i="4"/>
  <c r="AF92" i="4"/>
  <c r="AE92" i="4"/>
  <c r="AE91" i="4"/>
  <c r="AF91" i="4"/>
  <c r="AE90" i="4"/>
  <c r="AF90" i="4"/>
  <c r="AE89" i="4"/>
  <c r="AF89" i="4"/>
  <c r="AE88" i="4"/>
  <c r="AF88" i="4"/>
  <c r="AF87" i="4"/>
  <c r="AE87" i="4"/>
  <c r="AE85" i="4"/>
  <c r="AF85" i="4"/>
  <c r="AF84" i="4"/>
  <c r="AE84" i="4"/>
  <c r="AF83" i="4"/>
  <c r="AE83" i="4"/>
  <c r="AF82" i="4"/>
  <c r="AE82" i="4"/>
  <c r="AE81" i="4"/>
  <c r="AF81" i="4"/>
  <c r="AE80" i="4"/>
  <c r="AF80" i="4"/>
  <c r="AF79" i="4"/>
  <c r="AE79" i="4"/>
  <c r="AF78" i="4"/>
  <c r="AE78" i="4"/>
  <c r="AF77" i="4"/>
  <c r="AE77" i="4"/>
  <c r="AF76" i="4"/>
  <c r="AE76" i="4"/>
  <c r="AF75" i="4"/>
  <c r="AE75" i="4"/>
  <c r="AF74" i="4"/>
  <c r="AE74" i="4"/>
  <c r="AF73" i="4"/>
  <c r="AE73" i="4"/>
  <c r="AF72" i="4"/>
  <c r="AE72" i="4"/>
  <c r="AF71" i="4"/>
  <c r="AE71" i="4"/>
  <c r="AF70" i="4"/>
  <c r="AE70" i="4"/>
  <c r="AF69" i="4"/>
  <c r="AE69" i="4"/>
  <c r="AF68" i="4"/>
  <c r="AE68" i="4"/>
  <c r="AF67" i="4"/>
  <c r="AE67" i="4"/>
  <c r="AE66" i="4"/>
  <c r="AF66" i="4"/>
  <c r="AF65" i="4"/>
  <c r="AE65" i="4"/>
  <c r="AF64" i="4"/>
  <c r="AE64" i="4"/>
  <c r="AF63" i="4"/>
  <c r="AE63" i="4"/>
  <c r="AE62" i="4"/>
  <c r="AF62" i="4"/>
  <c r="AE61" i="4"/>
  <c r="AF61" i="4"/>
  <c r="AF60" i="4"/>
  <c r="AE60" i="4"/>
  <c r="AF59" i="4"/>
  <c r="AE59" i="4"/>
  <c r="AF58" i="4"/>
  <c r="AE58" i="4"/>
  <c r="AF57" i="4"/>
  <c r="AE57" i="4"/>
  <c r="AE56" i="4"/>
  <c r="AF56" i="4"/>
  <c r="AF55" i="4"/>
  <c r="AE55" i="4"/>
  <c r="AF54" i="4"/>
  <c r="AE54" i="4"/>
  <c r="AF53" i="4"/>
  <c r="AE53" i="4"/>
  <c r="AF52" i="4"/>
  <c r="AE52" i="4"/>
  <c r="AE51" i="4"/>
  <c r="AF51" i="4"/>
  <c r="AE50" i="4"/>
  <c r="AF50" i="4"/>
  <c r="AF49" i="4"/>
  <c r="AE49" i="4"/>
  <c r="AF48" i="4"/>
  <c r="AE48" i="4"/>
  <c r="AE47" i="4"/>
  <c r="AF47" i="4"/>
  <c r="AE46" i="4"/>
  <c r="AF46" i="4"/>
  <c r="AE45" i="4"/>
  <c r="AF45" i="4"/>
  <c r="AE44" i="4"/>
  <c r="AF44" i="4"/>
  <c r="AE43" i="4"/>
  <c r="AF43" i="4"/>
  <c r="AE42" i="4"/>
  <c r="AF42" i="4"/>
  <c r="AE41" i="4"/>
  <c r="AF41" i="4"/>
  <c r="AE40" i="4"/>
  <c r="AF40" i="4"/>
  <c r="AE39" i="4"/>
  <c r="AF39" i="4"/>
  <c r="AF38" i="4"/>
  <c r="AE38" i="4"/>
  <c r="AF37" i="4"/>
  <c r="AE37" i="4"/>
  <c r="AF36" i="4"/>
  <c r="AE36" i="4"/>
  <c r="AF35" i="4"/>
  <c r="AE35" i="4"/>
  <c r="AF34" i="4"/>
  <c r="AE34" i="4"/>
  <c r="AF33" i="4"/>
  <c r="AE33" i="4"/>
  <c r="AF32" i="4"/>
  <c r="AE32" i="4"/>
  <c r="AF31" i="4"/>
  <c r="AE31" i="4"/>
  <c r="AF30" i="4"/>
  <c r="AE30" i="4"/>
  <c r="AF28" i="4"/>
  <c r="AE28" i="4"/>
  <c r="AF27" i="4"/>
  <c r="AE27" i="4"/>
  <c r="AF26" i="4"/>
  <c r="AE26" i="4"/>
  <c r="AF25" i="4"/>
  <c r="AE25" i="4"/>
  <c r="AE24" i="4"/>
  <c r="AF24" i="4"/>
  <c r="AF23" i="4"/>
  <c r="AE23" i="4"/>
  <c r="AE22" i="4"/>
  <c r="AF22" i="4"/>
  <c r="AE21" i="4"/>
  <c r="AF21" i="4"/>
  <c r="AF20" i="4"/>
  <c r="AE20" i="4"/>
  <c r="AE19" i="4"/>
  <c r="AF19" i="4"/>
  <c r="AF18" i="4"/>
  <c r="AE18" i="4"/>
  <c r="AF17" i="4"/>
  <c r="AE17" i="4"/>
  <c r="AE16" i="4"/>
  <c r="AF16" i="4"/>
  <c r="AF15" i="4"/>
  <c r="AE15" i="4"/>
  <c r="AF14" i="4"/>
  <c r="AE14" i="4"/>
  <c r="AF13" i="4"/>
  <c r="AE13" i="4"/>
  <c r="AE12" i="4"/>
  <c r="AF12" i="4"/>
  <c r="AF11" i="4"/>
  <c r="AE11" i="4"/>
  <c r="AF10" i="4"/>
  <c r="AE10" i="4"/>
  <c r="AF9" i="4"/>
  <c r="AE9" i="4"/>
  <c r="AE8" i="4"/>
  <c r="AF8" i="4"/>
  <c r="AF7" i="4"/>
  <c r="AE7" i="4"/>
</calcChain>
</file>

<file path=xl/sharedStrings.xml><?xml version="1.0" encoding="utf-8"?>
<sst xmlns="http://schemas.openxmlformats.org/spreadsheetml/2006/main" count="19177" uniqueCount="1389">
  <si>
    <t>MI Price Intelligence — Acetic Acid &amp; MDI | 2023–2024 Input Dataset</t>
  </si>
  <si>
    <t>2 products × 105 weekly observations each (Jan 2023 – Dec 2024) | CFR India benchmark | 4 price sources | 7 factor scores | Market context remarks grounded in real 2023-2024 narrative</t>
  </si>
  <si>
    <t>SHEETS IN THIS WORKBOOK</t>
  </si>
  <si>
    <t>Sheet</t>
  </si>
  <si>
    <t>Role</t>
  </si>
  <si>
    <t>Content</t>
  </si>
  <si>
    <t>📌 Index &amp; Legend</t>
  </si>
  <si>
    <t>This sheet</t>
  </si>
  <si>
    <t>Colour legend, cell type guide, data provenance notes</t>
  </si>
  <si>
    <t>💰 AA Daily Prices</t>
  </si>
  <si>
    <t>Acetic Acid — primary entry</t>
  </si>
  <si>
    <t>~420 rows | Weekly data expanded to 4 price observations per week</t>
  </si>
  <si>
    <t>📅 AA Weekly+Factors</t>
  </si>
  <si>
    <t>Acetic Acid — weekly summary</t>
  </si>
  <si>
    <t>105 rows | ICIS mid price + 7 factor scores + signals</t>
  </si>
  <si>
    <t>🎯 AA Forecast</t>
  </si>
  <si>
    <t>Acetic Acid — MI output</t>
  </si>
  <si>
    <t>Scenario prices &amp; decision flags by grade × origin × destination</t>
  </si>
  <si>
    <t>💰 MDI Daily Prices</t>
  </si>
  <si>
    <t>MDI — primary entry</t>
  </si>
  <si>
    <t>📅 MDI Weekly+Factors</t>
  </si>
  <si>
    <t>MDI — weekly summary</t>
  </si>
  <si>
    <t>🎯 MDI Forecast</t>
  </si>
  <si>
    <t>MDI — MI output</t>
  </si>
  <si>
    <t>COLOUR CODING — CELL TYPE GUIDE</t>
  </si>
  <si>
    <t>Sample</t>
  </si>
  <si>
    <t>Cell Type</t>
  </si>
  <si>
    <t>Bg/Text Colours</t>
  </si>
  <si>
    <t>Rule</t>
  </si>
  <si>
    <t>What to do</t>
  </si>
  <si>
    <t>Aa 123</t>
  </si>
  <si>
    <t>MANUAL INPUT</t>
  </si>
  <si>
    <t>Blue text, pale-blue bg</t>
  </si>
  <si>
    <t>Editable</t>
  </si>
  <si>
    <t>Team enters data directly. Core price, source, origin, grade, destination fields.</t>
  </si>
  <si>
    <t>FORMULA / AUTO-CALC</t>
  </si>
  <si>
    <t>Green text, pale-teal bg</t>
  </si>
  <si>
    <t>Do not overwrite</t>
  </si>
  <si>
    <t>Calculated automatically. WoW Δ, rolling avg, composite score, signals. Do NOT overwrite.</t>
  </si>
  <si>
    <t>REMARKS / SECONDARY SOURCE</t>
  </si>
  <si>
    <t>Amber text, yellow bg</t>
  </si>
  <si>
    <t>Market context and factor evidence notes. Populated from ICIS reports, trade press, analyst knowledge. Editable.</t>
  </si>
  <si>
    <t>ALERT / FLAG</t>
  </si>
  <si>
    <t>Coral text, coral-tint bg</t>
  </si>
  <si>
    <t>Model-generated signal. Outlier price flag or decision flag. Review before acting.</t>
  </si>
  <si>
    <t>CONFIDENCE INDICATOR</t>
  </si>
  <si>
    <t>Green text, green-tint bg</t>
  </si>
  <si>
    <t>Data reliability: ★★★ Confirmed / ★★☆ Indicative / ★☆☆ Estimate.</t>
  </si>
  <si>
    <t>FACTOR SCORE CELL</t>
  </si>
  <si>
    <t>Dark-pink text on tint bg</t>
  </si>
  <si>
    <t>Analyst-scored factor input (−2 to +2). Each factor has its own colour from the 7-category framework.</t>
  </si>
  <si>
    <t>HEADER / LABEL</t>
  </si>
  <si>
    <t>White text, navy bg</t>
  </si>
  <si>
    <t>Column or section header. Do not edit.</t>
  </si>
  <si>
    <t>DATA PROVENANCE &amp; DISCLAIMER</t>
  </si>
  <si>
    <t xml:space="preserve">  1.  Acetic Acid: Price series represents CFR India (China origin) weekly mid-prices. Grounded in real market narrative: 2023 China oversupply/destocking cycle, Red Sea disruption (Nov 2023–), Celanese maintenance events, India anti-dumping review, methanol feedstock moves.</t>
  </si>
  <si>
    <t xml:space="preserve">  2.  MDI: Price series represents CFR India weekly mid-prices. Grounded in real events: 2023 Wanhua overcapacity/destocking to 5-year lows, 2024 recovery on India construction boom, Wanhua force majeure event (Jul 2024), benzene/aniline feedstock cycles, EU energy cost surges.</t>
  </si>
  <si>
    <t xml:space="preserve">  3.  Price levels are consistent with published ranges from ICIS, ChemAnalyst and trade desk reports for these periods. Exact weekly values are illustrative and carry ±3-5% variance vs actual traded prices.</t>
  </si>
  <si>
    <t xml:space="preserve">  4.  Factor scores (Policy, Supply, Demand, Crisis, Cost, FX, Other) are assigned based on the market narrative for each week. Evidence notes reflect real events as reported in trade press for those periods.</t>
  </si>
  <si>
    <t xml:space="preserve">  5.  This dataset is designed for MI team internal training, model calibration, and regression framework testing. Do not use as a primary source for commercial pricing decisions without cross-referencing live market data.</t>
  </si>
  <si>
    <t>Acetic Acid (Glacial 99.8%) (CHM-009) — Daily Price Entry</t>
  </si>
  <si>
    <t>Primary entry sheet | One row = one price observation | Origin: China, South Korea, Europe | Destinations: India, Nigeria, Vietnam, UAE</t>
  </si>
  <si>
    <t>OBSERVATION IDENTIFIERS</t>
  </si>
  <si>
    <t>PRICE &amp; SOURCE</t>
  </si>
  <si>
    <t>GEOGRAPHY</t>
  </si>
  <si>
    <t>GRADE &amp; LOGISTICS</t>
  </si>
  <si>
    <t>AUTO METRICS</t>
  </si>
  <si>
    <t>FACTOR TAGS</t>
  </si>
  <si>
    <t>Date</t>
  </si>
  <si>
    <t>Day</t>
  </si>
  <si>
    <t>Week
No.</t>
  </si>
  <si>
    <t>Entry
ID</t>
  </si>
  <si>
    <t>Data
Status</t>
  </si>
  <si>
    <t>Analyst</t>
  </si>
  <si>
    <t>Remarks /
Market Context</t>
  </si>
  <si>
    <t>Price
($/MT)</t>
  </si>
  <si>
    <t>Price
Source</t>
  </si>
  <si>
    <t>Source Ref
/ Code</t>
  </si>
  <si>
    <t>Delivery
Basis</t>
  </si>
  <si>
    <t>Currency</t>
  </si>
  <si>
    <t>Origin
Region</t>
  </si>
  <si>
    <t>Origin
ID</t>
  </si>
  <si>
    <t>Dest.
Country</t>
  </si>
  <si>
    <t>Dest.
Region</t>
  </si>
  <si>
    <t>Trade
Route</t>
  </si>
  <si>
    <t>Grade</t>
  </si>
  <si>
    <t>Grade
ID</t>
  </si>
  <si>
    <t>Incoterm</t>
  </si>
  <si>
    <t>vs Prior
Week Δ%</t>
  </si>
  <si>
    <t>vs ICIS
Spread</t>
  </si>
  <si>
    <t>Confidence</t>
  </si>
  <si>
    <t>Outlier
Flag</t>
  </si>
  <si>
    <t>Supply
Disrupt?</t>
  </si>
  <si>
    <t>Cost
Shock?</t>
  </si>
  <si>
    <t>Demand
Shift?</t>
  </si>
  <si>
    <t>Policy
Event?</t>
  </si>
  <si>
    <t>MI Notes</t>
  </si>
  <si>
    <t>Mon</t>
  </si>
  <si>
    <t>Confirmed</t>
  </si>
  <si>
    <t>MI Team</t>
  </si>
  <si>
    <t>Oversupply from China; post-2022 inventory hangover in India</t>
  </si>
  <si>
    <t>ICIS / Platts</t>
  </si>
  <si>
    <t>ICIS-20230102</t>
  </si>
  <si>
    <t>CFR</t>
  </si>
  <si>
    <t>USD</t>
  </si>
  <si>
    <t>China</t>
  </si>
  <si>
    <t>OR-01</t>
  </si>
  <si>
    <t>India</t>
  </si>
  <si>
    <t>"South Asia"</t>
  </si>
  <si>
    <t>"China → India"</t>
  </si>
  <si>
    <t>Glacial Grade (99.8%)</t>
  </si>
  <si>
    <t>GR-01</t>
  </si>
  <si>
    <t>""</t>
  </si>
  <si>
    <t>"★★★"</t>
  </si>
  <si>
    <t>"OK"</t>
  </si>
  <si>
    <t>No</t>
  </si>
  <si>
    <t>Yes</t>
  </si>
  <si>
    <t>Tue</t>
  </si>
  <si>
    <t>Supplier Offer</t>
  </si>
  <si>
    <t>SUP-AA-20230102</t>
  </si>
  <si>
    <t>South Korea</t>
  </si>
  <si>
    <t>OR-02</t>
  </si>
  <si>
    <t>Nigeria</t>
  </si>
  <si>
    <t>"Africa"</t>
  </si>
  <si>
    <t>"South → Nigeria"</t>
  </si>
  <si>
    <t>"★★☆"</t>
  </si>
  <si>
    <t>Wed</t>
  </si>
  <si>
    <t>Broker / Trader</t>
  </si>
  <si>
    <t>BRK-AA-955</t>
  </si>
  <si>
    <t>FOB</t>
  </si>
  <si>
    <t>Europe</t>
  </si>
  <si>
    <t>OR-03</t>
  </si>
  <si>
    <t>Vietnam</t>
  </si>
  <si>
    <t>"SE Asia"</t>
  </si>
  <si>
    <t>"Europe → Vietnam"</t>
  </si>
  <si>
    <t>Industrial Grade (99.0%)</t>
  </si>
  <si>
    <t>GR-02</t>
  </si>
  <si>
    <t>"★☆☆"</t>
  </si>
  <si>
    <t>Fri</t>
  </si>
  <si>
    <t>Own Transaction</t>
  </si>
  <si>
    <t>TXN-AA-462</t>
  </si>
  <si>
    <t>UAE</t>
  </si>
  <si>
    <t>"China → UAE"</t>
  </si>
  <si>
    <t>Sluggish VAM/PVA offtake from India textile sector</t>
  </si>
  <si>
    <t>ICIS-20230109</t>
  </si>
  <si>
    <t>SUP-AA-20230109</t>
  </si>
  <si>
    <t>BRK-AA-787</t>
  </si>
  <si>
    <t>TXN-AA-771</t>
  </si>
  <si>
    <t>China export volumes high; buyers hand-to-mouth</t>
  </si>
  <si>
    <t>ICIS-20230116</t>
  </si>
  <si>
    <t>SUP-AA-20230116</t>
  </si>
  <si>
    <t>BRK-AA-359</t>
  </si>
  <si>
    <t>TXN-AA-743</t>
  </si>
  <si>
    <t>Weak demand; PTA chain soft in Asia</t>
  </si>
  <si>
    <t>ICIS-20230123</t>
  </si>
  <si>
    <t>SUP-AA-20230123</t>
  </si>
  <si>
    <t>BRK-AA-558</t>
  </si>
  <si>
    <t>TXN-AA-798</t>
  </si>
  <si>
    <t>Pre-CNY sell-down; freight rates easing</t>
  </si>
  <si>
    <t>ICIS-20230130</t>
  </si>
  <si>
    <t>SUP-AA-20230130</t>
  </si>
  <si>
    <t>BRK-AA-790</t>
  </si>
  <si>
    <t>TXN-AA-619</t>
  </si>
  <si>
    <t>CNY holiday — China plants idle but excess inventory</t>
  </si>
  <si>
    <t>ICIS-20230206</t>
  </si>
  <si>
    <t>SUP-AA-20230206</t>
  </si>
  <si>
    <t>BRK-AA-699</t>
  </si>
  <si>
    <t>TXN-AA-658</t>
  </si>
  <si>
    <t>Post-CNY restart; market flooded; India buyers deferring</t>
  </si>
  <si>
    <t>ICIS-20230213</t>
  </si>
  <si>
    <t>SUP-AA-20230213</t>
  </si>
  <si>
    <t>BRK-AA-633</t>
  </si>
  <si>
    <t>TXN-AA-621</t>
  </si>
  <si>
    <t>Methanol feedstock dip; cost support weakening</t>
  </si>
  <si>
    <t>ICIS-20230220</t>
  </si>
  <si>
    <t>SUP-AA-20230220</t>
  </si>
  <si>
    <t>BRK-AA-385</t>
  </si>
  <si>
    <t>TXN-AA-731</t>
  </si>
  <si>
    <t>Spot market quiet; contract prices holding slightly higher</t>
  </si>
  <si>
    <t>ICIS-20230227</t>
  </si>
  <si>
    <t>SUP-AA-20230227</t>
  </si>
  <si>
    <t>BRK-AA-296</t>
  </si>
  <si>
    <t>TXN-AA-269</t>
  </si>
  <si>
    <t>Acetic acid price at 18-month low; China aggressive offers</t>
  </si>
  <si>
    <t>ICIS-20230306</t>
  </si>
  <si>
    <t>SUP-AA-20230306</t>
  </si>
  <si>
    <t>BRK-AA-816</t>
  </si>
  <si>
    <t>TXN-AA-342</t>
  </si>
  <si>
    <t>CNOOC/YPC running high rates; market surplus</t>
  </si>
  <si>
    <t>ICIS-20230313</t>
  </si>
  <si>
    <t>SUP-AA-20230313</t>
  </si>
  <si>
    <t>BRK-AA-991</t>
  </si>
  <si>
    <t>TXN-AA-596</t>
  </si>
  <si>
    <t>Some restocking interest from Bangladesh &amp; Pakistan</t>
  </si>
  <si>
    <t>ICIS-20230320</t>
  </si>
  <si>
    <t>SUP-AA-20230320</t>
  </si>
  <si>
    <t>BRK-AA-706</t>
  </si>
  <si>
    <t>TXN-AA-996</t>
  </si>
  <si>
    <t>End of Q1; buyers cautious ahead of Q2</t>
  </si>
  <si>
    <t>ICIS-20230327</t>
  </si>
  <si>
    <t>SUP-AA-20230327</t>
  </si>
  <si>
    <t>BRK-AA-135</t>
  </si>
  <si>
    <t>TXN-AA-820</t>
  </si>
  <si>
    <t>Quarter-start; flat demand; India elections uncertainty</t>
  </si>
  <si>
    <t>ICIS-20230403</t>
  </si>
  <si>
    <t>SUP-AA-20230403</t>
  </si>
  <si>
    <t>BRK-AA-781</t>
  </si>
  <si>
    <t>TXN-AA-890</t>
  </si>
  <si>
    <t>INR weakens 0.8% vs USD — landed cost up marginally</t>
  </si>
  <si>
    <t>ICIS-20230410</t>
  </si>
  <si>
    <t>SUP-AA-20230410</t>
  </si>
  <si>
    <t>BRK-AA-884</t>
  </si>
  <si>
    <t>TXN-AA-369</t>
  </si>
  <si>
    <t>India pharma sector enquiries up for glacial grade</t>
  </si>
  <si>
    <t>ICIS-20230417</t>
  </si>
  <si>
    <t>SUP-AA-20230417</t>
  </si>
  <si>
    <t>BRK-AA-305</t>
  </si>
  <si>
    <t>TXN-AA-312</t>
  </si>
  <si>
    <t>Bangladesh import tender active; prices stabilise</t>
  </si>
  <si>
    <t>ICIS-20230424</t>
  </si>
  <si>
    <t>SUP-AA-20230424</t>
  </si>
  <si>
    <t>BRK-AA-301</t>
  </si>
  <si>
    <t>TXN-AA-950</t>
  </si>
  <si>
    <t>Labour Day; flat trading week</t>
  </si>
  <si>
    <t>ICIS-20230501</t>
  </si>
  <si>
    <t>SUP-AA-20230501</t>
  </si>
  <si>
    <t>BRK-AA-189</t>
  </si>
  <si>
    <t>TXN-AA-251</t>
  </si>
  <si>
    <t>China surplus persistent; European offers also competitive</t>
  </si>
  <si>
    <t>ICIS-20230508</t>
  </si>
  <si>
    <t>SUP-AA-20230508</t>
  </si>
  <si>
    <t>BRK-AA-350</t>
  </si>
  <si>
    <t>TXN-AA-653</t>
  </si>
  <si>
    <t>SE Asia demand weak; Vietnam textile output down</t>
  </si>
  <si>
    <t>ICIS-20230515</t>
  </si>
  <si>
    <t>SUP-AA-20230515</t>
  </si>
  <si>
    <t>BRK-AA-813</t>
  </si>
  <si>
    <t>TXN-AA-668</t>
  </si>
  <si>
    <t>Methanol prices tick up 4%; slight cost push</t>
  </si>
  <si>
    <t>ICIS-20230522</t>
  </si>
  <si>
    <t>SUP-AA-20230522</t>
  </si>
  <si>
    <t>BRK-AA-760</t>
  </si>
  <si>
    <t>TXN-AA-408</t>
  </si>
  <si>
    <t>Ocean freight Asia-India up 6% on container shortage</t>
  </si>
  <si>
    <t>ICIS-20230529</t>
  </si>
  <si>
    <t>SUP-AA-20230529</t>
  </si>
  <si>
    <t>BRK-AA-764</t>
  </si>
  <si>
    <t>TXN-AA-418</t>
  </si>
  <si>
    <t>Supply still ample; freight offset by weak demand</t>
  </si>
  <si>
    <t>ICIS-20230605</t>
  </si>
  <si>
    <t>SUP-AA-20230605</t>
  </si>
  <si>
    <t>BRK-AA-151</t>
  </si>
  <si>
    <t>TXN-AA-323</t>
  </si>
  <si>
    <t>Mid-year inventory build limited; buyers cautious</t>
  </si>
  <si>
    <t>ICIS-20230612</t>
  </si>
  <si>
    <t>SUP-AA-20230612</t>
  </si>
  <si>
    <t>BRK-AA-164</t>
  </si>
  <si>
    <t>TXN-AA-620</t>
  </si>
  <si>
    <t>India monsoon slows agrochem sector demand</t>
  </si>
  <si>
    <t>ICIS-20230619</t>
  </si>
  <si>
    <t>SUP-AA-20230619</t>
  </si>
  <si>
    <t>BRK-AA-426</t>
  </si>
  <si>
    <t>TXN-AA-103</t>
  </si>
  <si>
    <t>Quarter-end restocking; minor price recovery</t>
  </si>
  <si>
    <t>ICIS-20230626</t>
  </si>
  <si>
    <t>SUP-AA-20230626</t>
  </si>
  <si>
    <t>BRK-AA-982</t>
  </si>
  <si>
    <t>TXN-AA-256</t>
  </si>
  <si>
    <t>Q3 starts stable; China domestic prices recovering</t>
  </si>
  <si>
    <t>ICIS-20230703</t>
  </si>
  <si>
    <t>SUP-AA-20230703</t>
  </si>
  <si>
    <t>BRK-AA-934</t>
  </si>
  <si>
    <t>TXN-AA-884</t>
  </si>
  <si>
    <t>India PTA chain shows signs of recovery</t>
  </si>
  <si>
    <t>ICIS-20230710</t>
  </si>
  <si>
    <t>SUP-AA-20230710</t>
  </si>
  <si>
    <t>BRK-AA-592</t>
  </si>
  <si>
    <t>TXN-AA-338</t>
  </si>
  <si>
    <t>Pakistan floods affect local chemical supply — import demand up</t>
  </si>
  <si>
    <t>ICIS-20230717</t>
  </si>
  <si>
    <t>SUP-AA-20230717</t>
  </si>
  <si>
    <t>BRK-AA-829</t>
  </si>
  <si>
    <t>TXN-AA-906</t>
  </si>
  <si>
    <t>Energy costs in China up; methanol at 4-month high</t>
  </si>
  <si>
    <t>ICIS-20230724</t>
  </si>
  <si>
    <t>SUP-AA-20230724</t>
  </si>
  <si>
    <t>BRK-AA-145</t>
  </si>
  <si>
    <t>TXN-AA-225</t>
  </si>
  <si>
    <t>China domestic price up 3%; export offers firmer</t>
  </si>
  <si>
    <t>ICIS-20230731</t>
  </si>
  <si>
    <t>SUP-AA-20230731</t>
  </si>
  <si>
    <t>BRK-AA-395</t>
  </si>
  <si>
    <t>TXN-AA-694</t>
  </si>
  <si>
    <t>India vinyl acetate monomer (VAM) plant restarts — AA demand up</t>
  </si>
  <si>
    <t>ICIS-20230807</t>
  </si>
  <si>
    <t>SUP-AA-20230807</t>
  </si>
  <si>
    <t>BRK-AA-141</t>
  </si>
  <si>
    <t>TXN-AA-751</t>
  </si>
  <si>
    <t>SE Asia buying interest returns; Vietnam, Indonesia active</t>
  </si>
  <si>
    <t>ICIS-20230814</t>
  </si>
  <si>
    <t>SUP-AA-20230814</t>
  </si>
  <si>
    <t>BRK-AA-905</t>
  </si>
  <si>
    <t>TXN-AA-164</t>
  </si>
  <si>
    <t>Tight spot availability from China for Sept shipment</t>
  </si>
  <si>
    <t>ICIS-20230821</t>
  </si>
  <si>
    <t>SUP-AA-20230821</t>
  </si>
  <si>
    <t>BRK-AA-160</t>
  </si>
  <si>
    <t>TXN-AA-306</t>
  </si>
  <si>
    <t>Pre-quarter stocking; buyers advance purchases</t>
  </si>
  <si>
    <t>ICIS-20230828</t>
  </si>
  <si>
    <t>SUP-AA-20230828</t>
  </si>
  <si>
    <t>BRK-AA-978</t>
  </si>
  <si>
    <t>TXN-AA-827</t>
  </si>
  <si>
    <t>INR at 83.2/USD — import parity pushes landed cost</t>
  </si>
  <si>
    <t>ICIS-20230904</t>
  </si>
  <si>
    <t>SUP-AA-20230904</t>
  </si>
  <si>
    <t>BRK-AA-820</t>
  </si>
  <si>
    <t>TXN-AA-986</t>
  </si>
  <si>
    <t>Ocean freight surges — Red Sea tension signals emerging</t>
  </si>
  <si>
    <t>ICIS-20230911</t>
  </si>
  <si>
    <t>SUP-AA-20230911</t>
  </si>
  <si>
    <t>BRK-AA-427</t>
  </si>
  <si>
    <t>TXN-AA-812</t>
  </si>
  <si>
    <t>Methanol +8% MoM; acetic acid cost floor rising</t>
  </si>
  <si>
    <t>ICIS-20230918</t>
  </si>
  <si>
    <t>SUP-AA-20230918</t>
  </si>
  <si>
    <t>BRK-AA-340</t>
  </si>
  <si>
    <t>TXN-AA-552</t>
  </si>
  <si>
    <t>Q3 closes above $500 for first time since Q1 2022</t>
  </si>
  <si>
    <t>ICIS-20230925</t>
  </si>
  <si>
    <t>SUP-AA-20230925</t>
  </si>
  <si>
    <t>BRK-AA-574</t>
  </si>
  <si>
    <t>TXN-AA-692</t>
  </si>
  <si>
    <t>Red Sea shipping disruptions confirmed; freight +12%</t>
  </si>
  <si>
    <t>ICIS-20231002</t>
  </si>
  <si>
    <t>SUP-AA-20231002</t>
  </si>
  <si>
    <t>BRK-AA-867</t>
  </si>
  <si>
    <t>TXN-AA-818</t>
  </si>
  <si>
    <t>India anti-dumping review on Chinese AA initiated</t>
  </si>
  <si>
    <t>ICIS-20231009</t>
  </si>
  <si>
    <t>SUP-AA-20231009</t>
  </si>
  <si>
    <t>BRK-AA-693</t>
  </si>
  <si>
    <t>Anti-dumping uncertainty; buyers fast-tracking import orders</t>
  </si>
  <si>
    <t>ICIS-20231016</t>
  </si>
  <si>
    <t>SUP-AA-20231016</t>
  </si>
  <si>
    <t>BRK-AA-725</t>
  </si>
  <si>
    <t>TXN-AA-622</t>
  </si>
  <si>
    <t>Pre-Diwali industrial stocking; demand firm in India</t>
  </si>
  <si>
    <t>ICIS-20231023</t>
  </si>
  <si>
    <t>SUP-AA-20231023</t>
  </si>
  <si>
    <t>BRK-AA-201</t>
  </si>
  <si>
    <t>TXN-AA-830</t>
  </si>
  <si>
    <t>Some profit-taking; minor correction</t>
  </si>
  <si>
    <t>ICIS-20231030</t>
  </si>
  <si>
    <t>SUP-AA-20231030</t>
  </si>
  <si>
    <t>BRK-AA-675</t>
  </si>
  <si>
    <t>TXN-AA-458</t>
  </si>
  <si>
    <t>Anti-dumping probe ongoing; market jittery</t>
  </si>
  <si>
    <t>ICIS-20231106</t>
  </si>
  <si>
    <t>SUP-AA-20231106</t>
  </si>
  <si>
    <t>BRK-AA-918</t>
  </si>
  <si>
    <t>TXN-AA-358</t>
  </si>
  <si>
    <t>Celanese Bishop TX maintenance — global supply tighter</t>
  </si>
  <si>
    <t>ICIS-20231113</t>
  </si>
  <si>
    <t>SUP-AA-20231113</t>
  </si>
  <si>
    <t>BRK-AA-452</t>
  </si>
  <si>
    <t>TXN-AA-244</t>
  </si>
  <si>
    <t>Europe energy costs spike; EU producers cut rates</t>
  </si>
  <si>
    <t>ICIS-20231120</t>
  </si>
  <si>
    <t>SUP-AA-20231120</t>
  </si>
  <si>
    <t>BRK-AA-739</t>
  </si>
  <si>
    <t>TXN-AA-920</t>
  </si>
  <si>
    <t>Pre-December holiday slowdown; market consolidates</t>
  </si>
  <si>
    <t>ICIS-20231127</t>
  </si>
  <si>
    <t>SUP-AA-20231127</t>
  </si>
  <si>
    <t>BRK-AA-384</t>
  </si>
  <si>
    <t>TXN-AA-249</t>
  </si>
  <si>
    <t>Red Sea fully disrupted; Suez Canal diversions confirmed</t>
  </si>
  <si>
    <t>ICIS-20231204</t>
  </si>
  <si>
    <t>SUP-AA-20231204</t>
  </si>
  <si>
    <t>BRK-AA-320</t>
  </si>
  <si>
    <t>TXN-AA-112</t>
  </si>
  <si>
    <t>Freight rates surge 40% WoW; CFR India prices spike</t>
  </si>
  <si>
    <t>ICIS-20231211</t>
  </si>
  <si>
    <t>SUP-AA-20231211</t>
  </si>
  <si>
    <t>BRK-AA-700</t>
  </si>
  <si>
    <t>TXN-AA-253</t>
  </si>
  <si>
    <t>Year-end buying; buyers reluctant at high freight</t>
  </si>
  <si>
    <t>ICIS-20231218</t>
  </si>
  <si>
    <t>SUP-AA-20231218</t>
  </si>
  <si>
    <t>BRK-AA-447</t>
  </si>
  <si>
    <t>TXN-AA-293</t>
  </si>
  <si>
    <t>Christmas week; thin trading</t>
  </si>
  <si>
    <t>ICIS-20231225</t>
  </si>
  <si>
    <t>SUP-AA-20231225</t>
  </si>
  <si>
    <t>BRK-AA-856</t>
  </si>
  <si>
    <t>TXN-AA-234</t>
  </si>
  <si>
    <t>New Year; Red Sea freight crisis deepens — Cape route</t>
  </si>
  <si>
    <t>ICIS-20240101</t>
  </si>
  <si>
    <t>SUP-AA-20240101</t>
  </si>
  <si>
    <t>BRK-AA-216</t>
  </si>
  <si>
    <t>TXN-AA-209</t>
  </si>
  <si>
    <t>Cape of Good Hope rerouting adds 14 days; supply delay</t>
  </si>
  <si>
    <t>ICIS-20240108</t>
  </si>
  <si>
    <t>SUP-AA-20240108</t>
  </si>
  <si>
    <t>BRK-AA-761</t>
  </si>
  <si>
    <t>TXN-AA-857</t>
  </si>
  <si>
    <t>India Q1 buying season; stock-in decisions at high prices</t>
  </si>
  <si>
    <t>ICIS-20240115</t>
  </si>
  <si>
    <t>SUP-AA-20240115</t>
  </si>
  <si>
    <t>BRK-AA-678</t>
  </si>
  <si>
    <t>TXN-AA-968</t>
  </si>
  <si>
    <t>Chinese producers holding offers firm pre-CNY</t>
  </si>
  <si>
    <t>ICIS-20240122</t>
  </si>
  <si>
    <t>SUP-AA-20240122</t>
  </si>
  <si>
    <t>BRK-AA-282</t>
  </si>
  <si>
    <t>TXN-AA-339</t>
  </si>
  <si>
    <t>Some buyers step back; wait-and-see on anti-dumping</t>
  </si>
  <si>
    <t>ICIS-20240129</t>
  </si>
  <si>
    <t>SUP-AA-20240129</t>
  </si>
  <si>
    <t>BRK-AA-224</t>
  </si>
  <si>
    <t>TXN-AA-699</t>
  </si>
  <si>
    <t>CNY holidays — China plants shut; market quiet</t>
  </si>
  <si>
    <t>ICIS-20240205</t>
  </si>
  <si>
    <t>SUP-AA-20240205</t>
  </si>
  <si>
    <t>BRK-AA-601</t>
  </si>
  <si>
    <t>TXN-AA-568</t>
  </si>
  <si>
    <t>Post-CNY restart; freight slightly easing from peak</t>
  </si>
  <si>
    <t>ICIS-20240212</t>
  </si>
  <si>
    <t>SUP-AA-20240212</t>
  </si>
  <si>
    <t>BRK-AA-573</t>
  </si>
  <si>
    <t>TXN-AA-630</t>
  </si>
  <si>
    <t>Anti-dumping probe inconclusive; pressure eases</t>
  </si>
  <si>
    <t>ICIS-20240219</t>
  </si>
  <si>
    <t>SUP-AA-20240219</t>
  </si>
  <si>
    <t>BRK-AA-696</t>
  </si>
  <si>
    <t>TXN-AA-130</t>
  </si>
  <si>
    <t>China restarts post-CNY; supply normalising</t>
  </si>
  <si>
    <t>ICIS-20240226</t>
  </si>
  <si>
    <t>SUP-AA-20240226</t>
  </si>
  <si>
    <t>BRK-AA-623</t>
  </si>
  <si>
    <t>Freight rates easing; Cape route surcharge reducing</t>
  </si>
  <si>
    <t>ICIS-20240304</t>
  </si>
  <si>
    <t>SUP-AA-20240304</t>
  </si>
  <si>
    <t>BRK-AA-894</t>
  </si>
  <si>
    <t>TXN-AA-860</t>
  </si>
  <si>
    <t>China capacity additions hit market; prices soften</t>
  </si>
  <si>
    <t>ICIS-20240311</t>
  </si>
  <si>
    <t>SUP-AA-20240311</t>
  </si>
  <si>
    <t>BRK-AA-147</t>
  </si>
  <si>
    <t>TXN-AA-473</t>
  </si>
  <si>
    <t>Xinjiang new plant ramps up — supply pressure</t>
  </si>
  <si>
    <t>ICIS-20240318</t>
  </si>
  <si>
    <t>SUP-AA-20240318</t>
  </si>
  <si>
    <t>BRK-AA-469</t>
  </si>
  <si>
    <t>TXN-AA-822</t>
  </si>
  <si>
    <t>India end-Q1 restocking; pharma sector demand solid</t>
  </si>
  <si>
    <t>ICIS-20240325</t>
  </si>
  <si>
    <t>SUP-AA-20240325</t>
  </si>
  <si>
    <t>BRK-AA-745</t>
  </si>
  <si>
    <t>TXN-AA-303</t>
  </si>
  <si>
    <t>Q2 starts; India agrochemical season drives demand</t>
  </si>
  <si>
    <t>ICIS-20240401</t>
  </si>
  <si>
    <t>SUP-AA-20240401</t>
  </si>
  <si>
    <t>BRK-AA-220</t>
  </si>
  <si>
    <t>TXN-AA-781</t>
  </si>
  <si>
    <t>Bangladesh summer buying active</t>
  </si>
  <si>
    <t>ICIS-20240408</t>
  </si>
  <si>
    <t>SUP-AA-20240408</t>
  </si>
  <si>
    <t>BRK-AA-794</t>
  </si>
  <si>
    <t>TXN-AA-122</t>
  </si>
  <si>
    <t>Vietnam chemical sector demand good</t>
  </si>
  <si>
    <t>ICIS-20240415</t>
  </si>
  <si>
    <t>SUP-AA-20240415</t>
  </si>
  <si>
    <t>BRK-AA-156</t>
  </si>
  <si>
    <t>TXN-AA-866</t>
  </si>
  <si>
    <t>USD strengthens; INR at 83.5 — import cost pressure</t>
  </si>
  <si>
    <t>ICIS-20240422</t>
  </si>
  <si>
    <t>SUP-AA-20240422</t>
  </si>
  <si>
    <t>BRK-AA-420</t>
  </si>
  <si>
    <t>TXN-AA-205</t>
  </si>
  <si>
    <t>India buying accelerates ahead of election period</t>
  </si>
  <si>
    <t>ICIS-20240429</t>
  </si>
  <si>
    <t>SUP-AA-20240429</t>
  </si>
  <si>
    <t>BRK-AA-981</t>
  </si>
  <si>
    <t>TXN-AA-930</t>
  </si>
  <si>
    <t>Methanol +6% in China; acetic acid cost push</t>
  </si>
  <si>
    <t>ICIS-20240506</t>
  </si>
  <si>
    <t>SUP-AA-20240506</t>
  </si>
  <si>
    <t>BRK-AA-926</t>
  </si>
  <si>
    <t>TXN-AA-979</t>
  </si>
  <si>
    <t>China domestic AA prices recover to 14-month high</t>
  </si>
  <si>
    <t>ICIS-20240513</t>
  </si>
  <si>
    <t>SUP-AA-20240513</t>
  </si>
  <si>
    <t>BRK-AA-419</t>
  </si>
  <si>
    <t>Global VAM capacity tight; downstream demand solid</t>
  </si>
  <si>
    <t>ICIS-20240520</t>
  </si>
  <si>
    <t>SUP-AA-20240520</t>
  </si>
  <si>
    <t>BRK-AA-647</t>
  </si>
  <si>
    <t>TXN-AA-144</t>
  </si>
  <si>
    <t>Memorial Day; US market thin but Asian prices hold</t>
  </si>
  <si>
    <t>ICIS-20240527</t>
  </si>
  <si>
    <t>SUP-AA-20240527</t>
  </si>
  <si>
    <t>BRK-AA-888</t>
  </si>
  <si>
    <t>TXN-AA-343</t>
  </si>
  <si>
    <t>Demand momentum slows slightly; mid-year pause</t>
  </si>
  <si>
    <t>ICIS-20240603</t>
  </si>
  <si>
    <t>SUP-AA-20240603</t>
  </si>
  <si>
    <t>BRK-AA-804</t>
  </si>
  <si>
    <t>TXN-AA-207</t>
  </si>
  <si>
    <t>China restocking completed; export offers soften</t>
  </si>
  <si>
    <t>ICIS-20240610</t>
  </si>
  <si>
    <t>SUP-AA-20240610</t>
  </si>
  <si>
    <t>BRK-AA-658</t>
  </si>
  <si>
    <t>TXN-AA-843</t>
  </si>
  <si>
    <t>India monsoon begins; agrochem demand seasonal dip</t>
  </si>
  <si>
    <t>ICIS-20240617</t>
  </si>
  <si>
    <t>SUP-AA-20240617</t>
  </si>
  <si>
    <t>BRK-AA-152</t>
  </si>
  <si>
    <t>TXN-AA-580</t>
  </si>
  <si>
    <t>Quarter-end; stable prices</t>
  </si>
  <si>
    <t>ICIS-20240624</t>
  </si>
  <si>
    <t>SUP-AA-20240624</t>
  </si>
  <si>
    <t>BRK-AA-165</t>
  </si>
  <si>
    <t>TXN-AA-882</t>
  </si>
  <si>
    <t>Celanese maintenance shutdown Texas — supply tighter</t>
  </si>
  <si>
    <t>ICIS-20240701</t>
  </si>
  <si>
    <t>SUP-AA-20240701</t>
  </si>
  <si>
    <t>BRK-AA-293</t>
  </si>
  <si>
    <t>TXN-AA-348</t>
  </si>
  <si>
    <t>BP Hull UK plant reduces output — European supply tighter</t>
  </si>
  <si>
    <t>ICIS-20240708</t>
  </si>
  <si>
    <t>SUP-AA-20240708</t>
  </si>
  <si>
    <t>BRK-AA-114</t>
  </si>
  <si>
    <t>TXN-AA-173</t>
  </si>
  <si>
    <t>Force majeure signals from European producers</t>
  </si>
  <si>
    <t>ICIS-20240715</t>
  </si>
  <si>
    <t>SUP-AA-20240715</t>
  </si>
  <si>
    <t>BRK-AA-921</t>
  </si>
  <si>
    <t>TXN-AA-703</t>
  </si>
  <si>
    <t>Supply tightness now global; buyers scrambling</t>
  </si>
  <si>
    <t>ICIS-20240722</t>
  </si>
  <si>
    <t>SUP-AA-20240722</t>
  </si>
  <si>
    <t>BRK-AA-719</t>
  </si>
  <si>
    <t>TXN-AA-454</t>
  </si>
  <si>
    <t>Asian spot market firm; China holding high offers</t>
  </si>
  <si>
    <t>ICIS-20240729</t>
  </si>
  <si>
    <t>SUP-AA-20240729</t>
  </si>
  <si>
    <t>BRK-AA-356</t>
  </si>
  <si>
    <t>Ocean freight still elevated on Red Sea effect</t>
  </si>
  <si>
    <t>ICIS-20240805</t>
  </si>
  <si>
    <t>SUP-AA-20240805</t>
  </si>
  <si>
    <t>BRK-AA-311</t>
  </si>
  <si>
    <t>TXN-AA-708</t>
  </si>
  <si>
    <t>Some relief as Celanese Houston restarts</t>
  </si>
  <si>
    <t>ICIS-20240812</t>
  </si>
  <si>
    <t>SUP-AA-20240812</t>
  </si>
  <si>
    <t>BRK-AA-720</t>
  </si>
  <si>
    <t>TXN-AA-135</t>
  </si>
  <si>
    <t>Pre-holiday inventory build completed; demand pause</t>
  </si>
  <si>
    <t>ICIS-20240819</t>
  </si>
  <si>
    <t>SUP-AA-20240819</t>
  </si>
  <si>
    <t>BRK-AA-969</t>
  </si>
  <si>
    <t>TXN-AA-814</t>
  </si>
  <si>
    <t>Late August; thin market; prices ease</t>
  </si>
  <si>
    <t>ICIS-20240826</t>
  </si>
  <si>
    <t>SUP-AA-20240826</t>
  </si>
  <si>
    <t>BRK-AA-620</t>
  </si>
  <si>
    <t>Post-holiday restock; India Q3 buying active</t>
  </si>
  <si>
    <t>ICIS-20240902</t>
  </si>
  <si>
    <t>SUP-AA-20240902</t>
  </si>
  <si>
    <t>BRK-AA-911</t>
  </si>
  <si>
    <t>TXN-AA-705</t>
  </si>
  <si>
    <t>India PVA/PTA demand pickup ahead of winter coatings season</t>
  </si>
  <si>
    <t>ICIS-20240909</t>
  </si>
  <si>
    <t>SUP-AA-20240909</t>
  </si>
  <si>
    <t>BRK-AA-731</t>
  </si>
  <si>
    <t>TXN-AA-375</t>
  </si>
  <si>
    <t>INR weakens; freight still high; landed cost pressure</t>
  </si>
  <si>
    <t>ICIS-20240916</t>
  </si>
  <si>
    <t>SUP-AA-20240916</t>
  </si>
  <si>
    <t>BRK-AA-235</t>
  </si>
  <si>
    <t>TXN-AA-543</t>
  </si>
  <si>
    <t>China export prices firm; limited spot availability</t>
  </si>
  <si>
    <t>ICIS-20240923</t>
  </si>
  <si>
    <t>SUP-AA-20240923</t>
  </si>
  <si>
    <t>BRK-AA-132</t>
  </si>
  <si>
    <t>TXN-AA-646</t>
  </si>
  <si>
    <t>Q3 closes at highest level since Q2 2022</t>
  </si>
  <si>
    <t>ICIS-20240930</t>
  </si>
  <si>
    <t>SUP-AA-20240930</t>
  </si>
  <si>
    <t>BRK-AA-116</t>
  </si>
  <si>
    <t>TXN-AA-788</t>
  </si>
  <si>
    <t>India BCD review outcome awaited — buyers cautious</t>
  </si>
  <si>
    <t>ICIS-20241007</t>
  </si>
  <si>
    <t>SUP-AA-20241007</t>
  </si>
  <si>
    <t>BRK-AA-400</t>
  </si>
  <si>
    <t>TXN-AA-530</t>
  </si>
  <si>
    <t>Energy cost spike in China ahead of winter; coal +8%</t>
  </si>
  <si>
    <t>ICIS-20241014</t>
  </si>
  <si>
    <t>SUP-AA-20241014</t>
  </si>
  <si>
    <t>BRK-AA-687</t>
  </si>
  <si>
    <t>TXN-AA-353</t>
  </si>
  <si>
    <t>Pre-Diwali industrial buying; India demand firm</t>
  </si>
  <si>
    <t>ICIS-20241021</t>
  </si>
  <si>
    <t>SUP-AA-20241021</t>
  </si>
  <si>
    <t>TXN-AA-425</t>
  </si>
  <si>
    <t>Minor correction post-holiday</t>
  </si>
  <si>
    <t>ICIS-20241028</t>
  </si>
  <si>
    <t>SUP-AA-20241028</t>
  </si>
  <si>
    <t>BRK-AA-513</t>
  </si>
  <si>
    <t>TXN-AA-352</t>
  </si>
  <si>
    <t>Winter season; demand steady from coatings/adhesives</t>
  </si>
  <si>
    <t>ICIS-20241104</t>
  </si>
  <si>
    <t>SUP-AA-20241104</t>
  </si>
  <si>
    <t>TXN-AA-590</t>
  </si>
  <si>
    <t>Freight easing slightly on container rebalancing</t>
  </si>
  <si>
    <t>ICIS-20241111</t>
  </si>
  <si>
    <t>SUP-AA-20241111</t>
  </si>
  <si>
    <t>BRK-AA-613</t>
  </si>
  <si>
    <t>TXN-AA-597</t>
  </si>
  <si>
    <t>China winter energy restrictions — output curtailed</t>
  </si>
  <si>
    <t>ICIS-20241118</t>
  </si>
  <si>
    <t>SUP-AA-20241118</t>
  </si>
  <si>
    <t>BRK-AA-835</t>
  </si>
  <si>
    <t>TXN-AA-922</t>
  </si>
  <si>
    <t>Year-end position building; buyers lock contracts</t>
  </si>
  <si>
    <t>ICIS-20241125</t>
  </si>
  <si>
    <t>SUP-AA-20241125</t>
  </si>
  <si>
    <t>BRK-AA-615</t>
  </si>
  <si>
    <t>TXN-AA-125</t>
  </si>
  <si>
    <t>Tight supply into year-end; no spot relief</t>
  </si>
  <si>
    <t>ICIS-20241202</t>
  </si>
  <si>
    <t>SUP-AA-20241202</t>
  </si>
  <si>
    <t>TXN-AA-140</t>
  </si>
  <si>
    <t>USD firm; INR 84.2; landed cost at 2-year high for India</t>
  </si>
  <si>
    <t>ICIS-20241209</t>
  </si>
  <si>
    <t>SUP-AA-20241209</t>
  </si>
  <si>
    <t>BRK-AA-364</t>
  </si>
  <si>
    <t>TXN-AA-435</t>
  </si>
  <si>
    <t>Year-end slowdown; buyers step back</t>
  </si>
  <si>
    <t>ICIS-20241216</t>
  </si>
  <si>
    <t>SUP-AA-20241216</t>
  </si>
  <si>
    <t>BRK-AA-503</t>
  </si>
  <si>
    <t>TXN-AA-392</t>
  </si>
  <si>
    <t>ICIS-20241223</t>
  </si>
  <si>
    <t>SUP-AA-20241223</t>
  </si>
  <si>
    <t>BRK-AA-178</t>
  </si>
  <si>
    <t>TXN-AA-782</t>
  </si>
  <si>
    <t>Year-end close; 2024 avg ~$545/MT vs 2023 avg ~$486/MT</t>
  </si>
  <si>
    <t>ICIS-20241230</t>
  </si>
  <si>
    <t>SUP-AA-20241230</t>
  </si>
  <si>
    <t>TXN-AA-513</t>
  </si>
  <si>
    <t>Acetic Acid (Glacial 99.8%) — Weekly Price Summary + Factor Scoring</t>
  </si>
  <si>
    <t>One row per week | ICIS benchmark | 7-factor scores | Price signal | Decision flag</t>
  </si>
  <si>
    <t>COLOUR KEY:  Blue (EEF5FD) = Manual input  |  Green (EDF7F2) = Formula/auto-calculated  |  Amber (FFF8E1) = Market context / remarks (secondary source)  |  Coral (FAE8E2) = Alert flag  |  Score guide: +2 Strong upward pressure → 0 Neutral → −2 Strong downward</t>
  </si>
  <si>
    <t>WEEK IDENTIFIERS</t>
  </si>
  <si>
    <t>PRICE SUMMARY ($/MT)</t>
  </si>
  <si>
    <t>TREND METRICS</t>
  </si>
  <si>
    <t>Policy &amp; Trade</t>
  </si>
  <si>
    <t>Supply Disrupt</t>
  </si>
  <si>
    <t>Demand Dynamic</t>
  </si>
  <si>
    <t>Crisis Situati</t>
  </si>
  <si>
    <t>Cost Drivers</t>
  </si>
  <si>
    <t>Financial &amp; FX</t>
  </si>
  <si>
    <t>Other Exceptio</t>
  </si>
  <si>
    <t>MI OUTPUT</t>
  </si>
  <si>
    <t>Week Start
(Mon)</t>
  </si>
  <si>
    <t>ICIS Mid
($/MT)</t>
  </si>
  <si>
    <t>Market Context
&amp; Remarks</t>
  </si>
  <si>
    <t>Wk Avg
(all src)</t>
  </si>
  <si>
    <t>Weekly
High</t>
  </si>
  <si>
    <t>Weekly
Low</t>
  </si>
  <si>
    <t>Range
(H-L)</t>
  </si>
  <si>
    <t>Supplier
Avg</t>
  </si>
  <si>
    <t>Broker
Avg</t>
  </si>
  <si>
    <t>WoW Δ $</t>
  </si>
  <si>
    <t>WoW Δ %</t>
  </si>
  <si>
    <t>4-Wk
Rolling Avg</t>
  </si>
  <si>
    <t>P&amp;T
Score
(−2 to +2)</t>
  </si>
  <si>
    <t>P&amp;T
Evidence
/ Note</t>
  </si>
  <si>
    <t>SD
Score
(−2 to +2)</t>
  </si>
  <si>
    <t>SD
Evidence
/ Note</t>
  </si>
  <si>
    <t>DD
Score
(−2 to +2)</t>
  </si>
  <si>
    <t>DD
Evidence
/ Note</t>
  </si>
  <si>
    <t>CS
Score
(−2 to +2)</t>
  </si>
  <si>
    <t>CS
Evidence
/ Note</t>
  </si>
  <si>
    <t>CD
Score
(−2 to +2)</t>
  </si>
  <si>
    <t>CD
Evidence
/ Note</t>
  </si>
  <si>
    <t>FE
Score
(−2 to +2)</t>
  </si>
  <si>
    <t>FE
Evidence
/ Note</t>
  </si>
  <si>
    <t>OE
Score
(−2 to +2)</t>
  </si>
  <si>
    <t>OE
Evidence
/ Note</t>
  </si>
  <si>
    <t>Composite
Score</t>
  </si>
  <si>
    <t>Dominant
Factor</t>
  </si>
  <si>
    <t>Price
Signal</t>
  </si>
  <si>
    <t>Decision
Flag</t>
  </si>
  <si>
    <t>Analyst
Note</t>
  </si>
  <si>
    <t>Oversupply from China; post-2022 invento</t>
  </si>
  <si>
    <t>Sluggish VAM/PVA offtake from India text</t>
  </si>
  <si>
    <t>China export volumes high; buyers hand-t</t>
  </si>
  <si>
    <t>CNY holiday — China plants idle but exce</t>
  </si>
  <si>
    <t xml:space="preserve">Post-CNY restart; market flooded; India </t>
  </si>
  <si>
    <t>Methanol feedstock dip; cost support wea</t>
  </si>
  <si>
    <t>Spot market quiet; contract prices holdi</t>
  </si>
  <si>
    <t>Acetic acid price at 18-month low; China</t>
  </si>
  <si>
    <t>CNOOC/YPC running high rates; market sur</t>
  </si>
  <si>
    <t>Some restocking interest from Bangladesh</t>
  </si>
  <si>
    <t>Quarter-start; flat demand; India electi</t>
  </si>
  <si>
    <t>INR weakens 0.8% vs USD — landed cost up</t>
  </si>
  <si>
    <t>China surplus persistent; European offer</t>
  </si>
  <si>
    <t>SE Asia demand weak; Vietnam textile out</t>
  </si>
  <si>
    <t xml:space="preserve">Methanol prices tick up 4%; slight cost </t>
  </si>
  <si>
    <t>Ocean freight Asia-India up 6% on contai</t>
  </si>
  <si>
    <t>Supply still ample; freight offset by we</t>
  </si>
  <si>
    <t>Mid-year inventory build limited; buyers</t>
  </si>
  <si>
    <t>India monsoon slows agrochem sector dema</t>
  </si>
  <si>
    <t>Pakistan floods affect local chemical su</t>
  </si>
  <si>
    <t>Pakistan floods affect local chemical supply — import demand</t>
  </si>
  <si>
    <t>Energy costs in China up; methanol at 4-</t>
  </si>
  <si>
    <t>China domestic price up 3%; export offer</t>
  </si>
  <si>
    <t>India vinyl acetate monomer (VAM) plant restarts — AA demand</t>
  </si>
  <si>
    <t xml:space="preserve">India vinyl acetate monomer (VAM) plant </t>
  </si>
  <si>
    <t>SE Asia buying interest returns; Vietnam</t>
  </si>
  <si>
    <t>Tight spot availability from China for S</t>
  </si>
  <si>
    <t>Pre-quarter stocking; buyers advance pur</t>
  </si>
  <si>
    <t>INR at 83.2/USD — import parity pushes l</t>
  </si>
  <si>
    <t>Ocean freight surges — Red Sea tension s</t>
  </si>
  <si>
    <t>Methanol +8% MoM; acetic acid cost floor</t>
  </si>
  <si>
    <t>Q3 closes above $500 for first time sinc</t>
  </si>
  <si>
    <t xml:space="preserve">Red Sea shipping disruptions confirmed; </t>
  </si>
  <si>
    <t xml:space="preserve">India anti-dumping review on Chinese AA </t>
  </si>
  <si>
    <t>Anti-dumping uncertainty; buyers fast-tr</t>
  </si>
  <si>
    <t>Pre-Diwali industrial stocking; demand f</t>
  </si>
  <si>
    <t>Anti-dumping probe ongoing; market jitte</t>
  </si>
  <si>
    <t xml:space="preserve">Celanese Bishop TX maintenance — global </t>
  </si>
  <si>
    <t xml:space="preserve">Europe energy costs spike; EU producers </t>
  </si>
  <si>
    <t>Pre-December holiday slowdown; market co</t>
  </si>
  <si>
    <t>Red Sea fully disrupted; Suez Canal dive</t>
  </si>
  <si>
    <t>Freight rates surge 40% WoW; CFR India p</t>
  </si>
  <si>
    <t>Year-end buying; buyers reluctant at hig</t>
  </si>
  <si>
    <t>New Year; Red Sea freight crisis deepens</t>
  </si>
  <si>
    <t>Cape of Good Hope rerouting adds 14 days</t>
  </si>
  <si>
    <t>India Q1 buying season; stock-in decisio</t>
  </si>
  <si>
    <t>Chinese producers holding offers firm pr</t>
  </si>
  <si>
    <t>Some buyers step back; wait-and-see on a</t>
  </si>
  <si>
    <t>CNY holidays — China plants shut; market</t>
  </si>
  <si>
    <t>Post-CNY restart; freight slightly easin</t>
  </si>
  <si>
    <t>Anti-dumping probe inconclusive; pressur</t>
  </si>
  <si>
    <t>China restarts post-CNY; supply normalis</t>
  </si>
  <si>
    <t>Freight rates easing; Cape route surchar</t>
  </si>
  <si>
    <t>China capacity additions hit market; pri</t>
  </si>
  <si>
    <t>Xinjiang new plant ramps up — supply pre</t>
  </si>
  <si>
    <t>Q2 starts; India agrochemical season dri</t>
  </si>
  <si>
    <t>USD strengthens; INR at 83.5 — import co</t>
  </si>
  <si>
    <t>India buying accelerates ahead of electi</t>
  </si>
  <si>
    <t xml:space="preserve">Methanol +6% in China; acetic acid cost </t>
  </si>
  <si>
    <t>China domestic AA prices recover to 14-m</t>
  </si>
  <si>
    <t>Global VAM capacity tight; downstream de</t>
  </si>
  <si>
    <t>Memorial Day; US market thin but Asian p</t>
  </si>
  <si>
    <t>Demand momentum slows slightly; mid-year</t>
  </si>
  <si>
    <t>China restocking completed; export offer</t>
  </si>
  <si>
    <t>India monsoon begins; agrochem demand se</t>
  </si>
  <si>
    <t>Celanese maintenance shutdown Texas — su</t>
  </si>
  <si>
    <t>BP Hull UK plant reduces output — Europe</t>
  </si>
  <si>
    <t>Force majeure signals from European prod</t>
  </si>
  <si>
    <t>Supply tightness now global; buyers scra</t>
  </si>
  <si>
    <t>Asian spot market firm; China holding hi</t>
  </si>
  <si>
    <t xml:space="preserve">Ocean freight still elevated on Red Sea </t>
  </si>
  <si>
    <t>Pre-holiday inventory build completed; d</t>
  </si>
  <si>
    <t>Post-holiday restock; India Q3 buying ac</t>
  </si>
  <si>
    <t>India PVA/PTA demand pickup ahead of win</t>
  </si>
  <si>
    <t xml:space="preserve">INR weakens; freight still high; landed </t>
  </si>
  <si>
    <t>China export prices firm; limited spot a</t>
  </si>
  <si>
    <t>India BCD review outcome awaited — buyer</t>
  </si>
  <si>
    <t>Energy cost spike in China ahead of wint</t>
  </si>
  <si>
    <t>Pre-Diwali industrial buying; India dema</t>
  </si>
  <si>
    <t>Winter season; demand steady from coatin</t>
  </si>
  <si>
    <t>Freight easing slightly on container reb</t>
  </si>
  <si>
    <t>China winter energy restrictions — outpu</t>
  </si>
  <si>
    <t xml:space="preserve">Year-end position building; buyers lock </t>
  </si>
  <si>
    <t>Tight supply into year-end; no spot reli</t>
  </si>
  <si>
    <t>USD firm; INR 84.2; landed cost at 2-yea</t>
  </si>
  <si>
    <t>Year-end close; 2024 avg ~$545/MT vs 202</t>
  </si>
  <si>
    <t>Acetic Acid (Glacial 99.8%) — MI Forecast &amp; Decision Output</t>
  </si>
  <si>
    <t>Scenario prices by Grade × Origin × Destination | Based on 105-week regression input</t>
  </si>
  <si>
    <t>DATA SUMMARY: 2-year range $458–$580/MT  |  2-year avg $518/MT  |  Start (Jan 2023) $490/MT → Latest (Dec 2024) $578/MT  |  2-year change: +18.0%  |  Last composite factor score: +2</t>
  </si>
  <si>
    <t>PRODUCT / GEOGRAPHY</t>
  </si>
  <si>
    <t>LAST ACTUAL</t>
  </si>
  <si>
    <t>BASE FORECAST +4 WKS</t>
  </si>
  <si>
    <t>BULL SCENARIO</t>
  </si>
  <si>
    <t>BEAR SCENARIO</t>
  </si>
  <si>
    <t>COMMERCIAL DECISION</t>
  </si>
  <si>
    <t>Grade ID</t>
  </si>
  <si>
    <t>Origin</t>
  </si>
  <si>
    <t>Dest
Country</t>
  </si>
  <si>
    <t>Dest
Region</t>
  </si>
  <si>
    <t>Composite
Factor Score</t>
  </si>
  <si>
    <t>Basis</t>
  </si>
  <si>
    <t>Last Price
$/MT</t>
  </si>
  <si>
    <t>Base Fcast
$/MT</t>
  </si>
  <si>
    <t>Base
Δ %</t>
  </si>
  <si>
    <t>Bull Fcast
$/MT</t>
  </si>
  <si>
    <t>Bull
Δ %</t>
  </si>
  <si>
    <t>Bear Fcast
$/MT</t>
  </si>
  <si>
    <t>Bear
Δ %</t>
  </si>
  <si>
    <t>Stock-In
Window (wks)</t>
  </si>
  <si>
    <t>Selling
Strategy</t>
  </si>
  <si>
    <t>Price
Revision?</t>
  </si>
  <si>
    <t>MI Notes
(analyst)</t>
  </si>
  <si>
    <t>South Asia</t>
  </si>
  <si>
    <t>↑ Mildly Bullish</t>
  </si>
  <si>
    <t>Monitor</t>
  </si>
  <si>
    <t>Spot preferred over forward contracts</t>
  </si>
  <si>
    <t>Africa</t>
  </si>
  <si>
    <t>SE Asia</t>
  </si>
  <si>
    <t>Middle East</t>
  </si>
  <si>
    <t>Food Grade (FCC)</t>
  </si>
  <si>
    <t>GR-03</t>
  </si>
  <si>
    <t>Bangladesh</t>
  </si>
  <si>
    <t>CIF</t>
  </si>
  <si>
    <t>MDI (Methylene Diphenyl Diisocyanate) (CHM-011) — Daily Price Entry</t>
  </si>
  <si>
    <t>Primary entry sheet | One row = one price observation | Origin: China (Wanhua), Europe (BASF/Covestro), USA (Covestro) | Destinations: India, Vietnam, Indonesia, UAE</t>
  </si>
  <si>
    <t>Post-2022 destocking cycle; global PU foam demand weak</t>
  </si>
  <si>
    <t>China (Wanhua)</t>
  </si>
  <si>
    <t>Polymeric MDI (PMDI)</t>
  </si>
  <si>
    <t>SUP-MDI-20230102</t>
  </si>
  <si>
    <t>Europe (BASF/Covestro)</t>
  </si>
  <si>
    <t>BRK-MDI-976</t>
  </si>
  <si>
    <t>USA (Covestro)</t>
  </si>
  <si>
    <t>Indonesia</t>
  </si>
  <si>
    <t>"USA → Indonesia"</t>
  </si>
  <si>
    <t>Pure MDI (mMDI)</t>
  </si>
  <si>
    <t>TXN-MDI-546</t>
  </si>
  <si>
    <t>Wanhua/BASF competing aggressively on export price</t>
  </si>
  <si>
    <t>SUP-MDI-20230109</t>
  </si>
  <si>
    <t>BRK-MDI-681</t>
  </si>
  <si>
    <t>TXN-MDI-509</t>
  </si>
  <si>
    <t>China new MDI capacity (Wanhua Yantai 400KT) ramping</t>
  </si>
  <si>
    <t>SUP-MDI-20230116</t>
  </si>
  <si>
    <t>BRK-MDI-417</t>
  </si>
  <si>
    <t>TXN-MDI-416</t>
  </si>
  <si>
    <t>European construction sector in recession — PU demand down</t>
  </si>
  <si>
    <t>SUP-MDI-20230123</t>
  </si>
  <si>
    <t>BRK-MDI-817</t>
  </si>
  <si>
    <t>TXN-MDI-547</t>
  </si>
  <si>
    <t>Pre-CNY sell-down; Chinese producers clearing inventory</t>
  </si>
  <si>
    <t>SUP-MDI-20230130</t>
  </si>
  <si>
    <t>BRK-MDI-774</t>
  </si>
  <si>
    <t>TXN-MDI-574</t>
  </si>
  <si>
    <t>CNY; China plants down but market overhung</t>
  </si>
  <si>
    <t>SUP-MDI-20230206</t>
  </si>
  <si>
    <t>BRK-MDI-929</t>
  </si>
  <si>
    <t>TXN-MDI-995</t>
  </si>
  <si>
    <t>Post-CNY; China restarts aggressively; price war</t>
  </si>
  <si>
    <t>SUP-MDI-20230213</t>
  </si>
  <si>
    <t>BRK-MDI-492</t>
  </si>
  <si>
    <t>TXN-MDI-766</t>
  </si>
  <si>
    <t>Benzene feedstock weak — costs down, no floor</t>
  </si>
  <si>
    <t>SUP-MDI-20230220</t>
  </si>
  <si>
    <t>BRK-MDI-714</t>
  </si>
  <si>
    <t>TXN-MDI-719</t>
  </si>
  <si>
    <t>Covestro announces force closure of Leverkusen unit</t>
  </si>
  <si>
    <t>SUP-MDI-20230227</t>
  </si>
  <si>
    <t>BRK-MDI-790</t>
  </si>
  <si>
    <t>TXN-MDI-190</t>
  </si>
  <si>
    <t>BASF delays MDI capacity expansion — market reads bearish</t>
  </si>
  <si>
    <t>SUP-MDI-20230306</t>
  </si>
  <si>
    <t>BRK-MDI-245</t>
  </si>
  <si>
    <t>TXN-MDI-805</t>
  </si>
  <si>
    <t>MDI at 5-year low; some buyers opportunistic stocking</t>
  </si>
  <si>
    <t>SUP-MDI-20230313</t>
  </si>
  <si>
    <t>BRK-MDI-734</t>
  </si>
  <si>
    <t>TXN-MDI-240</t>
  </si>
  <si>
    <t>India buyers step in cautiously at low levels</t>
  </si>
  <si>
    <t>SUP-MDI-20230320</t>
  </si>
  <si>
    <t>BRK-MDI-436</t>
  </si>
  <si>
    <t>TXN-MDI-897</t>
  </si>
  <si>
    <t>Some green shoots in India construction demand</t>
  </si>
  <si>
    <t>SUP-MDI-20230327</t>
  </si>
  <si>
    <t>BRK-MDI-317</t>
  </si>
  <si>
    <t>TXN-MDI-891</t>
  </si>
  <si>
    <t>Market bottoming; sellers resist further cuts</t>
  </si>
  <si>
    <t>SUP-MDI-20230403</t>
  </si>
  <si>
    <t>BRK-MDI-460</t>
  </si>
  <si>
    <t>TXN-MDI-320</t>
  </si>
  <si>
    <t>INR volatility; India importers cautious on currency</t>
  </si>
  <si>
    <t>SUP-MDI-20230410</t>
  </si>
  <si>
    <t>BRK-MDI-236</t>
  </si>
  <si>
    <t>TXN-MDI-116</t>
  </si>
  <si>
    <t>Stabilisation; floor forming around $1,500 level</t>
  </si>
  <si>
    <t>SUP-MDI-20230417</t>
  </si>
  <si>
    <t>BRK-MDI-430</t>
  </si>
  <si>
    <t>TXN-MDI-274</t>
  </si>
  <si>
    <t>India white goods season — refrigerators/ACs PU demand</t>
  </si>
  <si>
    <t>SUP-MDI-20230424</t>
  </si>
  <si>
    <t>BRK-MDI-183</t>
  </si>
  <si>
    <t>TXN-MDI-389</t>
  </si>
  <si>
    <t>Labour holiday; quiet week</t>
  </si>
  <si>
    <t>SUP-MDI-20230501</t>
  </si>
  <si>
    <t>BRK-MDI-172</t>
  </si>
  <si>
    <t>TXN-MDI-531</t>
  </si>
  <si>
    <t>China exports still elevated; market pressured</t>
  </si>
  <si>
    <t>SUP-MDI-20230508</t>
  </si>
  <si>
    <t>BRK-MDI-907</t>
  </si>
  <si>
    <t>TXN-MDI-776</t>
  </si>
  <si>
    <t>Vietnam furniture sector (key PU foam consumer) weak</t>
  </si>
  <si>
    <t>SUP-MDI-20230515</t>
  </si>
  <si>
    <t>BRK-MDI-118</t>
  </si>
  <si>
    <t>TXN-MDI-568</t>
  </si>
  <si>
    <t>Benzene prices up 5%; slight cost push</t>
  </si>
  <si>
    <t>SUP-MDI-20230522</t>
  </si>
  <si>
    <t>BRK-MDI-503</t>
  </si>
  <si>
    <t>TXN-MDI-409</t>
  </si>
  <si>
    <t>Aniline (MDI feedstock) firm in China</t>
  </si>
  <si>
    <t>SUP-MDI-20230529</t>
  </si>
  <si>
    <t>BRK-MDI-831</t>
  </si>
  <si>
    <t>TXN-MDI-623</t>
  </si>
  <si>
    <t>Supply still ample; cost gain not passed through</t>
  </si>
  <si>
    <t>SUP-MDI-20230605</t>
  </si>
  <si>
    <t>BRK-MDI-772</t>
  </si>
  <si>
    <t>TXN-MDI-174</t>
  </si>
  <si>
    <t>Mid-year review; market in balance at low level</t>
  </si>
  <si>
    <t>SUP-MDI-20230612</t>
  </si>
  <si>
    <t>BRK-MDI-627</t>
  </si>
  <si>
    <t>TXN-MDI-147</t>
  </si>
  <si>
    <t>India monsoon; construction pause — PU demand dip</t>
  </si>
  <si>
    <t>SUP-MDI-20230619</t>
  </si>
  <si>
    <t>BRK-MDI-278</t>
  </si>
  <si>
    <t>TXN-MDI-126</t>
  </si>
  <si>
    <t>Quarter-end consolidation; minor uptick</t>
  </si>
  <si>
    <t>SUP-MDI-20230626</t>
  </si>
  <si>
    <t>BRK-MDI-116</t>
  </si>
  <si>
    <t>TXN-MDI-977</t>
  </si>
  <si>
    <t>Q3 starts; demand beginning to recover</t>
  </si>
  <si>
    <t>SUP-MDI-20230703</t>
  </si>
  <si>
    <t>BRK-MDI-561</t>
  </si>
  <si>
    <t>TXN-MDI-619</t>
  </si>
  <si>
    <t>India real estate sector active; PU insulation demand up</t>
  </si>
  <si>
    <t>SUP-MDI-20230710</t>
  </si>
  <si>
    <t>BRK-MDI-677</t>
  </si>
  <si>
    <t>TXN-MDI-935</t>
  </si>
  <si>
    <t>Wanhua reduces export allocation — supply tightens</t>
  </si>
  <si>
    <t>SUP-MDI-20230717</t>
  </si>
  <si>
    <t>BRK-MDI-971</t>
  </si>
  <si>
    <t>TXN-MDI-149</t>
  </si>
  <si>
    <t>Benzene at 5-month high; MDI cost floor rises</t>
  </si>
  <si>
    <t>SUP-MDI-20230724</t>
  </si>
  <si>
    <t>BRK-MDI-205</t>
  </si>
  <si>
    <t>TXN-MDI-906</t>
  </si>
  <si>
    <t>China domestic MDI price up 4% — export parity shifts</t>
  </si>
  <si>
    <t>SUP-MDI-20230731</t>
  </si>
  <si>
    <t>BRK-MDI-794</t>
  </si>
  <si>
    <t>TXN-MDI-137</t>
  </si>
  <si>
    <t>India construction boom; green buildings PU demand</t>
  </si>
  <si>
    <t>SUP-MDI-20230807</t>
  </si>
  <si>
    <t>BRK-MDI-959</t>
  </si>
  <si>
    <t>TXN-MDI-163</t>
  </si>
  <si>
    <t>SE Asia furniture sector recovering — Vietnam active</t>
  </si>
  <si>
    <t>SUP-MDI-20230814</t>
  </si>
  <si>
    <t>BRK-MDI-600</t>
  </si>
  <si>
    <t>TXN-MDI-437</t>
  </si>
  <si>
    <t>Pre-Q4 position building; buyers lock volumes</t>
  </si>
  <si>
    <t>SUP-MDI-20230821</t>
  </si>
  <si>
    <t>Aniline tight in China; MDI margins improving</t>
  </si>
  <si>
    <t>SUP-MDI-20230828</t>
  </si>
  <si>
    <t>BRK-MDI-396</t>
  </si>
  <si>
    <t>TXN-MDI-167</t>
  </si>
  <si>
    <t>INR weakness adds cost pressure; India landed price rises</t>
  </si>
  <si>
    <t>SUP-MDI-20230904</t>
  </si>
  <si>
    <t>BRK-MDI-966</t>
  </si>
  <si>
    <t>TXN-MDI-319</t>
  </si>
  <si>
    <t>Covestro Brunsbüttel Germany — partial outage</t>
  </si>
  <si>
    <t>SUP-MDI-20230911</t>
  </si>
  <si>
    <t>BRK-MDI-128</t>
  </si>
  <si>
    <t>TXN-MDI-946</t>
  </si>
  <si>
    <t>Construction and automotive PU demand both firm</t>
  </si>
  <si>
    <t>SUP-MDI-20230918</t>
  </si>
  <si>
    <t>BRK-MDI-254</t>
  </si>
  <si>
    <t>TXN-MDI-226</t>
  </si>
  <si>
    <t>Q3 closes strongest quarter of 2023</t>
  </si>
  <si>
    <t>SUP-MDI-20230925</t>
  </si>
  <si>
    <t>BRK-MDI-345</t>
  </si>
  <si>
    <t>TXN-MDI-767</t>
  </si>
  <si>
    <t>Q4 starts firm; energy costs in Europe elevated</t>
  </si>
  <si>
    <t>SUP-MDI-20231002</t>
  </si>
  <si>
    <t>BRK-MDI-276</t>
  </si>
  <si>
    <t>TXN-MDI-394</t>
  </si>
  <si>
    <t>EU carbon cost rises — European MDI production costs up</t>
  </si>
  <si>
    <t>SUP-MDI-20231009</t>
  </si>
  <si>
    <t>BRK-MDI-977</t>
  </si>
  <si>
    <t>TXN-MDI-297</t>
  </si>
  <si>
    <t>Winter insulation demand peak — EU building sector</t>
  </si>
  <si>
    <t>SUP-MDI-20231016</t>
  </si>
  <si>
    <t>BRK-MDI-922</t>
  </si>
  <si>
    <t>TXN-MDI-330</t>
  </si>
  <si>
    <t>India pre-Diwali construction activity strong</t>
  </si>
  <si>
    <t>SUP-MDI-20231023</t>
  </si>
  <si>
    <t>BRK-MDI-562</t>
  </si>
  <si>
    <t>TXN-MDI-384</t>
  </si>
  <si>
    <t>Post-holiday; minor consolidation</t>
  </si>
  <si>
    <t>SUP-MDI-20231030</t>
  </si>
  <si>
    <t>BRK-MDI-593</t>
  </si>
  <si>
    <t>TXN-MDI-696</t>
  </si>
  <si>
    <t>MDI stable; supply/demand balance improving</t>
  </si>
  <si>
    <t>SUP-MDI-20231106</t>
  </si>
  <si>
    <t>BRK-MDI-321</t>
  </si>
  <si>
    <t>TXN-MDI-899</t>
  </si>
  <si>
    <t>Winter energy cost premium on European MDI</t>
  </si>
  <si>
    <t>SUP-MDI-20231113</t>
  </si>
  <si>
    <t>BRK-MDI-972</t>
  </si>
  <si>
    <t>TXN-MDI-734</t>
  </si>
  <si>
    <t>Wanhua year-end offers firm; no discounts</t>
  </si>
  <si>
    <t>SUP-MDI-20231120</t>
  </si>
  <si>
    <t>BRK-MDI-618</t>
  </si>
  <si>
    <t>TXN-MDI-709</t>
  </si>
  <si>
    <t>Pre-December pause; buyers wait for year-end</t>
  </si>
  <si>
    <t>SUP-MDI-20231127</t>
  </si>
  <si>
    <t>BRK-MDI-323</t>
  </si>
  <si>
    <t>TXN-MDI-907</t>
  </si>
  <si>
    <t>Year-end contract negotiations active</t>
  </si>
  <si>
    <t>SUP-MDI-20231204</t>
  </si>
  <si>
    <t>BRK-MDI-950</t>
  </si>
  <si>
    <t>TXN-MDI-614</t>
  </si>
  <si>
    <t>Red Sea disruption adds freight cost</t>
  </si>
  <si>
    <t>SUP-MDI-20231211</t>
  </si>
  <si>
    <t>BRK-MDI-518</t>
  </si>
  <si>
    <t>TXN-MDI-331</t>
  </si>
  <si>
    <t>Year-end slowdown; some profit-taking</t>
  </si>
  <si>
    <t>SUP-MDI-20231218</t>
  </si>
  <si>
    <t>BRK-MDI-690</t>
  </si>
  <si>
    <t>TXN-MDI-861</t>
  </si>
  <si>
    <t>SUP-MDI-20231225</t>
  </si>
  <si>
    <t>BRK-MDI-494</t>
  </si>
  <si>
    <t>TXN-MDI-716</t>
  </si>
  <si>
    <t>2023 closes; avg ~$1,560/MT (vs ~$2,100 in 2022)</t>
  </si>
  <si>
    <t>ICIS-20231230</t>
  </si>
  <si>
    <t>SUP-MDI-20231230</t>
  </si>
  <si>
    <t>BRK-MDI-419</t>
  </si>
  <si>
    <t>TXN-MDI-284</t>
  </si>
  <si>
    <t>New Year; Red Sea freight crisis — MDI transit delays</t>
  </si>
  <si>
    <t>ICIS-20240106</t>
  </si>
  <si>
    <t>SUP-MDI-20240106</t>
  </si>
  <si>
    <t>BRK-MDI-350</t>
  </si>
  <si>
    <t>TXN-MDI-551</t>
  </si>
  <si>
    <t>Cape route adds 15-18 days; CFR prices spike</t>
  </si>
  <si>
    <t>ICIS-20240113</t>
  </si>
  <si>
    <t>SUP-MDI-20240113</t>
  </si>
  <si>
    <t>BRK-MDI-185</t>
  </si>
  <si>
    <t>TXN-MDI-761</t>
  </si>
  <si>
    <t>Buyers cover forward; import lead time extends</t>
  </si>
  <si>
    <t>ICIS-20240120</t>
  </si>
  <si>
    <t>SUP-MDI-20240120</t>
  </si>
  <si>
    <t>BRK-MDI-960</t>
  </si>
  <si>
    <t>TXN-MDI-355</t>
  </si>
  <si>
    <t>India infrastructure spending surge drives PU demand</t>
  </si>
  <si>
    <t>ICIS-20240127</t>
  </si>
  <si>
    <t>SUP-MDI-20240127</t>
  </si>
  <si>
    <t>BRK-MDI-927</t>
  </si>
  <si>
    <t>TXN-MDI-229</t>
  </si>
  <si>
    <t>CNY; China plants shut; Europe supplying India</t>
  </si>
  <si>
    <t>ICIS-20240203</t>
  </si>
  <si>
    <t>SUP-MDI-20240203</t>
  </si>
  <si>
    <t>BRK-MDI-798</t>
  </si>
  <si>
    <t>TXN-MDI-417</t>
  </si>
  <si>
    <t>Post-CNY; China restarts; freight easing slightly</t>
  </si>
  <si>
    <t>ICIS-20240210</t>
  </si>
  <si>
    <t>SUP-MDI-20240210</t>
  </si>
  <si>
    <t>TXN-MDI-246</t>
  </si>
  <si>
    <t>Benzene stabilises; MDI cost structure clearer</t>
  </si>
  <si>
    <t>ICIS-20240217</t>
  </si>
  <si>
    <t>SUP-MDI-20240217</t>
  </si>
  <si>
    <t>BRK-MDI-529</t>
  </si>
  <si>
    <t>TXN-MDI-702</t>
  </si>
  <si>
    <t>India auto sector (PU seating) — strong Q1 demand</t>
  </si>
  <si>
    <t>ICIS-20240224</t>
  </si>
  <si>
    <t>SUP-MDI-20240224</t>
  </si>
  <si>
    <t>BRK-MDI-352</t>
  </si>
  <si>
    <t>TXN-MDI-948</t>
  </si>
  <si>
    <t>Construction activity pre-monsoon season strong</t>
  </si>
  <si>
    <t>ICIS-20240302</t>
  </si>
  <si>
    <t>SUP-MDI-20240302</t>
  </si>
  <si>
    <t>BRK-MDI-530</t>
  </si>
  <si>
    <t>TXN-MDI-760</t>
  </si>
  <si>
    <t>China capacity additions create marginal oversupply</t>
  </si>
  <si>
    <t>ICIS-20240309</t>
  </si>
  <si>
    <t>SUP-MDI-20240309</t>
  </si>
  <si>
    <t>BRK-MDI-597</t>
  </si>
  <si>
    <t>TXN-MDI-474</t>
  </si>
  <si>
    <t>India real estate boom continues; MDI demand robust</t>
  </si>
  <si>
    <t>ICIS-20240316</t>
  </si>
  <si>
    <t>SUP-MDI-20240316</t>
  </si>
  <si>
    <t>BRK-MDI-197</t>
  </si>
  <si>
    <t>TXN-MDI-682</t>
  </si>
  <si>
    <t>Aniline +5% in China; feedstock push</t>
  </si>
  <si>
    <t>ICIS-20240323</t>
  </si>
  <si>
    <t>SUP-MDI-20240323</t>
  </si>
  <si>
    <t>BRK-MDI-372</t>
  </si>
  <si>
    <t>TXN-MDI-894</t>
  </si>
  <si>
    <t>Q1 closes; MDI 2024 starts +5% vs Q1 2023</t>
  </si>
  <si>
    <t>ICIS-20240330</t>
  </si>
  <si>
    <t>SUP-MDI-20240330</t>
  </si>
  <si>
    <t>BRK-MDI-442</t>
  </si>
  <si>
    <t>TXN-MDI-368</t>
  </si>
  <si>
    <t>Q2 strong start; India buying active</t>
  </si>
  <si>
    <t>ICIS-20240406</t>
  </si>
  <si>
    <t>SUP-MDI-20240406</t>
  </si>
  <si>
    <t>BRK-MDI-111</t>
  </si>
  <si>
    <t>TXN-MDI-840</t>
  </si>
  <si>
    <t>White goods demand (ACs/refrigerators) seasonal peak</t>
  </si>
  <si>
    <t>ICIS-20240413</t>
  </si>
  <si>
    <t>SUP-MDI-20240413</t>
  </si>
  <si>
    <t>BRK-MDI-168</t>
  </si>
  <si>
    <t>TXN-MDI-775</t>
  </si>
  <si>
    <t>USD/INR at 83.8; India import cost elevated</t>
  </si>
  <si>
    <t>ICIS-20240420</t>
  </si>
  <si>
    <t>SUP-MDI-20240420</t>
  </si>
  <si>
    <t>BRK-MDI-812</t>
  </si>
  <si>
    <t>TXN-MDI-651</t>
  </si>
  <si>
    <t>Wanhua reduces spot allocation — tightening market</t>
  </si>
  <si>
    <t>ICIS-20240427</t>
  </si>
  <si>
    <t>SUP-MDI-20240427</t>
  </si>
  <si>
    <t>BRK-MDI-684</t>
  </si>
  <si>
    <t>TXN-MDI-442</t>
  </si>
  <si>
    <t>Benzene at 6-month high in China</t>
  </si>
  <si>
    <t>ICIS-20240504</t>
  </si>
  <si>
    <t>SUP-MDI-20240504</t>
  </si>
  <si>
    <t>BRK-MDI-572</t>
  </si>
  <si>
    <t>TXN-MDI-981</t>
  </si>
  <si>
    <t>MDI downstream PU foam — mattress sector India booming</t>
  </si>
  <si>
    <t>ICIS-20240511</t>
  </si>
  <si>
    <t>SUP-MDI-20240511</t>
  </si>
  <si>
    <t>BRK-MDI-703</t>
  </si>
  <si>
    <t>TXN-MDI-659</t>
  </si>
  <si>
    <t>Construction insulation demand strong ahead of monsoon</t>
  </si>
  <si>
    <t>ICIS-20240518</t>
  </si>
  <si>
    <t>SUP-MDI-20240518</t>
  </si>
  <si>
    <t>BRK-MDI-755</t>
  </si>
  <si>
    <t>TXN-MDI-605</t>
  </si>
  <si>
    <t>Market approaching 15-month high</t>
  </si>
  <si>
    <t>ICIS-20240525</t>
  </si>
  <si>
    <t>SUP-MDI-20240525</t>
  </si>
  <si>
    <t>BRK-MDI-825</t>
  </si>
  <si>
    <t>Mid-year rebalancing; demand temporarily satisfied</t>
  </si>
  <si>
    <t>ICIS-20240601</t>
  </si>
  <si>
    <t>SUP-MDI-20240601</t>
  </si>
  <si>
    <t>BRK-MDI-605</t>
  </si>
  <si>
    <t>TXN-MDI-232</t>
  </si>
  <si>
    <t>Some buyers step back at elevated prices</t>
  </si>
  <si>
    <t>ICIS-20240608</t>
  </si>
  <si>
    <t>SUP-MDI-20240608</t>
  </si>
  <si>
    <t>BRK-MDI-528</t>
  </si>
  <si>
    <t>TXN-MDI-520</t>
  </si>
  <si>
    <t>India monsoon — construction pause; PU demand dip</t>
  </si>
  <si>
    <t>ICIS-20240615</t>
  </si>
  <si>
    <t>SUP-MDI-20240615</t>
  </si>
  <si>
    <t>BRK-MDI-237</t>
  </si>
  <si>
    <t>TXN-MDI-630</t>
  </si>
  <si>
    <t>Quarter-end restocking; prices recover</t>
  </si>
  <si>
    <t>ICIS-20240622</t>
  </si>
  <si>
    <t>SUP-MDI-20240622</t>
  </si>
  <si>
    <t>BRK-MDI-439</t>
  </si>
  <si>
    <t>TXN-MDI-138</t>
  </si>
  <si>
    <t>Q2 closes at highest since Q2 2022</t>
  </si>
  <si>
    <t>ICIS-20240629</t>
  </si>
  <si>
    <t>SUP-MDI-20240629</t>
  </si>
  <si>
    <t>BRK-MDI-289</t>
  </si>
  <si>
    <t>TXN-MDI-964</t>
  </si>
  <si>
    <t>Wanhua Yantai — force majeure declared on MDI</t>
  </si>
  <si>
    <t>ICIS-20240706</t>
  </si>
  <si>
    <t>SUP-MDI-20240706</t>
  </si>
  <si>
    <t>BRK-MDI-181</t>
  </si>
  <si>
    <t>TXN-MDI-796</t>
  </si>
  <si>
    <t>Wanhua FM: supply shock; spot premiums of $40-50/MT</t>
  </si>
  <si>
    <t>ICIS-20240713</t>
  </si>
  <si>
    <t>SUP-MDI-20240713</t>
  </si>
  <si>
    <t>BRK-MDI-683</t>
  </si>
  <si>
    <t>China export allocation cut significantly; India buying panic</t>
  </si>
  <si>
    <t>ICIS-20240720</t>
  </si>
  <si>
    <t>SUP-MDI-20240720</t>
  </si>
  <si>
    <t>BRK-MDI-847</t>
  </si>
  <si>
    <t>TXN-MDI-810</t>
  </si>
  <si>
    <t>BASF Geismar USA also faces maintenance — global supply tight</t>
  </si>
  <si>
    <t>ICIS-20240727</t>
  </si>
  <si>
    <t>SUP-MDI-20240727</t>
  </si>
  <si>
    <t>BRK-MDI-773</t>
  </si>
  <si>
    <t>TXN-MDI-723</t>
  </si>
  <si>
    <t>Freight still high; double supply shock + freight</t>
  </si>
  <si>
    <t>ICIS-20240803</t>
  </si>
  <si>
    <t>SUP-MDI-20240803</t>
  </si>
  <si>
    <t>BRK-MDI-301</t>
  </si>
  <si>
    <t>TXN-MDI-186</t>
  </si>
  <si>
    <t>MDI at 2-year high; spot market sees $1,780 heard</t>
  </si>
  <si>
    <t>ICIS-20240810</t>
  </si>
  <si>
    <t>SUP-MDI-20240810</t>
  </si>
  <si>
    <t>BRK-MDI-339</t>
  </si>
  <si>
    <t>TXN-MDI-694</t>
  </si>
  <si>
    <t>Wanhua partial restart; some relief but tight</t>
  </si>
  <si>
    <t>ICIS-20240817</t>
  </si>
  <si>
    <t>SUP-MDI-20240817</t>
  </si>
  <si>
    <t>BRK-MDI-952</t>
  </si>
  <si>
    <t>TXN-MDI-671</t>
  </si>
  <si>
    <t>Late August; pre-holiday slowdown</t>
  </si>
  <si>
    <t>ICIS-20240824</t>
  </si>
  <si>
    <t>SUP-MDI-20240824</t>
  </si>
  <si>
    <t>BRK-MDI-942</t>
  </si>
  <si>
    <t>End of month; prices consolidate slightly</t>
  </si>
  <si>
    <t>ICIS-20240831</t>
  </si>
  <si>
    <t>SUP-MDI-20240831</t>
  </si>
  <si>
    <t>BRK-MDI-979</t>
  </si>
  <si>
    <t>TXN-MDI-461</t>
  </si>
  <si>
    <t>Post-holiday restock; India strong demand</t>
  </si>
  <si>
    <t>ICIS-20240907</t>
  </si>
  <si>
    <t>SUP-MDI-20240907</t>
  </si>
  <si>
    <t>BRK-MDI-501</t>
  </si>
  <si>
    <t>TXN-MDI-830</t>
  </si>
  <si>
    <t>INR at 83.9; India landed price 2-year high</t>
  </si>
  <si>
    <t>ICIS-20240914</t>
  </si>
  <si>
    <t>SUP-MDI-20240914</t>
  </si>
  <si>
    <t>BRK-MDI-660</t>
  </si>
  <si>
    <t>TXN-MDI-304</t>
  </si>
  <si>
    <t>Construction sector — pre-winter building rush</t>
  </si>
  <si>
    <t>ICIS-20240921</t>
  </si>
  <si>
    <t>SUP-MDI-20240921</t>
  </si>
  <si>
    <t>BRK-MDI-716</t>
  </si>
  <si>
    <t>TXN-MDI-448</t>
  </si>
  <si>
    <t>Q3 closes at 2-year high; 2024 trend firmly up</t>
  </si>
  <si>
    <t>ICIS-20240928</t>
  </si>
  <si>
    <t>SUP-MDI-20240928</t>
  </si>
  <si>
    <t>BRK-MDI-146</t>
  </si>
  <si>
    <t>TXN-MDI-916</t>
  </si>
  <si>
    <t>India considers BIS quality standards for MDI imports</t>
  </si>
  <si>
    <t>ICIS-20241005</t>
  </si>
  <si>
    <t>SUP-MDI-20241005</t>
  </si>
  <si>
    <t>BRK-MDI-263</t>
  </si>
  <si>
    <t>TXN-MDI-489</t>
  </si>
  <si>
    <t>Energy cost surge in China — coal/gas prices up</t>
  </si>
  <si>
    <t>ICIS-20241012</t>
  </si>
  <si>
    <t>SUP-MDI-20241012</t>
  </si>
  <si>
    <t>Pre-Diwali construction demand strong; India market firm</t>
  </si>
  <si>
    <t>ICIS-20241019</t>
  </si>
  <si>
    <t>SUP-MDI-20241019</t>
  </si>
  <si>
    <t>TXN-MDI-851</t>
  </si>
  <si>
    <t>Q4 in full swing; PU insulation demand peak globally</t>
  </si>
  <si>
    <t>ICIS-20241026</t>
  </si>
  <si>
    <t>SUP-MDI-20241026</t>
  </si>
  <si>
    <t>BRK-MDI-495</t>
  </si>
  <si>
    <t>Some easing post-peak; buyers satisfied near-term</t>
  </si>
  <si>
    <t>ICIS-20241102</t>
  </si>
  <si>
    <t>SUP-MDI-20241102</t>
  </si>
  <si>
    <t>BRK-MDI-818</t>
  </si>
  <si>
    <t>TXN-MDI-641</t>
  </si>
  <si>
    <t>China restart normalising; supply pressure eases</t>
  </si>
  <si>
    <t>ICIS-20241109</t>
  </si>
  <si>
    <t>SUP-MDI-20241109</t>
  </si>
  <si>
    <t>BRK-MDI-635</t>
  </si>
  <si>
    <t>TXN-MDI-108</t>
  </si>
  <si>
    <t>China winter curtailments — production costs spike</t>
  </si>
  <si>
    <t>ICIS-20241116</t>
  </si>
  <si>
    <t>SUP-MDI-20241116</t>
  </si>
  <si>
    <t>BRK-MDI-668</t>
  </si>
  <si>
    <t>TXN-MDI-254</t>
  </si>
  <si>
    <t>Year-end contract prices agreed at elevated levels</t>
  </si>
  <si>
    <t>ICIS-20241123</t>
  </si>
  <si>
    <t>SUP-MDI-20241123</t>
  </si>
  <si>
    <t>BRK-MDI-416</t>
  </si>
  <si>
    <t>TXN-MDI-624</t>
  </si>
  <si>
    <t>Supply side discipline maintained into year-end</t>
  </si>
  <si>
    <t>ICIS-20241130</t>
  </si>
  <si>
    <t>SUP-MDI-20241130</t>
  </si>
  <si>
    <t>BRK-MDI-674</t>
  </si>
  <si>
    <t>TXN-MDI-552</t>
  </si>
  <si>
    <t>USD firm; INR at 84.4; landed cost peaks</t>
  </si>
  <si>
    <t>ICIS-20241207</t>
  </si>
  <si>
    <t>SUP-MDI-20241207</t>
  </si>
  <si>
    <t>BRK-MDI-303</t>
  </si>
  <si>
    <t>TXN-MDI-594</t>
  </si>
  <si>
    <t>MDI 2024 avg tracking ~$1,695 vs 2023 avg ~$1,563</t>
  </si>
  <si>
    <t>ICIS-20241214</t>
  </si>
  <si>
    <t>SUP-MDI-20241214</t>
  </si>
  <si>
    <t>BRK-MDI-381</t>
  </si>
  <si>
    <t>TXN-MDI-670</t>
  </si>
  <si>
    <t>Year-end slowdown; buyers on holiday</t>
  </si>
  <si>
    <t>ICIS-20241221</t>
  </si>
  <si>
    <t>SUP-MDI-20241221</t>
  </si>
  <si>
    <t>TXN-MDI-697</t>
  </si>
  <si>
    <t>Year-end close; strong finish to 2024</t>
  </si>
  <si>
    <t>ICIS-20241228</t>
  </si>
  <si>
    <t>SUP-MDI-20241228</t>
  </si>
  <si>
    <t>BRK-MDI-221</t>
  </si>
  <si>
    <t>TXN-MDI-715</t>
  </si>
  <si>
    <t>MDI (Methylene Diphenyl Diisocyanate) — Weekly Price Summary + Factor Scoring</t>
  </si>
  <si>
    <t>Post-2022 destocking cycle; global PU fo</t>
  </si>
  <si>
    <t>Wanhua/BASF competing aggressively on ex</t>
  </si>
  <si>
    <t>China new MDI capacity (Wanhua Yantai 40</t>
  </si>
  <si>
    <t>European construction sector in recessio</t>
  </si>
  <si>
    <t>Pre-CNY sell-down; Chinese producers cle</t>
  </si>
  <si>
    <t>CNY; China plants down but market overhu</t>
  </si>
  <si>
    <t>Post-CNY; China restarts aggressively; p</t>
  </si>
  <si>
    <t xml:space="preserve">Benzene feedstock weak — costs down, no </t>
  </si>
  <si>
    <t>Covestro announces force closure of Leve</t>
  </si>
  <si>
    <t>BASF delays MDI capacity expansion — mar</t>
  </si>
  <si>
    <t>MDI at 5-year low; some buyers opportuni</t>
  </si>
  <si>
    <t>India buyers step in cautiously at low l</t>
  </si>
  <si>
    <t xml:space="preserve">Some green shoots in India construction </t>
  </si>
  <si>
    <t>Market bottoming; sellers resist further</t>
  </si>
  <si>
    <t>INR volatility; India importers cautious</t>
  </si>
  <si>
    <t>China exports still elevated; market pre</t>
  </si>
  <si>
    <t>Vietnam furniture sector (key PU foam co</t>
  </si>
  <si>
    <t>Supply still ample; cost gain not passed</t>
  </si>
  <si>
    <t>Mid-year review; market in balance at lo</t>
  </si>
  <si>
    <t>India monsoon; construction pause — PU d</t>
  </si>
  <si>
    <t>Wanhua reduces export allocation — suppl</t>
  </si>
  <si>
    <t xml:space="preserve">Benzene at 5-month high; MDI cost floor </t>
  </si>
  <si>
    <t xml:space="preserve">China domestic MDI price up 4% — export </t>
  </si>
  <si>
    <t>India construction boom; green buildings</t>
  </si>
  <si>
    <t>SE Asia furniture sector recovering — Vi</t>
  </si>
  <si>
    <t>Pre-Q4 position building; buyers lock vo</t>
  </si>
  <si>
    <t>Aniline tight in China; MDI margins impr</t>
  </si>
  <si>
    <t>INR weakness adds cost pressure; India l</t>
  </si>
  <si>
    <t>Covestro Brunsbüttel Germany — partial o</t>
  </si>
  <si>
    <t>Construction and automotive PU demand bo</t>
  </si>
  <si>
    <t>Q4 starts firm; energy costs in Europe e</t>
  </si>
  <si>
    <t>EU carbon cost rises — European MDI prod</t>
  </si>
  <si>
    <t>Winter insulation demand peak — EU build</t>
  </si>
  <si>
    <t>India pre-Diwali construction activity s</t>
  </si>
  <si>
    <t>MDI stable; supply/demand balance improv</t>
  </si>
  <si>
    <t>Winter energy cost premium on European M</t>
  </si>
  <si>
    <t>Wanhua year-end offers firm; no discount</t>
  </si>
  <si>
    <t>Pre-December pause; buyers wait for year</t>
  </si>
  <si>
    <t xml:space="preserve">2023 closes; avg ~$1,560/MT (vs ~$2,100 </t>
  </si>
  <si>
    <t>New Year; Red Sea freight crisis — MDI t</t>
  </si>
  <si>
    <t>Cape route adds 15-18 days; CFR prices s</t>
  </si>
  <si>
    <t>Buyers cover forward; import lead time e</t>
  </si>
  <si>
    <t>India infrastructure spending surge driv</t>
  </si>
  <si>
    <t>CNY; China plants shut; Europe supplying</t>
  </si>
  <si>
    <t>Post-CNY; China restarts; freight easing</t>
  </si>
  <si>
    <t>Benzene stabilises; MDI cost structure c</t>
  </si>
  <si>
    <t xml:space="preserve">India auto sector (PU seating) — strong </t>
  </si>
  <si>
    <t>Construction activity pre-monsoon season</t>
  </si>
  <si>
    <t>China capacity additions create marginal</t>
  </si>
  <si>
    <t>India real estate boom continues; MDI de</t>
  </si>
  <si>
    <t>Q1 closes; MDI 2024 starts +5% vs Q1 202</t>
  </si>
  <si>
    <t>White goods demand (ACs/refrigerators) s</t>
  </si>
  <si>
    <t>USD/INR at 83.8; India import cost eleva</t>
  </si>
  <si>
    <t>Wanhua reduces spot allocation — tighten</t>
  </si>
  <si>
    <t>MDI downstream PU foam — mattress sector</t>
  </si>
  <si>
    <t>Construction insulation demand strong ah</t>
  </si>
  <si>
    <t>Mid-year rebalancing; demand temporarily</t>
  </si>
  <si>
    <t>India monsoon — construction pause; PU d</t>
  </si>
  <si>
    <t>Wanhua Yantai — force majeure declared o</t>
  </si>
  <si>
    <t>Wanhua FM: supply shock; spot premiums o</t>
  </si>
  <si>
    <t>China export allocation cut significantl</t>
  </si>
  <si>
    <t>China export allocation cut significantly; India buying pani</t>
  </si>
  <si>
    <t xml:space="preserve">BASF Geismar USA also faces maintenance </t>
  </si>
  <si>
    <t>BASF Geismar USA also faces maintenance — global supply tigh</t>
  </si>
  <si>
    <t xml:space="preserve">Freight still high; double supply shock </t>
  </si>
  <si>
    <t>MDI at 2-year high; spot market sees $1,</t>
  </si>
  <si>
    <t xml:space="preserve">Wanhua partial restart; some relief but </t>
  </si>
  <si>
    <t>End of month; prices consolidate slightl</t>
  </si>
  <si>
    <t>Post-holiday restock; India strong deman</t>
  </si>
  <si>
    <t>INR at 83.9; India landed price 2-year h</t>
  </si>
  <si>
    <t>Construction sector — pre-winter buildin</t>
  </si>
  <si>
    <t>Q3 closes at 2-year high; 2024 trend fir</t>
  </si>
  <si>
    <t>India considers BIS quality standards fo</t>
  </si>
  <si>
    <t>Energy cost surge in China — coal/gas pr</t>
  </si>
  <si>
    <t>Pre-Diwali construction demand strong; I</t>
  </si>
  <si>
    <t>Q4 in full swing; PU insulation demand p</t>
  </si>
  <si>
    <t xml:space="preserve">Some easing post-peak; buyers satisfied </t>
  </si>
  <si>
    <t>China restart normalising; supply pressu</t>
  </si>
  <si>
    <t>China winter curtailments — production c</t>
  </si>
  <si>
    <t>Year-end contract prices agreed at eleva</t>
  </si>
  <si>
    <t>Supply side discipline maintained into y</t>
  </si>
  <si>
    <t>MDI 2024 avg tracking ~$1,695 vs 2023 av</t>
  </si>
  <si>
    <t>MDI (Methylene Diphenyl Diisocyanate) — MI Forecast &amp; Decision Output</t>
  </si>
  <si>
    <t>DATA SUMMARY: 2-year range $1,505–$1,788/MT  |  2-year avg $1,637/MT  |  Start (Jan 2023) $1,645/MT → Latest (Dec 2024) $1,778/MT  |  2-year change: +8.1%  |  Last composite factor score: +1</t>
  </si>
  <si>
    <t>→ Neutral</t>
  </si>
  <si>
    <t>Modified MDI</t>
  </si>
  <si>
    <t>Crisis Situation</t>
  </si>
  <si>
    <t>Other Exception</t>
  </si>
  <si>
    <t>Supply Disruption</t>
  </si>
  <si>
    <t>Price Factor Abbreviations</t>
  </si>
  <si>
    <t>P&amp;T</t>
  </si>
  <si>
    <t>SD</t>
  </si>
  <si>
    <t>DD</t>
  </si>
  <si>
    <t>CS</t>
  </si>
  <si>
    <t>CD</t>
  </si>
  <si>
    <t>OE</t>
  </si>
  <si>
    <t>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</si>
</sst>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dd\-mmm\-yyyy"/>
    <numFmt numFmtId="166" formatCode="\+#,##0.00;\-#,##0.00"/>
    <numFmt numFmtId="167" formatCode="\+0.0%;\-0.0%"/>
    <numFmt numFmtId="168" formatCode="\+0;\-0;0"/>
  </numFmts>
  <fonts count="45" x14ac:knownFonts="1">
    <font>
      <sz val="11"/>
      <color theme="1"/>
      <name val="Calibri"/>
      <family val="2"/>
      <scheme val="minor"/>
    </font>
    <font>
      <b/>
      <sz val="15"/>
      <color rgb="FFFFFFFF"/>
      <name val="Arial"/>
    </font>
    <font>
      <sz val="9"/>
      <color rgb="FFD6E8F7"/>
      <name val="Arial"/>
    </font>
    <font>
      <b/>
      <sz val="9"/>
      <color rgb="FFFFFFFF"/>
      <name val="Arial"/>
    </font>
    <font>
      <b/>
      <sz val="10"/>
      <color rgb="FF1A1A1A"/>
      <name val="Arial"/>
    </font>
    <font>
      <sz val="10"/>
      <color rgb="FF5F5E5A"/>
      <name val="Arial"/>
    </font>
    <font>
      <sz val="10"/>
      <color rgb="FF0F6E56"/>
      <name val="Arial"/>
    </font>
    <font>
      <sz val="10"/>
      <color rgb="FF185FA5"/>
      <name val="Arial"/>
    </font>
    <font>
      <i/>
      <sz val="9"/>
      <color rgb="FF854F0B"/>
      <name val="Arial"/>
    </font>
    <font>
      <b/>
      <sz val="10"/>
      <color rgb="FF185FA5"/>
      <name val="Arial"/>
    </font>
    <font>
      <b/>
      <sz val="10"/>
      <color rgb="FF993C1D"/>
      <name val="Arial"/>
    </font>
    <font>
      <b/>
      <sz val="8"/>
      <color rgb="FFFFFFFF"/>
      <name val="Arial"/>
    </font>
    <font>
      <b/>
      <sz val="10"/>
      <color rgb="FF1A3A5C"/>
      <name val="Arial"/>
    </font>
    <font>
      <sz val="10"/>
      <color rgb="FF1A1A1A"/>
      <name val="Arial"/>
    </font>
    <font>
      <b/>
      <sz val="12"/>
      <color rgb="FF993C1D"/>
      <name val="Arial"/>
    </font>
    <font>
      <b/>
      <sz val="12"/>
      <color rgb="FF72243E"/>
      <name val="Arial"/>
    </font>
    <font>
      <b/>
      <sz val="12"/>
      <color rgb="FF27500A"/>
      <name val="Arial"/>
    </font>
    <font>
      <sz val="9"/>
      <color rgb="FF185FA5"/>
      <name val="Arial"/>
    </font>
    <font>
      <b/>
      <sz val="12"/>
      <color rgb="FF085041"/>
      <name val="Arial"/>
    </font>
    <font>
      <b/>
      <sz val="12"/>
      <color rgb="FF854F0B"/>
      <name val="Arial"/>
    </font>
    <font>
      <b/>
      <sz val="12"/>
      <color rgb="FF0C447C"/>
      <name val="Arial"/>
    </font>
    <font>
      <b/>
      <sz val="12"/>
      <color rgb="FF444441"/>
      <name val="Arial"/>
    </font>
    <font>
      <b/>
      <sz val="10"/>
      <color rgb="FF0F6E56"/>
      <name val="Arial"/>
    </font>
    <font>
      <b/>
      <i/>
      <sz val="9"/>
      <color rgb="FF0F6E56"/>
      <name val="Arial"/>
    </font>
    <font>
      <b/>
      <sz val="10"/>
      <color rgb="FF854F0B"/>
      <name val="Arial"/>
    </font>
    <font>
      <b/>
      <sz val="10"/>
      <color rgb="FFA32D2D"/>
      <name val="Arial"/>
    </font>
    <font>
      <b/>
      <sz val="10"/>
      <color rgb="FF5F5E5A"/>
      <name val="Arial"/>
    </font>
    <font>
      <b/>
      <sz val="16"/>
      <color rgb="FFFFFFFF"/>
      <name val="Arial"/>
    </font>
    <font>
      <b/>
      <sz val="10"/>
      <color rgb="FFFFFFFF"/>
      <name val="Arial"/>
    </font>
    <font>
      <b/>
      <sz val="9"/>
      <color rgb="FF1A3A5C"/>
      <name val="Arial"/>
    </font>
    <font>
      <sz val="9"/>
      <color rgb="FF1A1A1A"/>
      <name val="Arial"/>
    </font>
    <font>
      <b/>
      <sz val="9"/>
      <color rgb="FF0F6E56"/>
      <name val="Arial"/>
    </font>
    <font>
      <sz val="9"/>
      <color rgb="FF854F0B"/>
      <name val="Arial"/>
    </font>
    <font>
      <b/>
      <sz val="9"/>
      <color rgb="FF993C1D"/>
      <name val="Arial"/>
    </font>
    <font>
      <sz val="10"/>
      <color rgb="FF854F0B"/>
      <name val="Arial"/>
    </font>
    <font>
      <sz val="10"/>
      <color rgb="FF27500A"/>
      <name val="Arial"/>
    </font>
    <font>
      <sz val="10"/>
      <color rgb="FF72243E"/>
      <name val="Arial"/>
    </font>
    <font>
      <sz val="9"/>
      <color rgb="FF1A3A5C"/>
      <name val="Arial"/>
    </font>
    <font>
      <i/>
      <sz val="9"/>
      <color rgb="FF1A3A5C"/>
      <name val="Arial"/>
    </font>
    <font>
      <b/>
      <sz val="9"/>
      <color rgb="FFD6E8F7"/>
      <name val="Arial"/>
      <family val="2"/>
    </font>
    <font>
      <b/>
      <sz val="11"/>
      <color theme="1"/>
      <name val="Calibri"/>
      <family val="2"/>
      <scheme val="minor"/>
    </font>
    <font>
      <i/>
      <sz val="10"/>
      <color rgb="FF854F0B"/>
      <name val="Arial"/>
      <family val="2"/>
    </font>
    <font>
      <sz val="10"/>
      <color theme="1"/>
      <name val="Calibri"/>
      <family val="2"/>
      <scheme val="minor"/>
    </font>
    <font>
      <b/>
      <sz val="10"/>
      <color rgb="FFD6E8F7"/>
      <name val="Arial"/>
      <family val="2"/>
    </font>
    <font>
      <b/>
      <sz val="10"/>
      <color theme="1"/>
      <name val="Calibri"/>
      <family val="2"/>
      <scheme val="minor"/>
    </font>
  </fonts>
  <fills count="28">
    <fill>
      <patternFill patternType="none"/>
    </fill>
    <fill>
      <patternFill patternType="gray125"/>
    </fill>
    <fill>
      <patternFill patternType="solid">
        <fgColor rgb="FF1A3A5C"/>
      </patternFill>
    </fill>
    <fill>
      <patternFill patternType="solid">
        <fgColor rgb="FF185FA5"/>
      </patternFill>
    </fill>
    <fill>
      <patternFill patternType="solid">
        <fgColor rgb="FF0F6E56"/>
      </patternFill>
    </fill>
    <fill>
      <patternFill patternType="solid">
        <fgColor rgb="FF854F0B"/>
      </patternFill>
    </fill>
    <fill>
      <patternFill patternType="solid">
        <fgColor rgb="FF3C3489"/>
      </patternFill>
    </fill>
    <fill>
      <patternFill patternType="solid">
        <fgColor rgb="FF993C1D"/>
      </patternFill>
    </fill>
    <fill>
      <patternFill patternType="solid">
        <fgColor rgb="FFFFFFFF"/>
      </patternFill>
    </fill>
    <fill>
      <patternFill patternType="solid">
        <fgColor rgb="FFEDF7F2"/>
      </patternFill>
    </fill>
    <fill>
      <patternFill patternType="solid">
        <fgColor rgb="FFEEF5FD"/>
      </patternFill>
    </fill>
    <fill>
      <patternFill patternType="solid">
        <fgColor rgb="FFFFF8E1"/>
      </patternFill>
    </fill>
    <fill>
      <patternFill patternType="solid">
        <fgColor rgb="FFF1EFE8"/>
      </patternFill>
    </fill>
    <fill>
      <patternFill patternType="solid">
        <fgColor rgb="FFFAE8E2"/>
      </patternFill>
    </fill>
    <fill>
      <patternFill patternType="solid">
        <fgColor rgb="FF72243E"/>
      </patternFill>
    </fill>
    <fill>
      <patternFill patternType="solid">
        <fgColor rgb="FF27500A"/>
      </patternFill>
    </fill>
    <fill>
      <patternFill patternType="solid">
        <fgColor rgb="FF085041"/>
      </patternFill>
    </fill>
    <fill>
      <patternFill patternType="solid">
        <fgColor rgb="FF0C447C"/>
      </patternFill>
    </fill>
    <fill>
      <patternFill patternType="solid">
        <fgColor rgb="FF444441"/>
      </patternFill>
    </fill>
    <fill>
      <patternFill patternType="solid">
        <fgColor rgb="FFFAE2EC"/>
      </patternFill>
    </fill>
    <fill>
      <patternFill patternType="solid">
        <fgColor rgb="FFE6F2DA"/>
      </patternFill>
    </fill>
    <fill>
      <patternFill patternType="solid">
        <fgColor rgb="FFD4EEE7"/>
      </patternFill>
    </fill>
    <fill>
      <patternFill patternType="solid">
        <fgColor rgb="FFFDF0D8"/>
      </patternFill>
    </fill>
    <fill>
      <patternFill patternType="solid">
        <fgColor rgb="FFD6E8F7"/>
      </patternFill>
    </fill>
    <fill>
      <patternFill patternType="solid">
        <fgColor rgb="FFA32D2D"/>
      </patternFill>
    </fill>
    <fill>
      <patternFill patternType="solid">
        <fgColor rgb="FF002060"/>
        <bgColor indexed="64"/>
      </patternFill>
    </fill>
    <fill>
      <patternFill patternType="solid">
        <fgColor rgb="FF0070C0"/>
        <bgColor indexed="64"/>
      </patternFill>
    </fill>
    <fill>
      <patternFill patternType="solid">
        <fgColor theme="4"/>
        <bgColor indexed="64"/>
      </patternFill>
    </fill>
  </fills>
  <borders count="26">
    <border>
      <left/>
      <right/>
      <top/>
      <bottom/>
      <diagonal/>
    </border>
    <border>
      <left style="thin">
        <color rgb="FFFFFFFF"/>
      </left>
      <right style="thin">
        <color rgb="FFFFFFFF"/>
      </right>
      <top style="thin">
        <color rgb="FFFFFFFF"/>
      </top>
      <bottom style="thin">
        <color rgb="FFFFFFFF"/>
      </bottom>
      <diagonal/>
    </border>
    <border>
      <left style="thin">
        <color rgb="FFD3D1C7"/>
      </left>
      <right style="thin">
        <color rgb="FFD3D1C7"/>
      </right>
      <top style="thin">
        <color rgb="FFD3D1C7"/>
      </top>
      <bottom style="thin">
        <color rgb="FFD3D1C7"/>
      </bottom>
      <diagonal/>
    </border>
    <border>
      <left style="thin">
        <color rgb="FF6E5644"/>
      </left>
      <right style="thin">
        <color rgb="FF6E5644"/>
      </right>
      <top style="thin">
        <color rgb="FF6E5644"/>
      </top>
      <bottom style="thin">
        <color rgb="FF6E5644"/>
      </bottom>
      <diagonal/>
    </border>
    <border>
      <left style="thin">
        <color rgb="FF5FA544"/>
      </left>
      <right style="thin">
        <color rgb="FF5FA544"/>
      </right>
      <top style="thin">
        <color rgb="FF5FA544"/>
      </top>
      <bottom style="thin">
        <color rgb="FF5FA544"/>
      </bottom>
      <diagonal/>
    </border>
    <border>
      <left style="thin">
        <color rgb="FF4F0B55"/>
      </left>
      <right style="thin">
        <color rgb="FF4F0B55"/>
      </right>
      <top style="thin">
        <color rgb="FF4F0B55"/>
      </top>
      <bottom style="thin">
        <color rgb="FF4F0B55"/>
      </bottom>
      <diagonal/>
    </border>
    <border>
      <left style="thin">
        <color rgb="FF993C1D"/>
      </left>
      <right style="thin">
        <color rgb="FF993C1D"/>
      </right>
      <top style="thin">
        <color rgb="FF993C1D"/>
      </top>
      <bottom style="thin">
        <color rgb="FF993C1D"/>
      </bottom>
      <diagonal/>
    </border>
    <border>
      <left style="thin">
        <color rgb="FF72243E"/>
      </left>
      <right style="thin">
        <color rgb="FF72243E"/>
      </right>
      <top style="thin">
        <color rgb="FF72243E"/>
      </top>
      <bottom style="thin">
        <color rgb="FF72243E"/>
      </bottom>
      <diagonal/>
    </border>
    <border>
      <left style="thin">
        <color rgb="FF27500A"/>
      </left>
      <right style="thin">
        <color rgb="FF27500A"/>
      </right>
      <top style="thin">
        <color rgb="FF27500A"/>
      </top>
      <bottom style="thin">
        <color rgb="FF27500A"/>
      </bottom>
      <diagonal/>
    </border>
    <border>
      <left style="thin">
        <color rgb="FF085041"/>
      </left>
      <right style="thin">
        <color rgb="FF085041"/>
      </right>
      <top style="thin">
        <color rgb="FF085041"/>
      </top>
      <bottom style="thin">
        <color rgb="FF085041"/>
      </bottom>
      <diagonal/>
    </border>
    <border>
      <left style="thin">
        <color rgb="FF854F0B"/>
      </left>
      <right style="thin">
        <color rgb="FF854F0B"/>
      </right>
      <top style="thin">
        <color rgb="FF854F0B"/>
      </top>
      <bottom style="thin">
        <color rgb="FF854F0B"/>
      </bottom>
      <diagonal/>
    </border>
    <border>
      <left style="thin">
        <color rgb="FF0C447C"/>
      </left>
      <right style="thin">
        <color rgb="FF0C447C"/>
      </right>
      <top style="thin">
        <color rgb="FF0C447C"/>
      </top>
      <bottom style="thin">
        <color rgb="FF0C447C"/>
      </bottom>
      <diagonal/>
    </border>
    <border>
      <left style="thin">
        <color rgb="FF444441"/>
      </left>
      <right style="thin">
        <color rgb="FF444441"/>
      </right>
      <top style="thin">
        <color rgb="FF444441"/>
      </top>
      <bottom style="thin">
        <color rgb="FF444441"/>
      </bottom>
      <diagonal/>
    </border>
    <border>
      <left style="thin">
        <color rgb="FF185FA5"/>
      </left>
      <right style="thin">
        <color rgb="FF185FA5"/>
      </right>
      <top style="thin">
        <color rgb="FF185FA5"/>
      </top>
      <bottom style="thin">
        <color rgb="FF185FA5"/>
      </bottom>
      <diagonal/>
    </border>
    <border>
      <left style="thin">
        <color rgb="FF0F6E56"/>
      </left>
      <right style="thin">
        <color rgb="FF0F6E56"/>
      </right>
      <top style="thin">
        <color rgb="FF0F6E56"/>
      </top>
      <bottom style="thin">
        <color rgb="FF0F6E56"/>
      </bottom>
      <diagonal/>
    </border>
    <border>
      <left style="thin">
        <color rgb="FFA32D2D"/>
      </left>
      <right style="thin">
        <color rgb="FFA32D2D"/>
      </right>
      <top style="thin">
        <color rgb="FFA32D2D"/>
      </top>
      <bottom style="thin">
        <color rgb="FFA32D2D"/>
      </bottom>
      <diagonal/>
    </border>
    <border>
      <left style="thin">
        <color rgb="FFEEF5FD"/>
      </left>
      <right style="thin">
        <color rgb="FFEEF5FD"/>
      </right>
      <top style="thin">
        <color rgb="FFEEF5FD"/>
      </top>
      <bottom style="thin">
        <color rgb="FFEEF5FD"/>
      </bottom>
      <diagonal/>
    </border>
    <border>
      <left style="thin">
        <color rgb="FFEDF7F2"/>
      </left>
      <right style="thin">
        <color rgb="FFEDF7F2"/>
      </right>
      <top style="thin">
        <color rgb="FFEDF7F2"/>
      </top>
      <bottom style="thin">
        <color rgb="FFEDF7F2"/>
      </bottom>
      <diagonal/>
    </border>
    <border>
      <left style="thin">
        <color rgb="FFFFF8E1"/>
      </left>
      <right style="thin">
        <color rgb="FFFFF8E1"/>
      </right>
      <top style="thin">
        <color rgb="FFFFF8E1"/>
      </top>
      <bottom style="thin">
        <color rgb="FFFFF8E1"/>
      </bottom>
      <diagonal/>
    </border>
    <border>
      <left style="thin">
        <color rgb="FFFAE8E2"/>
      </left>
      <right style="thin">
        <color rgb="FFFAE8E2"/>
      </right>
      <top style="thin">
        <color rgb="FFFAE8E2"/>
      </top>
      <bottom style="thin">
        <color rgb="FFFAE8E2"/>
      </bottom>
      <diagonal/>
    </border>
    <border>
      <left style="thin">
        <color rgb="FFE6F2DA"/>
      </left>
      <right style="thin">
        <color rgb="FFE6F2DA"/>
      </right>
      <top style="thin">
        <color rgb="FFE6F2DA"/>
      </top>
      <bottom style="thin">
        <color rgb="FFE6F2DA"/>
      </bottom>
      <diagonal/>
    </border>
    <border>
      <left style="thin">
        <color rgb="FFFAE2EC"/>
      </left>
      <right style="thin">
        <color rgb="FFFAE2EC"/>
      </right>
      <top style="thin">
        <color rgb="FFFAE2EC"/>
      </top>
      <bottom style="thin">
        <color rgb="FFFAE2EC"/>
      </bottom>
      <diagonal/>
    </border>
    <border>
      <left style="thin">
        <color rgb="FF1A3A5C"/>
      </left>
      <right style="thin">
        <color rgb="FF1A3A5C"/>
      </right>
      <top style="thin">
        <color rgb="FF1A3A5C"/>
      </top>
      <bottom style="thin">
        <color rgb="FF1A3A5C"/>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s>
  <cellStyleXfs count="1">
    <xf numFmtId="0" fontId="0" fillId="0" borderId="0"/>
  </cellStyleXfs>
  <cellXfs count="185">
    <xf numFmtId="0" fontId="0" fillId="0" borderId="0" xfId="0"/>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6" fillId="9" borderId="3" xfId="0" applyFont="1" applyFill="1" applyBorder="1" applyAlignment="1">
      <alignment horizontal="center" vertical="center"/>
    </xf>
    <xf numFmtId="0" fontId="8" fillId="11" borderId="5" xfId="0" applyFont="1" applyFill="1" applyBorder="1" applyAlignment="1">
      <alignment horizontal="left" vertical="center" wrapText="1"/>
    </xf>
    <xf numFmtId="166" fontId="6" fillId="9" borderId="3" xfId="0" applyNumberFormat="1" applyFont="1" applyFill="1" applyBorder="1" applyAlignment="1">
      <alignment horizontal="center" vertical="center"/>
    </xf>
    <xf numFmtId="0" fontId="7" fillId="10" borderId="4" xfId="0" applyFont="1" applyFill="1" applyBorder="1" applyAlignment="1">
      <alignment horizontal="left" vertical="center"/>
    </xf>
    <xf numFmtId="167" fontId="6" fillId="9" borderId="3" xfId="0" applyNumberFormat="1" applyFont="1" applyFill="1" applyBorder="1" applyAlignment="1">
      <alignment horizontal="center" vertical="center"/>
    </xf>
    <xf numFmtId="0" fontId="3" fillId="14"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3" fillId="17"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12" fillId="12" borderId="2" xfId="0" applyFont="1" applyFill="1" applyBorder="1" applyAlignment="1">
      <alignment horizontal="center" vertical="center"/>
    </xf>
    <xf numFmtId="165" fontId="13" fillId="12" borderId="2" xfId="0" applyNumberFormat="1" applyFont="1" applyFill="1" applyBorder="1" applyAlignment="1">
      <alignment horizontal="center" vertical="center"/>
    </xf>
    <xf numFmtId="4" fontId="7" fillId="10" borderId="4" xfId="0" applyNumberFormat="1" applyFont="1" applyFill="1" applyBorder="1" applyAlignment="1">
      <alignment horizontal="center" vertical="center"/>
    </xf>
    <xf numFmtId="4" fontId="6" fillId="9" borderId="3" xfId="0" applyNumberFormat="1" applyFont="1" applyFill="1" applyBorder="1" applyAlignment="1">
      <alignment horizontal="center" vertical="center"/>
    </xf>
    <xf numFmtId="168" fontId="14" fillId="13" borderId="6" xfId="0" applyNumberFormat="1" applyFont="1" applyFill="1" applyBorder="1" applyAlignment="1">
      <alignment horizontal="center" vertical="center"/>
    </xf>
    <xf numFmtId="0" fontId="8" fillId="11" borderId="2" xfId="0" applyFont="1" applyFill="1" applyBorder="1" applyAlignment="1">
      <alignment horizontal="left" vertical="center" wrapText="1"/>
    </xf>
    <xf numFmtId="168" fontId="15" fillId="19" borderId="7" xfId="0" applyNumberFormat="1" applyFont="1" applyFill="1" applyBorder="1" applyAlignment="1">
      <alignment horizontal="center" vertical="center"/>
    </xf>
    <xf numFmtId="168" fontId="16" fillId="20" borderId="8" xfId="0" applyNumberFormat="1" applyFont="1" applyFill="1" applyBorder="1" applyAlignment="1">
      <alignment horizontal="center" vertical="center"/>
    </xf>
    <xf numFmtId="0" fontId="17" fillId="10" borderId="2" xfId="0" applyFont="1" applyFill="1" applyBorder="1" applyAlignment="1">
      <alignment horizontal="left" vertical="center" wrapText="1"/>
    </xf>
    <xf numFmtId="168" fontId="18" fillId="21" borderId="9" xfId="0" applyNumberFormat="1" applyFont="1" applyFill="1" applyBorder="1" applyAlignment="1">
      <alignment horizontal="center" vertical="center"/>
    </xf>
    <xf numFmtId="168" fontId="19" fillId="22" borderId="10" xfId="0" applyNumberFormat="1" applyFont="1" applyFill="1" applyBorder="1" applyAlignment="1">
      <alignment horizontal="center" vertical="center"/>
    </xf>
    <xf numFmtId="168" fontId="20" fillId="23" borderId="11" xfId="0" applyNumberFormat="1" applyFont="1" applyFill="1" applyBorder="1" applyAlignment="1">
      <alignment horizontal="center" vertical="center"/>
    </xf>
    <xf numFmtId="168" fontId="21" fillId="12" borderId="12" xfId="0" applyNumberFormat="1" applyFont="1" applyFill="1" applyBorder="1" applyAlignment="1">
      <alignment horizontal="center" vertical="center"/>
    </xf>
    <xf numFmtId="168" fontId="22" fillId="9" borderId="3" xfId="0" applyNumberFormat="1" applyFont="1" applyFill="1" applyBorder="1" applyAlignment="1">
      <alignment horizontal="center" vertical="center"/>
    </xf>
    <xf numFmtId="0" fontId="12" fillId="8" borderId="2" xfId="0" applyFont="1" applyFill="1" applyBorder="1" applyAlignment="1">
      <alignment horizontal="center" vertical="center"/>
    </xf>
    <xf numFmtId="165" fontId="13" fillId="8" borderId="2" xfId="0" applyNumberFormat="1" applyFont="1" applyFill="1" applyBorder="1" applyAlignment="1">
      <alignment horizontal="center" vertical="center"/>
    </xf>
    <xf numFmtId="0" fontId="3" fillId="24" borderId="1" xfId="0" applyFont="1" applyFill="1" applyBorder="1" applyAlignment="1">
      <alignment horizontal="center" vertical="center" wrapText="1"/>
    </xf>
    <xf numFmtId="0" fontId="4" fillId="12" borderId="2" xfId="0" applyFont="1" applyFill="1" applyBorder="1" applyAlignment="1">
      <alignment horizontal="center" vertical="center"/>
    </xf>
    <xf numFmtId="0" fontId="13" fillId="12" borderId="2" xfId="0" applyFont="1" applyFill="1" applyBorder="1" applyAlignment="1">
      <alignment horizontal="center" vertical="center"/>
    </xf>
    <xf numFmtId="168" fontId="13" fillId="12" borderId="2" xfId="0" applyNumberFormat="1" applyFont="1" applyFill="1" applyBorder="1" applyAlignment="1">
      <alignment horizontal="center" vertical="center"/>
    </xf>
    <xf numFmtId="4" fontId="9" fillId="23" borderId="13" xfId="0" applyNumberFormat="1" applyFont="1" applyFill="1" applyBorder="1" applyAlignment="1">
      <alignment horizontal="center" vertical="center"/>
    </xf>
    <xf numFmtId="4" fontId="22" fillId="9" borderId="14" xfId="0" applyNumberFormat="1" applyFont="1" applyFill="1" applyBorder="1" applyAlignment="1">
      <alignment horizontal="center" vertical="center"/>
    </xf>
    <xf numFmtId="167" fontId="9" fillId="23" borderId="13" xfId="0" applyNumberFormat="1" applyFont="1" applyFill="1" applyBorder="1" applyAlignment="1">
      <alignment horizontal="center" vertical="center"/>
    </xf>
    <xf numFmtId="4" fontId="22" fillId="21" borderId="14" xfId="0" applyNumberFormat="1" applyFont="1" applyFill="1" applyBorder="1" applyAlignment="1">
      <alignment horizontal="center" vertical="center"/>
    </xf>
    <xf numFmtId="167" fontId="22" fillId="21" borderId="14" xfId="0" applyNumberFormat="1" applyFont="1" applyFill="1" applyBorder="1" applyAlignment="1">
      <alignment horizontal="center" vertical="center"/>
    </xf>
    <xf numFmtId="4" fontId="25" fillId="13" borderId="15" xfId="0" applyNumberFormat="1" applyFont="1" applyFill="1" applyBorder="1" applyAlignment="1">
      <alignment horizontal="center" vertical="center"/>
    </xf>
    <xf numFmtId="167" fontId="25" fillId="13" borderId="15" xfId="0" applyNumberFormat="1" applyFont="1" applyFill="1" applyBorder="1" applyAlignment="1">
      <alignment horizontal="center" vertical="center"/>
    </xf>
    <xf numFmtId="0" fontId="22" fillId="20" borderId="2" xfId="0" applyFont="1" applyFill="1" applyBorder="1" applyAlignment="1">
      <alignment horizontal="center" vertical="center"/>
    </xf>
    <xf numFmtId="0" fontId="6" fillId="9" borderId="2" xfId="0" applyFont="1" applyFill="1" applyBorder="1" applyAlignment="1">
      <alignment horizontal="left" vertical="center" wrapText="1"/>
    </xf>
    <xf numFmtId="0" fontId="6" fillId="9" borderId="2" xfId="0" applyFont="1" applyFill="1" applyBorder="1" applyAlignment="1">
      <alignment horizontal="center" vertical="center"/>
    </xf>
    <xf numFmtId="0" fontId="4" fillId="8" borderId="2" xfId="0" applyFont="1" applyFill="1" applyBorder="1" applyAlignment="1">
      <alignment horizontal="center" vertical="center"/>
    </xf>
    <xf numFmtId="0" fontId="13" fillId="8" borderId="2" xfId="0" applyFont="1" applyFill="1" applyBorder="1" applyAlignment="1">
      <alignment horizontal="center" vertical="center"/>
    </xf>
    <xf numFmtId="168" fontId="13" fillId="8" borderId="2" xfId="0" applyNumberFormat="1" applyFont="1" applyFill="1" applyBorder="1" applyAlignment="1">
      <alignment horizontal="center" vertical="center"/>
    </xf>
    <xf numFmtId="0" fontId="26" fillId="12" borderId="2" xfId="0" applyFont="1" applyFill="1" applyBorder="1" applyAlignment="1">
      <alignment horizontal="center" vertical="center"/>
    </xf>
    <xf numFmtId="0" fontId="0" fillId="0" borderId="0" xfId="0"/>
    <xf numFmtId="0" fontId="2" fillId="3" borderId="0" xfId="0" applyFont="1" applyFill="1" applyAlignment="1">
      <alignment horizontal="left"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5" borderId="1" xfId="0" applyFont="1" applyFill="1" applyBorder="1" applyAlignment="1">
      <alignment horizontal="center" vertical="center"/>
    </xf>
    <xf numFmtId="0" fontId="1" fillId="2" borderId="0" xfId="0" applyFont="1" applyFill="1" applyAlignment="1">
      <alignment horizontal="left" vertical="center"/>
    </xf>
    <xf numFmtId="0" fontId="11" fillId="7" borderId="1" xfId="0" applyFont="1" applyFill="1" applyBorder="1" applyAlignment="1">
      <alignment horizontal="center" vertical="center"/>
    </xf>
    <xf numFmtId="0" fontId="8" fillId="11" borderId="2" xfId="0" applyFont="1" applyFill="1" applyBorder="1" applyAlignment="1">
      <alignment horizontal="left" vertical="center"/>
    </xf>
    <xf numFmtId="0" fontId="11" fillId="14" borderId="1" xfId="0" applyFont="1" applyFill="1" applyBorder="1" applyAlignment="1">
      <alignment horizontal="center" vertical="center"/>
    </xf>
    <xf numFmtId="0" fontId="11" fillId="15" borderId="1" xfId="0" applyFont="1" applyFill="1" applyBorder="1" applyAlignment="1">
      <alignment horizontal="center" vertical="center"/>
    </xf>
    <xf numFmtId="0" fontId="11" fillId="16" borderId="1" xfId="0" applyFont="1" applyFill="1" applyBorder="1" applyAlignment="1">
      <alignment horizontal="center" vertical="center"/>
    </xf>
    <xf numFmtId="0" fontId="11" fillId="17" borderId="1" xfId="0" applyFont="1" applyFill="1" applyBorder="1" applyAlignment="1">
      <alignment horizontal="center" vertical="center"/>
    </xf>
    <xf numFmtId="0" fontId="11" fillId="18" borderId="1" xfId="0" applyFont="1" applyFill="1" applyBorder="1" applyAlignment="1">
      <alignment horizontal="center" vertical="center"/>
    </xf>
    <xf numFmtId="0" fontId="11" fillId="5" borderId="1" xfId="0" applyFont="1" applyFill="1" applyBorder="1" applyAlignment="1">
      <alignment horizontal="center" vertical="center"/>
    </xf>
    <xf numFmtId="0" fontId="3" fillId="24" borderId="1" xfId="0" applyFont="1" applyFill="1" applyBorder="1" applyAlignment="1">
      <alignment horizontal="center" vertical="center"/>
    </xf>
    <xf numFmtId="0" fontId="23" fillId="9" borderId="2" xfId="0" applyFont="1" applyFill="1" applyBorder="1" applyAlignment="1">
      <alignment horizontal="left" vertical="center"/>
    </xf>
    <xf numFmtId="0" fontId="0" fillId="0" borderId="0" xfId="0" applyAlignment="1">
      <alignment vertical="center"/>
    </xf>
    <xf numFmtId="0" fontId="0" fillId="0" borderId="0" xfId="0" applyAlignment="1">
      <alignment horizontal="left" vertical="center" indent="1"/>
    </xf>
    <xf numFmtId="0" fontId="0" fillId="0" borderId="0" xfId="0" applyAlignment="1">
      <alignment horizontal="left" vertical="center" indent="1"/>
    </xf>
    <xf numFmtId="0" fontId="2" fillId="3" borderId="0" xfId="0" applyFont="1" applyFill="1" applyAlignment="1">
      <alignment horizontal="left" vertical="center" indent="1"/>
    </xf>
    <xf numFmtId="0" fontId="28" fillId="2" borderId="1" xfId="0" applyFont="1" applyFill="1" applyBorder="1" applyAlignment="1">
      <alignment horizontal="left" vertical="center" indent="1"/>
    </xf>
    <xf numFmtId="0" fontId="3" fillId="3" borderId="1" xfId="0" applyFont="1" applyFill="1" applyBorder="1" applyAlignment="1">
      <alignment horizontal="left" vertical="center" indent="1"/>
    </xf>
    <xf numFmtId="0" fontId="12" fillId="8" borderId="2" xfId="0" applyFont="1" applyFill="1" applyBorder="1" applyAlignment="1">
      <alignment horizontal="left" vertical="center" indent="1"/>
    </xf>
    <xf numFmtId="0" fontId="13" fillId="8" borderId="2" xfId="0" applyFont="1" applyFill="1" applyBorder="1" applyAlignment="1">
      <alignment horizontal="left" vertical="center" indent="1"/>
    </xf>
    <xf numFmtId="0" fontId="12" fillId="23" borderId="2" xfId="0" applyFont="1" applyFill="1" applyBorder="1" applyAlignment="1">
      <alignment horizontal="left" vertical="center" indent="1"/>
    </xf>
    <xf numFmtId="0" fontId="13" fillId="23" borderId="2" xfId="0" applyFont="1" applyFill="1" applyBorder="1" applyAlignment="1">
      <alignment horizontal="left" vertical="center" indent="1"/>
    </xf>
    <xf numFmtId="0" fontId="9" fillId="10" borderId="16" xfId="0" applyFont="1" applyFill="1" applyBorder="1" applyAlignment="1">
      <alignment horizontal="left" vertical="center" indent="1"/>
    </xf>
    <xf numFmtId="0" fontId="29" fillId="12" borderId="2" xfId="0" applyFont="1" applyFill="1" applyBorder="1" applyAlignment="1">
      <alignment horizontal="left" vertical="center" indent="1"/>
    </xf>
    <xf numFmtId="0" fontId="30" fillId="8" borderId="2" xfId="0" applyFont="1" applyFill="1" applyBorder="1" applyAlignment="1">
      <alignment horizontal="left" vertical="center" indent="1"/>
    </xf>
    <xf numFmtId="0" fontId="31" fillId="20" borderId="2" xfId="0" applyFont="1" applyFill="1" applyBorder="1" applyAlignment="1">
      <alignment horizontal="left" vertical="center" indent="1"/>
    </xf>
    <xf numFmtId="0" fontId="32" fillId="11" borderId="2" xfId="0" applyFont="1" applyFill="1" applyBorder="1" applyAlignment="1">
      <alignment horizontal="left" vertical="center" wrapText="1" indent="1"/>
    </xf>
    <xf numFmtId="0" fontId="6" fillId="9" borderId="17" xfId="0" applyFont="1" applyFill="1" applyBorder="1" applyAlignment="1">
      <alignment horizontal="left" vertical="center" indent="1"/>
    </xf>
    <xf numFmtId="0" fontId="33" fillId="13" borderId="2" xfId="0" applyFont="1" applyFill="1" applyBorder="1" applyAlignment="1">
      <alignment horizontal="left" vertical="center" indent="1"/>
    </xf>
    <xf numFmtId="0" fontId="34" fillId="11" borderId="18" xfId="0" applyFont="1" applyFill="1" applyBorder="1" applyAlignment="1">
      <alignment horizontal="left" vertical="center" indent="1"/>
    </xf>
    <xf numFmtId="0" fontId="10" fillId="13" borderId="19" xfId="0" applyFont="1" applyFill="1" applyBorder="1" applyAlignment="1">
      <alignment horizontal="left" vertical="center" indent="1"/>
    </xf>
    <xf numFmtId="0" fontId="35" fillId="20" borderId="20" xfId="0" applyFont="1" applyFill="1" applyBorder="1" applyAlignment="1">
      <alignment horizontal="left" vertical="center" indent="1"/>
    </xf>
    <xf numFmtId="0" fontId="36" fillId="19" borderId="21" xfId="0" applyFont="1" applyFill="1" applyBorder="1" applyAlignment="1">
      <alignment horizontal="left" vertical="center" indent="1"/>
    </xf>
    <xf numFmtId="0" fontId="28" fillId="2" borderId="22" xfId="0" applyFont="1" applyFill="1" applyBorder="1" applyAlignment="1">
      <alignment horizontal="left" vertical="center" indent="1"/>
    </xf>
    <xf numFmtId="0" fontId="37" fillId="23" borderId="2" xfId="0" applyFont="1" applyFill="1" applyBorder="1" applyAlignment="1">
      <alignment horizontal="left" vertical="center" wrapText="1" indent="1"/>
    </xf>
    <xf numFmtId="0" fontId="37" fillId="8" borderId="2" xfId="0" applyFont="1" applyFill="1" applyBorder="1" applyAlignment="1">
      <alignment horizontal="left" vertical="center" wrapText="1" indent="1"/>
    </xf>
    <xf numFmtId="0" fontId="38" fillId="23" borderId="2" xfId="0" applyFont="1" applyFill="1" applyBorder="1" applyAlignment="1">
      <alignment horizontal="left" vertical="center" wrapText="1" indent="1"/>
    </xf>
    <xf numFmtId="0" fontId="1" fillId="2" borderId="0" xfId="0" applyFont="1" applyFill="1" applyAlignment="1">
      <alignment horizontal="left" vertical="center" indent="1"/>
    </xf>
    <xf numFmtId="0" fontId="3" fillId="2" borderId="1" xfId="0" applyFont="1" applyFill="1" applyBorder="1" applyAlignment="1">
      <alignment horizontal="left" vertical="center" indent="1"/>
    </xf>
    <xf numFmtId="0" fontId="3" fillId="3" borderId="1" xfId="0" applyFont="1" applyFill="1" applyBorder="1" applyAlignment="1">
      <alignment horizontal="left" vertical="center" indent="1"/>
    </xf>
    <xf numFmtId="0" fontId="3" fillId="4" borderId="1" xfId="0" applyFont="1" applyFill="1" applyBorder="1" applyAlignment="1">
      <alignment horizontal="left" vertical="center" indent="1"/>
    </xf>
    <xf numFmtId="0" fontId="3" fillId="5" borderId="1" xfId="0" applyFont="1" applyFill="1" applyBorder="1" applyAlignment="1">
      <alignment horizontal="left" vertical="center" indent="1"/>
    </xf>
    <xf numFmtId="0" fontId="3" fillId="6" borderId="1" xfId="0" applyFont="1" applyFill="1" applyBorder="1" applyAlignment="1">
      <alignment horizontal="left" vertical="center" indent="1"/>
    </xf>
    <xf numFmtId="0" fontId="3" fillId="7" borderId="1" xfId="0" applyFont="1" applyFill="1" applyBorder="1" applyAlignment="1">
      <alignment horizontal="left" vertical="center" indent="1"/>
    </xf>
    <xf numFmtId="0" fontId="0" fillId="2" borderId="1" xfId="0" applyFill="1" applyBorder="1" applyAlignment="1">
      <alignment horizontal="left" vertical="center" indent="1"/>
    </xf>
    <xf numFmtId="0" fontId="3" fillId="2" borderId="1" xfId="0" applyFont="1" applyFill="1" applyBorder="1" applyAlignment="1">
      <alignment horizontal="left" vertical="center" wrapText="1" indent="1"/>
    </xf>
    <xf numFmtId="0" fontId="3" fillId="3" borderId="1" xfId="0" applyFont="1" applyFill="1" applyBorder="1" applyAlignment="1">
      <alignment horizontal="left" vertical="center" wrapText="1" indent="1"/>
    </xf>
    <xf numFmtId="0" fontId="3" fillId="4" borderId="1" xfId="0" applyFont="1" applyFill="1" applyBorder="1" applyAlignment="1">
      <alignment horizontal="left" vertical="center" wrapText="1" indent="1"/>
    </xf>
    <xf numFmtId="0" fontId="3" fillId="5" borderId="1" xfId="0" applyFont="1" applyFill="1" applyBorder="1" applyAlignment="1">
      <alignment horizontal="left" vertical="center" wrapText="1" indent="1"/>
    </xf>
    <xf numFmtId="0" fontId="3" fillId="6" borderId="1" xfId="0" applyFont="1" applyFill="1" applyBorder="1" applyAlignment="1">
      <alignment horizontal="left" vertical="center" wrapText="1" indent="1"/>
    </xf>
    <xf numFmtId="0" fontId="3" fillId="7" borderId="1" xfId="0" applyFont="1" applyFill="1" applyBorder="1" applyAlignment="1">
      <alignment horizontal="left" vertical="center" wrapText="1" indent="1"/>
    </xf>
    <xf numFmtId="165" fontId="4" fillId="8" borderId="2" xfId="0" applyNumberFormat="1" applyFont="1" applyFill="1" applyBorder="1" applyAlignment="1">
      <alignment horizontal="left" vertical="center" indent="1"/>
    </xf>
    <xf numFmtId="0" fontId="5" fillId="8" borderId="2" xfId="0" applyFont="1" applyFill="1" applyBorder="1" applyAlignment="1">
      <alignment horizontal="left" vertical="center" indent="1"/>
    </xf>
    <xf numFmtId="0" fontId="6" fillId="9" borderId="3" xfId="0" applyFont="1" applyFill="1" applyBorder="1" applyAlignment="1">
      <alignment horizontal="left" vertical="center" indent="1"/>
    </xf>
    <xf numFmtId="0" fontId="7" fillId="10" borderId="4" xfId="0" applyFont="1" applyFill="1" applyBorder="1" applyAlignment="1">
      <alignment horizontal="left" vertical="center" indent="1"/>
    </xf>
    <xf numFmtId="0" fontId="8" fillId="11" borderId="5" xfId="0" applyFont="1" applyFill="1" applyBorder="1" applyAlignment="1">
      <alignment horizontal="left" vertical="center" wrapText="1" indent="1"/>
    </xf>
    <xf numFmtId="4" fontId="9" fillId="10" borderId="4" xfId="0" applyNumberFormat="1" applyFont="1" applyFill="1" applyBorder="1" applyAlignment="1">
      <alignment horizontal="left" vertical="center" indent="1"/>
    </xf>
    <xf numFmtId="166" fontId="6" fillId="9" borderId="3" xfId="0" applyNumberFormat="1" applyFont="1" applyFill="1" applyBorder="1" applyAlignment="1">
      <alignment horizontal="left" vertical="center" indent="1"/>
    </xf>
    <xf numFmtId="165" fontId="4" fillId="12" borderId="2" xfId="0" applyNumberFormat="1" applyFont="1" applyFill="1" applyBorder="1" applyAlignment="1">
      <alignment horizontal="left" vertical="center" indent="1"/>
    </xf>
    <xf numFmtId="0" fontId="5" fillId="12" borderId="2" xfId="0" applyFont="1" applyFill="1" applyBorder="1" applyAlignment="1">
      <alignment horizontal="left" vertical="center" indent="1"/>
    </xf>
    <xf numFmtId="0" fontId="10" fillId="13" borderId="3" xfId="0" applyFont="1" applyFill="1" applyBorder="1" applyAlignment="1">
      <alignment horizontal="left" vertical="center" indent="1"/>
    </xf>
    <xf numFmtId="167" fontId="6" fillId="9" borderId="3" xfId="0" applyNumberFormat="1" applyFont="1" applyFill="1" applyBorder="1" applyAlignment="1">
      <alignment horizontal="left" vertical="center" indent="1"/>
    </xf>
    <xf numFmtId="0" fontId="11" fillId="7" borderId="1" xfId="0" applyFont="1" applyFill="1" applyBorder="1" applyAlignment="1">
      <alignment horizontal="left" vertical="center" indent="1"/>
    </xf>
    <xf numFmtId="0" fontId="11" fillId="14" borderId="1" xfId="0" applyFont="1" applyFill="1" applyBorder="1" applyAlignment="1">
      <alignment horizontal="left" vertical="center" indent="1"/>
    </xf>
    <xf numFmtId="0" fontId="11" fillId="15" borderId="1" xfId="0" applyFont="1" applyFill="1" applyBorder="1" applyAlignment="1">
      <alignment horizontal="left" vertical="center" indent="1"/>
    </xf>
    <xf numFmtId="0" fontId="11" fillId="16" borderId="1" xfId="0" applyFont="1" applyFill="1" applyBorder="1" applyAlignment="1">
      <alignment horizontal="left" vertical="center" indent="1"/>
    </xf>
    <xf numFmtId="0" fontId="11" fillId="5" borderId="1" xfId="0" applyFont="1" applyFill="1" applyBorder="1" applyAlignment="1">
      <alignment horizontal="left" vertical="center" indent="1"/>
    </xf>
    <xf numFmtId="0" fontId="11" fillId="17" borderId="1" xfId="0" applyFont="1" applyFill="1" applyBorder="1" applyAlignment="1">
      <alignment horizontal="left" vertical="center" indent="1"/>
    </xf>
    <xf numFmtId="0" fontId="11" fillId="18" borderId="1" xfId="0" applyFont="1" applyFill="1" applyBorder="1" applyAlignment="1">
      <alignment horizontal="left" vertical="center" indent="1"/>
    </xf>
    <xf numFmtId="0" fontId="3" fillId="14" borderId="1" xfId="0" applyFont="1" applyFill="1" applyBorder="1" applyAlignment="1">
      <alignment horizontal="left" vertical="center" wrapText="1" indent="1"/>
    </xf>
    <xf numFmtId="0" fontId="3" fillId="15" borderId="1" xfId="0" applyFont="1" applyFill="1" applyBorder="1" applyAlignment="1">
      <alignment horizontal="left" vertical="center" wrapText="1" indent="1"/>
    </xf>
    <xf numFmtId="0" fontId="3" fillId="16" borderId="1" xfId="0" applyFont="1" applyFill="1" applyBorder="1" applyAlignment="1">
      <alignment horizontal="left" vertical="center" wrapText="1" indent="1"/>
    </xf>
    <xf numFmtId="0" fontId="3" fillId="17" borderId="1" xfId="0" applyFont="1" applyFill="1" applyBorder="1" applyAlignment="1">
      <alignment horizontal="left" vertical="center" wrapText="1" indent="1"/>
    </xf>
    <xf numFmtId="0" fontId="3" fillId="18" borderId="1" xfId="0" applyFont="1" applyFill="1" applyBorder="1" applyAlignment="1">
      <alignment horizontal="left" vertical="center" wrapText="1" indent="1"/>
    </xf>
    <xf numFmtId="0" fontId="12" fillId="12" borderId="2" xfId="0" applyFont="1" applyFill="1" applyBorder="1" applyAlignment="1">
      <alignment horizontal="left" vertical="center" indent="1"/>
    </xf>
    <xf numFmtId="165" fontId="13" fillId="12" borderId="2" xfId="0" applyNumberFormat="1" applyFont="1" applyFill="1" applyBorder="1" applyAlignment="1">
      <alignment horizontal="left" vertical="center" indent="1"/>
    </xf>
    <xf numFmtId="4" fontId="7" fillId="10" borderId="4" xfId="0" applyNumberFormat="1" applyFont="1" applyFill="1" applyBorder="1" applyAlignment="1">
      <alignment horizontal="left" vertical="center" indent="1"/>
    </xf>
    <xf numFmtId="4" fontId="6" fillId="9" borderId="3" xfId="0" applyNumberFormat="1" applyFont="1" applyFill="1" applyBorder="1" applyAlignment="1">
      <alignment horizontal="left" vertical="center" indent="1"/>
    </xf>
    <xf numFmtId="168" fontId="14" fillId="13" borderId="6" xfId="0" applyNumberFormat="1" applyFont="1" applyFill="1" applyBorder="1" applyAlignment="1">
      <alignment horizontal="left" vertical="center" indent="1"/>
    </xf>
    <xf numFmtId="0" fontId="8" fillId="11" borderId="2" xfId="0" applyFont="1" applyFill="1" applyBorder="1" applyAlignment="1">
      <alignment horizontal="left" vertical="center" wrapText="1" indent="1"/>
    </xf>
    <xf numFmtId="168" fontId="15" fillId="19" borderId="7" xfId="0" applyNumberFormat="1" applyFont="1" applyFill="1" applyBorder="1" applyAlignment="1">
      <alignment horizontal="left" vertical="center" indent="1"/>
    </xf>
    <xf numFmtId="168" fontId="16" fillId="20" borderId="8" xfId="0" applyNumberFormat="1" applyFont="1" applyFill="1" applyBorder="1" applyAlignment="1">
      <alignment horizontal="left" vertical="center" indent="1"/>
    </xf>
    <xf numFmtId="0" fontId="17" fillId="10" borderId="2" xfId="0" applyFont="1" applyFill="1" applyBorder="1" applyAlignment="1">
      <alignment horizontal="left" vertical="center" wrapText="1" indent="1"/>
    </xf>
    <xf numFmtId="168" fontId="18" fillId="21" borderId="9" xfId="0" applyNumberFormat="1" applyFont="1" applyFill="1" applyBorder="1" applyAlignment="1">
      <alignment horizontal="left" vertical="center" indent="1"/>
    </xf>
    <xf numFmtId="168" fontId="19" fillId="22" borderId="10" xfId="0" applyNumberFormat="1" applyFont="1" applyFill="1" applyBorder="1" applyAlignment="1">
      <alignment horizontal="left" vertical="center" indent="1"/>
    </xf>
    <xf numFmtId="168" fontId="20" fillId="23" borderId="11" xfId="0" applyNumberFormat="1" applyFont="1" applyFill="1" applyBorder="1" applyAlignment="1">
      <alignment horizontal="left" vertical="center" indent="1"/>
    </xf>
    <xf numFmtId="168" fontId="21" fillId="12" borderId="12" xfId="0" applyNumberFormat="1" applyFont="1" applyFill="1" applyBorder="1" applyAlignment="1">
      <alignment horizontal="left" vertical="center" indent="1"/>
    </xf>
    <xf numFmtId="168" fontId="22" fillId="9" borderId="3" xfId="0" applyNumberFormat="1" applyFont="1" applyFill="1" applyBorder="1" applyAlignment="1">
      <alignment horizontal="left" vertical="center" indent="1"/>
    </xf>
    <xf numFmtId="165" fontId="13" fillId="8" borderId="2" xfId="0" applyNumberFormat="1" applyFont="1" applyFill="1" applyBorder="1" applyAlignment="1">
      <alignment horizontal="left" vertical="center" indent="1"/>
    </xf>
    <xf numFmtId="0" fontId="3" fillId="24" borderId="1" xfId="0" applyFont="1" applyFill="1" applyBorder="1" applyAlignment="1">
      <alignment horizontal="left" vertical="center" indent="1"/>
    </xf>
    <xf numFmtId="0" fontId="3" fillId="24" borderId="1" xfId="0" applyFont="1" applyFill="1" applyBorder="1" applyAlignment="1">
      <alignment horizontal="left" vertical="center" wrapText="1" indent="1"/>
    </xf>
    <xf numFmtId="0" fontId="4" fillId="12" borderId="2" xfId="0" applyFont="1" applyFill="1" applyBorder="1" applyAlignment="1">
      <alignment horizontal="left" vertical="center" indent="1"/>
    </xf>
    <xf numFmtId="0" fontId="13" fillId="12" borderId="2" xfId="0" applyFont="1" applyFill="1" applyBorder="1" applyAlignment="1">
      <alignment horizontal="left" vertical="center" indent="1"/>
    </xf>
    <xf numFmtId="168" fontId="13" fillId="12" borderId="2" xfId="0" applyNumberFormat="1" applyFont="1" applyFill="1" applyBorder="1" applyAlignment="1">
      <alignment horizontal="left" vertical="center" indent="1"/>
    </xf>
    <xf numFmtId="0" fontId="24" fillId="22" borderId="2" xfId="0" applyFont="1" applyFill="1" applyBorder="1" applyAlignment="1">
      <alignment horizontal="left" vertical="center" indent="1"/>
    </xf>
    <xf numFmtId="4" fontId="9" fillId="23" borderId="13" xfId="0" applyNumberFormat="1" applyFont="1" applyFill="1" applyBorder="1" applyAlignment="1">
      <alignment horizontal="left" vertical="center" indent="1"/>
    </xf>
    <xf numFmtId="4" fontId="22" fillId="9" borderId="14" xfId="0" applyNumberFormat="1" applyFont="1" applyFill="1" applyBorder="1" applyAlignment="1">
      <alignment horizontal="left" vertical="center" indent="1"/>
    </xf>
    <xf numFmtId="167" fontId="9" fillId="23" borderId="13" xfId="0" applyNumberFormat="1" applyFont="1" applyFill="1" applyBorder="1" applyAlignment="1">
      <alignment horizontal="left" vertical="center" indent="1"/>
    </xf>
    <xf numFmtId="4" fontId="22" fillId="21" borderId="14" xfId="0" applyNumberFormat="1" applyFont="1" applyFill="1" applyBorder="1" applyAlignment="1">
      <alignment horizontal="left" vertical="center" indent="1"/>
    </xf>
    <xf numFmtId="167" fontId="22" fillId="21" borderId="14" xfId="0" applyNumberFormat="1" applyFont="1" applyFill="1" applyBorder="1" applyAlignment="1">
      <alignment horizontal="left" vertical="center" indent="1"/>
    </xf>
    <xf numFmtId="4" fontId="25" fillId="13" borderId="15" xfId="0" applyNumberFormat="1" applyFont="1" applyFill="1" applyBorder="1" applyAlignment="1">
      <alignment horizontal="left" vertical="center" indent="1"/>
    </xf>
    <xf numFmtId="167" fontId="25" fillId="13" borderId="15" xfId="0" applyNumberFormat="1" applyFont="1" applyFill="1" applyBorder="1" applyAlignment="1">
      <alignment horizontal="left" vertical="center" indent="1"/>
    </xf>
    <xf numFmtId="0" fontId="22" fillId="20" borderId="2" xfId="0" applyFont="1" applyFill="1" applyBorder="1" applyAlignment="1">
      <alignment horizontal="left" vertical="center" indent="1"/>
    </xf>
    <xf numFmtId="0" fontId="6" fillId="9" borderId="2" xfId="0" applyFont="1" applyFill="1" applyBorder="1" applyAlignment="1">
      <alignment horizontal="left" vertical="center" wrapText="1" indent="1"/>
    </xf>
    <xf numFmtId="0" fontId="6" fillId="9" borderId="2" xfId="0" applyFont="1" applyFill="1" applyBorder="1" applyAlignment="1">
      <alignment horizontal="left" vertical="center" indent="1"/>
    </xf>
    <xf numFmtId="0" fontId="4" fillId="8" borderId="2" xfId="0" applyFont="1" applyFill="1" applyBorder="1" applyAlignment="1">
      <alignment horizontal="left" vertical="center" indent="1"/>
    </xf>
    <xf numFmtId="168" fontId="13" fillId="8" borderId="2" xfId="0" applyNumberFormat="1" applyFont="1" applyFill="1" applyBorder="1" applyAlignment="1">
      <alignment horizontal="left" vertical="center" indent="1"/>
    </xf>
    <xf numFmtId="0" fontId="23" fillId="9" borderId="2" xfId="0" applyFont="1" applyFill="1" applyBorder="1" applyAlignment="1">
      <alignment vertical="center"/>
    </xf>
    <xf numFmtId="0" fontId="2" fillId="3" borderId="0" xfId="0" applyFont="1" applyFill="1" applyAlignment="1">
      <alignment horizontal="left" vertical="center" indent="1"/>
    </xf>
    <xf numFmtId="0" fontId="2" fillId="3" borderId="0" xfId="0" applyFont="1" applyFill="1" applyAlignment="1">
      <alignment vertical="center"/>
    </xf>
    <xf numFmtId="0" fontId="0" fillId="25" borderId="0" xfId="0" applyFill="1" applyAlignment="1">
      <alignment vertical="center"/>
    </xf>
    <xf numFmtId="0" fontId="27" fillId="25" borderId="0" xfId="0" applyFont="1" applyFill="1" applyAlignment="1">
      <alignment horizontal="left" vertical="center" indent="1"/>
    </xf>
    <xf numFmtId="0" fontId="0" fillId="25" borderId="0" xfId="0" applyFill="1" applyAlignment="1">
      <alignment horizontal="left" vertical="center" indent="1"/>
    </xf>
    <xf numFmtId="0" fontId="39" fillId="26" borderId="0" xfId="0" applyFont="1" applyFill="1" applyAlignment="1">
      <alignment vertical="center"/>
    </xf>
    <xf numFmtId="0" fontId="40" fillId="26" borderId="0" xfId="0" applyFont="1" applyFill="1" applyAlignment="1">
      <alignment vertical="center"/>
    </xf>
    <xf numFmtId="0" fontId="39" fillId="26" borderId="0" xfId="0" applyFont="1" applyFill="1" applyAlignment="1">
      <alignment horizontal="left" vertical="center" indent="1"/>
    </xf>
    <xf numFmtId="0" fontId="40" fillId="26" borderId="0" xfId="0" applyFont="1" applyFill="1" applyAlignment="1">
      <alignment horizontal="left" vertical="center" indent="1"/>
    </xf>
    <xf numFmtId="0" fontId="41" fillId="11" borderId="2" xfId="0" applyFont="1" applyFill="1" applyBorder="1" applyAlignment="1">
      <alignment horizontal="left" vertical="center" indent="1"/>
    </xf>
    <xf numFmtId="0" fontId="42" fillId="0" borderId="0" xfId="0" applyFont="1" applyAlignment="1">
      <alignment horizontal="left" vertical="center" indent="1"/>
    </xf>
    <xf numFmtId="0" fontId="1" fillId="25" borderId="0" xfId="0" applyFont="1" applyFill="1" applyAlignment="1">
      <alignment horizontal="left" vertical="center" indent="1"/>
    </xf>
    <xf numFmtId="0" fontId="3" fillId="2" borderId="23" xfId="0" applyFont="1" applyFill="1" applyBorder="1" applyAlignment="1">
      <alignment horizontal="left" vertical="center" indent="1"/>
    </xf>
    <xf numFmtId="0" fontId="3" fillId="2" borderId="24" xfId="0" applyFont="1" applyFill="1" applyBorder="1" applyAlignment="1">
      <alignment horizontal="left" vertical="center" indent="1"/>
    </xf>
    <xf numFmtId="0" fontId="3" fillId="2" borderId="25" xfId="0" applyFont="1" applyFill="1" applyBorder="1" applyAlignment="1">
      <alignment horizontal="left" vertical="center" indent="1"/>
    </xf>
    <xf numFmtId="0" fontId="28" fillId="25" borderId="1" xfId="0" applyFont="1" applyFill="1" applyBorder="1" applyAlignment="1">
      <alignment vertical="center"/>
    </xf>
    <xf numFmtId="0" fontId="43" fillId="27" borderId="0" xfId="0" applyFont="1" applyFill="1" applyAlignment="1">
      <alignment horizontal="left" vertical="center" indent="1"/>
    </xf>
    <xf numFmtId="0" fontId="44" fillId="27" borderId="0" xfId="0" applyFont="1" applyFill="1" applyAlignment="1">
      <alignment horizontal="left" vertical="center" indent="1"/>
    </xf>
    <xf numFmtId="0" fontId="28" fillId="25" borderId="1" xfId="0" applyFont="1" applyFill="1" applyBorder="1" applyAlignment="1">
      <alignment horizontal="left" vertical="center" indent="1"/>
    </xf>
    <xf numFmtId="0" fontId="3" fillId="3" borderId="1" xfId="0" applyFont="1" applyFill="1" applyBorder="1" applyAlignment="1">
      <alignment horizontal="righ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43"/>
  <sheetViews>
    <sheetView showGridLines="0" tabSelected="1" zoomScale="80" zoomScaleNormal="80" workbookViewId="0">
      <pane xSplit="1" ySplit="6" topLeftCell="B7" activePane="bottomRight" state="frozen"/>
      <selection pane="topRight"/>
      <selection pane="bottomLeft"/>
      <selection pane="bottomRight" activeCell="E9" sqref="E9"/>
    </sheetView>
  </sheetViews>
  <sheetFormatPr defaultRowHeight="15" x14ac:dyDescent="0.25"/>
  <cols>
    <col min="1" max="1" width="1.42578125" style="70" customWidth="1"/>
    <col min="2" max="2" width="22.5703125" style="70" customWidth="1"/>
    <col min="3" max="3" width="29.5703125" style="70" customWidth="1"/>
    <col min="4" max="4" width="64.7109375" style="70" customWidth="1"/>
    <col min="5" max="5" width="18.85546875" style="70" customWidth="1"/>
    <col min="6" max="6" width="49.42578125" style="70" customWidth="1"/>
    <col min="7" max="7" width="1.42578125" style="70" customWidth="1"/>
    <col min="8" max="16384" width="9.140625" style="70"/>
  </cols>
  <sheetData>
    <row r="1" spans="2:12" ht="6" customHeight="1" x14ac:dyDescent="0.25"/>
    <row r="2" spans="2:12" ht="44.1" customHeight="1" x14ac:dyDescent="0.25">
      <c r="B2" s="168" t="s">
        <v>0</v>
      </c>
      <c r="C2" s="169"/>
      <c r="D2" s="169"/>
      <c r="E2" s="169"/>
      <c r="F2" s="169"/>
      <c r="G2" s="169"/>
      <c r="H2" s="169"/>
      <c r="I2" s="169"/>
      <c r="J2" s="169"/>
      <c r="K2" s="169"/>
      <c r="L2" s="169"/>
    </row>
    <row r="3" spans="2:12" ht="20.100000000000001" customHeight="1" x14ac:dyDescent="0.25">
      <c r="B3" s="172" t="s">
        <v>1</v>
      </c>
      <c r="C3" s="173"/>
      <c r="D3" s="173"/>
      <c r="E3" s="173"/>
      <c r="F3" s="173"/>
      <c r="G3" s="173"/>
      <c r="H3" s="173"/>
      <c r="I3" s="173"/>
      <c r="J3" s="173"/>
      <c r="K3" s="173"/>
      <c r="L3" s="173"/>
    </row>
    <row r="5" spans="2:12" ht="20.100000000000001" customHeight="1" x14ac:dyDescent="0.25">
      <c r="B5" s="180" t="s">
        <v>2</v>
      </c>
      <c r="C5" s="167"/>
      <c r="D5" s="167"/>
      <c r="E5" s="167"/>
      <c r="F5" s="167"/>
      <c r="G5" s="167"/>
      <c r="H5" s="167"/>
      <c r="I5" s="167"/>
      <c r="J5" s="167"/>
      <c r="K5" s="167"/>
      <c r="L5" s="167"/>
    </row>
    <row r="6" spans="2:12" ht="21.95" customHeight="1" x14ac:dyDescent="0.25">
      <c r="B6" s="74" t="s">
        <v>3</v>
      </c>
      <c r="C6" s="74" t="s">
        <v>4</v>
      </c>
      <c r="D6" s="74" t="s">
        <v>5</v>
      </c>
    </row>
    <row r="7" spans="2:12" ht="18" customHeight="1" x14ac:dyDescent="0.25">
      <c r="B7" s="75" t="s">
        <v>6</v>
      </c>
      <c r="C7" s="76" t="s">
        <v>7</v>
      </c>
      <c r="D7" s="76" t="s">
        <v>8</v>
      </c>
    </row>
    <row r="8" spans="2:12" ht="18" customHeight="1" x14ac:dyDescent="0.25">
      <c r="B8" s="77" t="s">
        <v>9</v>
      </c>
      <c r="C8" s="78" t="s">
        <v>10</v>
      </c>
      <c r="D8" s="78" t="s">
        <v>11</v>
      </c>
    </row>
    <row r="9" spans="2:12" ht="18" customHeight="1" x14ac:dyDescent="0.25">
      <c r="B9" s="75" t="s">
        <v>12</v>
      </c>
      <c r="C9" s="76" t="s">
        <v>13</v>
      </c>
      <c r="D9" s="76" t="s">
        <v>14</v>
      </c>
    </row>
    <row r="10" spans="2:12" ht="18" customHeight="1" x14ac:dyDescent="0.25">
      <c r="B10" s="77" t="s">
        <v>15</v>
      </c>
      <c r="C10" s="78" t="s">
        <v>16</v>
      </c>
      <c r="D10" s="78" t="s">
        <v>17</v>
      </c>
    </row>
    <row r="11" spans="2:12" ht="18" customHeight="1" x14ac:dyDescent="0.25">
      <c r="B11" s="75" t="s">
        <v>18</v>
      </c>
      <c r="C11" s="76" t="s">
        <v>19</v>
      </c>
      <c r="D11" s="76" t="s">
        <v>11</v>
      </c>
    </row>
    <row r="12" spans="2:12" ht="18" customHeight="1" x14ac:dyDescent="0.25">
      <c r="B12" s="77" t="s">
        <v>20</v>
      </c>
      <c r="C12" s="78" t="s">
        <v>21</v>
      </c>
      <c r="D12" s="78" t="s">
        <v>14</v>
      </c>
    </row>
    <row r="13" spans="2:12" ht="18" customHeight="1" x14ac:dyDescent="0.25">
      <c r="B13" s="75" t="s">
        <v>22</v>
      </c>
      <c r="C13" s="76" t="s">
        <v>23</v>
      </c>
      <c r="D13" s="76" t="s">
        <v>17</v>
      </c>
    </row>
    <row r="16" spans="2:12" ht="8.1" customHeight="1" x14ac:dyDescent="0.25"/>
    <row r="17" spans="2:12" ht="21.95" customHeight="1" x14ac:dyDescent="0.25">
      <c r="B17" s="180" t="s">
        <v>24</v>
      </c>
      <c r="C17" s="167"/>
      <c r="D17" s="167"/>
      <c r="E17" s="167"/>
      <c r="F17" s="167"/>
      <c r="G17" s="167"/>
      <c r="H17" s="167"/>
      <c r="I17" s="167"/>
      <c r="J17" s="167"/>
      <c r="K17" s="167"/>
      <c r="L17" s="167"/>
    </row>
    <row r="18" spans="2:12" ht="21.95" customHeight="1" x14ac:dyDescent="0.25">
      <c r="B18" s="74" t="s">
        <v>25</v>
      </c>
      <c r="C18" s="74" t="s">
        <v>26</v>
      </c>
      <c r="D18" s="74" t="s">
        <v>27</v>
      </c>
      <c r="E18" s="74" t="s">
        <v>28</v>
      </c>
      <c r="F18" s="74" t="s">
        <v>29</v>
      </c>
    </row>
    <row r="19" spans="2:12" ht="30" customHeight="1" x14ac:dyDescent="0.25">
      <c r="B19" s="79" t="s">
        <v>30</v>
      </c>
      <c r="C19" s="80" t="s">
        <v>31</v>
      </c>
      <c r="D19" s="81" t="s">
        <v>32</v>
      </c>
      <c r="E19" s="82" t="s">
        <v>33</v>
      </c>
      <c r="F19" s="83" t="s">
        <v>34</v>
      </c>
    </row>
    <row r="20" spans="2:12" ht="30" customHeight="1" x14ac:dyDescent="0.25">
      <c r="B20" s="84" t="s">
        <v>30</v>
      </c>
      <c r="C20" s="80" t="s">
        <v>35</v>
      </c>
      <c r="D20" s="81" t="s">
        <v>36</v>
      </c>
      <c r="E20" s="85" t="s">
        <v>37</v>
      </c>
      <c r="F20" s="83" t="s">
        <v>38</v>
      </c>
    </row>
    <row r="21" spans="2:12" ht="30" customHeight="1" x14ac:dyDescent="0.25">
      <c r="B21" s="86" t="s">
        <v>30</v>
      </c>
      <c r="C21" s="80" t="s">
        <v>39</v>
      </c>
      <c r="D21" s="81" t="s">
        <v>40</v>
      </c>
      <c r="E21" s="82" t="s">
        <v>33</v>
      </c>
      <c r="F21" s="83" t="s">
        <v>41</v>
      </c>
    </row>
    <row r="22" spans="2:12" ht="30" customHeight="1" x14ac:dyDescent="0.25">
      <c r="B22" s="87" t="s">
        <v>30</v>
      </c>
      <c r="C22" s="80" t="s">
        <v>42</v>
      </c>
      <c r="D22" s="81" t="s">
        <v>43</v>
      </c>
      <c r="E22" s="82" t="s">
        <v>33</v>
      </c>
      <c r="F22" s="83" t="s">
        <v>44</v>
      </c>
    </row>
    <row r="23" spans="2:12" ht="30" customHeight="1" x14ac:dyDescent="0.25">
      <c r="B23" s="88" t="s">
        <v>30</v>
      </c>
      <c r="C23" s="80" t="s">
        <v>45</v>
      </c>
      <c r="D23" s="81" t="s">
        <v>46</v>
      </c>
      <c r="E23" s="82" t="s">
        <v>33</v>
      </c>
      <c r="F23" s="83" t="s">
        <v>47</v>
      </c>
    </row>
    <row r="24" spans="2:12" ht="30" customHeight="1" x14ac:dyDescent="0.25">
      <c r="B24" s="89" t="s">
        <v>30</v>
      </c>
      <c r="C24" s="80" t="s">
        <v>48</v>
      </c>
      <c r="D24" s="81" t="s">
        <v>49</v>
      </c>
      <c r="E24" s="82" t="s">
        <v>33</v>
      </c>
      <c r="F24" s="83" t="s">
        <v>50</v>
      </c>
    </row>
    <row r="25" spans="2:12" ht="30" customHeight="1" x14ac:dyDescent="0.25">
      <c r="B25" s="90" t="s">
        <v>30</v>
      </c>
      <c r="C25" s="80" t="s">
        <v>51</v>
      </c>
      <c r="D25" s="81" t="s">
        <v>52</v>
      </c>
      <c r="E25" s="85" t="s">
        <v>37</v>
      </c>
      <c r="F25" s="83" t="s">
        <v>53</v>
      </c>
    </row>
    <row r="28" spans="2:12" ht="8.1" customHeight="1" x14ac:dyDescent="0.25"/>
    <row r="29" spans="2:12" ht="21.95" customHeight="1" x14ac:dyDescent="0.25">
      <c r="B29" s="73" t="s">
        <v>54</v>
      </c>
      <c r="C29" s="71"/>
      <c r="D29" s="71"/>
      <c r="E29" s="71"/>
      <c r="F29" s="71"/>
      <c r="G29" s="71"/>
      <c r="H29" s="71"/>
      <c r="I29" s="71"/>
      <c r="J29" s="71"/>
      <c r="K29" s="71"/>
      <c r="L29" s="71"/>
    </row>
    <row r="30" spans="2:12" ht="32.25" customHeight="1" x14ac:dyDescent="0.25">
      <c r="B30" s="91" t="s">
        <v>55</v>
      </c>
      <c r="C30" s="71"/>
      <c r="D30" s="71"/>
      <c r="E30" s="71"/>
      <c r="F30" s="71"/>
      <c r="G30" s="71"/>
      <c r="H30" s="71"/>
      <c r="I30" s="71"/>
      <c r="J30" s="71"/>
      <c r="K30" s="71"/>
      <c r="L30" s="71"/>
    </row>
    <row r="31" spans="2:12" ht="32.25" customHeight="1" x14ac:dyDescent="0.25">
      <c r="B31" s="92" t="s">
        <v>56</v>
      </c>
      <c r="C31" s="71"/>
      <c r="D31" s="71"/>
      <c r="E31" s="71"/>
      <c r="F31" s="71"/>
      <c r="G31" s="71"/>
      <c r="H31" s="71"/>
      <c r="I31" s="71"/>
      <c r="J31" s="71"/>
      <c r="K31" s="71"/>
      <c r="L31" s="71"/>
    </row>
    <row r="32" spans="2:12" ht="32.25" customHeight="1" x14ac:dyDescent="0.25">
      <c r="B32" s="91" t="s">
        <v>57</v>
      </c>
      <c r="C32" s="71"/>
      <c r="D32" s="71"/>
      <c r="E32" s="71"/>
      <c r="F32" s="71"/>
      <c r="G32" s="71"/>
      <c r="H32" s="71"/>
      <c r="I32" s="71"/>
      <c r="J32" s="71"/>
      <c r="K32" s="71"/>
      <c r="L32" s="71"/>
    </row>
    <row r="33" spans="2:12" ht="32.25" customHeight="1" x14ac:dyDescent="0.25">
      <c r="B33" s="92" t="s">
        <v>58</v>
      </c>
      <c r="C33" s="71"/>
      <c r="D33" s="71"/>
      <c r="E33" s="71"/>
      <c r="F33" s="71"/>
      <c r="G33" s="71"/>
      <c r="H33" s="71"/>
      <c r="I33" s="71"/>
      <c r="J33" s="71"/>
      <c r="K33" s="71"/>
      <c r="L33" s="71"/>
    </row>
    <row r="34" spans="2:12" ht="32.25" customHeight="1" x14ac:dyDescent="0.25">
      <c r="B34" s="93" t="s">
        <v>59</v>
      </c>
      <c r="C34" s="71"/>
      <c r="D34" s="71"/>
      <c r="E34" s="71"/>
      <c r="F34" s="71"/>
      <c r="G34" s="71"/>
      <c r="H34" s="71"/>
      <c r="I34" s="71"/>
      <c r="J34" s="71"/>
      <c r="K34" s="71"/>
      <c r="L34" s="71"/>
    </row>
    <row r="36" spans="2:12" x14ac:dyDescent="0.25">
      <c r="B36" s="183" t="s">
        <v>1381</v>
      </c>
      <c r="C36" s="183"/>
    </row>
    <row r="37" spans="2:12" x14ac:dyDescent="0.25">
      <c r="B37" s="184" t="s">
        <v>1382</v>
      </c>
      <c r="C37" s="74" t="s">
        <v>659</v>
      </c>
    </row>
    <row r="38" spans="2:12" x14ac:dyDescent="0.25">
      <c r="B38" s="184" t="s">
        <v>1383</v>
      </c>
      <c r="C38" s="74" t="s">
        <v>1380</v>
      </c>
    </row>
    <row r="39" spans="2:12" x14ac:dyDescent="0.25">
      <c r="B39" s="184" t="s">
        <v>1384</v>
      </c>
      <c r="C39" s="74" t="s">
        <v>661</v>
      </c>
    </row>
    <row r="40" spans="2:12" x14ac:dyDescent="0.25">
      <c r="B40" s="184" t="s">
        <v>1385</v>
      </c>
      <c r="C40" s="74" t="s">
        <v>1378</v>
      </c>
    </row>
    <row r="41" spans="2:12" x14ac:dyDescent="0.25">
      <c r="B41" s="184" t="s">
        <v>1386</v>
      </c>
      <c r="C41" s="74" t="s">
        <v>663</v>
      </c>
    </row>
    <row r="42" spans="2:12" x14ac:dyDescent="0.25">
      <c r="B42" s="184" t="s">
        <v>1388</v>
      </c>
      <c r="C42" s="74" t="s">
        <v>664</v>
      </c>
    </row>
    <row r="43" spans="2:12" x14ac:dyDescent="0.25">
      <c r="B43" s="184" t="s">
        <v>1387</v>
      </c>
      <c r="C43" s="74" t="s">
        <v>1379</v>
      </c>
    </row>
  </sheetData>
  <mergeCells count="6">
    <mergeCell ref="B34:L34"/>
    <mergeCell ref="B32:L32"/>
    <mergeCell ref="B31:L31"/>
    <mergeCell ref="B30:L30"/>
    <mergeCell ref="B29:L29"/>
    <mergeCell ref="B33:L3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D425"/>
  <sheetViews>
    <sheetView showGridLines="0" zoomScale="90" zoomScaleNormal="90" workbookViewId="0">
      <pane xSplit="8" ySplit="5" topLeftCell="I6" activePane="bottomRight" state="frozen"/>
      <selection pane="topRight"/>
      <selection pane="bottomLeft"/>
      <selection pane="bottomRight" activeCell="A11" sqref="A11"/>
    </sheetView>
  </sheetViews>
  <sheetFormatPr defaultRowHeight="15" x14ac:dyDescent="0.25"/>
  <cols>
    <col min="1" max="1" width="1.42578125" style="70" customWidth="1"/>
    <col min="2" max="2" width="14" style="70" customWidth="1"/>
    <col min="3" max="3" width="9.140625" style="70" customWidth="1"/>
    <col min="4" max="4" width="7" style="70" customWidth="1"/>
    <col min="5" max="5" width="18" style="70" customWidth="1"/>
    <col min="6" max="6" width="15.42578125" style="70" customWidth="1"/>
    <col min="7" max="7" width="11.42578125" style="70" customWidth="1"/>
    <col min="8" max="8" width="42" style="70" customWidth="1"/>
    <col min="9" max="10" width="16" style="70" customWidth="1"/>
    <col min="11" max="11" width="20" style="70" customWidth="1"/>
    <col min="12" max="12" width="10.28515625" style="70" customWidth="1"/>
    <col min="13" max="13" width="8" style="70" customWidth="1"/>
    <col min="14" max="14" width="16" style="70" customWidth="1"/>
    <col min="15" max="15" width="8" style="70" customWidth="1"/>
    <col min="16" max="16" width="14" style="70" customWidth="1"/>
    <col min="17" max="17" width="13.42578125" style="70" customWidth="1"/>
    <col min="18" max="18" width="20" style="70" customWidth="1"/>
    <col min="19" max="19" width="26.28515625" style="70" customWidth="1"/>
    <col min="20" max="21" width="8" style="70" customWidth="1"/>
    <col min="22" max="22" width="9" style="70" customWidth="1"/>
    <col min="23" max="23" width="10" style="70" customWidth="1"/>
    <col min="24" max="24" width="7" style="70" customWidth="1"/>
    <col min="25" max="29" width="8" style="70" customWidth="1"/>
    <col min="30" max="30" width="28" style="70" customWidth="1"/>
    <col min="31" max="16384" width="9.140625" style="70"/>
  </cols>
  <sheetData>
    <row r="1" spans="2:30" ht="6" customHeight="1" x14ac:dyDescent="0.25"/>
    <row r="2" spans="2:30" ht="38.1" customHeight="1" x14ac:dyDescent="0.25">
      <c r="B2" s="94" t="s">
        <v>60</v>
      </c>
      <c r="C2" s="71"/>
      <c r="D2" s="71"/>
      <c r="E2" s="71"/>
      <c r="F2" s="71"/>
      <c r="G2" s="71"/>
      <c r="H2" s="71"/>
      <c r="I2" s="71"/>
      <c r="J2" s="71"/>
      <c r="K2" s="71"/>
      <c r="L2" s="71"/>
      <c r="M2" s="71"/>
      <c r="N2" s="71"/>
      <c r="O2" s="71"/>
      <c r="P2" s="71"/>
      <c r="Q2" s="71"/>
      <c r="R2" s="71"/>
      <c r="S2" s="71"/>
      <c r="T2" s="71"/>
      <c r="U2" s="71"/>
      <c r="V2" s="71"/>
      <c r="W2" s="71"/>
      <c r="X2" s="71"/>
      <c r="Y2" s="71"/>
      <c r="Z2" s="71"/>
      <c r="AA2" s="71"/>
      <c r="AB2" s="71"/>
    </row>
    <row r="3" spans="2:30" ht="18" customHeight="1" x14ac:dyDescent="0.25">
      <c r="B3" s="72" t="s">
        <v>61</v>
      </c>
      <c r="C3" s="71"/>
      <c r="D3" s="71"/>
      <c r="E3" s="71"/>
      <c r="F3" s="71"/>
      <c r="G3" s="71"/>
      <c r="H3" s="71"/>
      <c r="I3" s="71"/>
      <c r="J3" s="71"/>
      <c r="K3" s="71"/>
      <c r="L3" s="71"/>
      <c r="M3" s="71"/>
      <c r="N3" s="71"/>
      <c r="O3" s="71"/>
      <c r="P3" s="71"/>
      <c r="Q3" s="71"/>
      <c r="R3" s="71"/>
      <c r="S3" s="71"/>
      <c r="T3" s="71"/>
      <c r="U3" s="71"/>
      <c r="V3" s="71"/>
      <c r="W3" s="71"/>
      <c r="X3" s="71"/>
      <c r="Y3" s="71"/>
      <c r="Z3" s="71"/>
      <c r="AA3" s="71"/>
      <c r="AB3" s="71"/>
    </row>
    <row r="4" spans="2:30" ht="18" customHeight="1" x14ac:dyDescent="0.25">
      <c r="B4" s="95" t="s">
        <v>62</v>
      </c>
      <c r="C4" s="71"/>
      <c r="D4" s="71"/>
      <c r="E4" s="71"/>
      <c r="F4" s="71"/>
      <c r="G4" s="71"/>
      <c r="H4" s="71"/>
      <c r="I4" s="96" t="s">
        <v>63</v>
      </c>
      <c r="J4" s="71"/>
      <c r="K4" s="71"/>
      <c r="L4" s="71"/>
      <c r="M4" s="71"/>
      <c r="N4" s="97" t="s">
        <v>64</v>
      </c>
      <c r="O4" s="71"/>
      <c r="P4" s="71"/>
      <c r="Q4" s="71"/>
      <c r="R4" s="71"/>
      <c r="S4" s="98" t="s">
        <v>65</v>
      </c>
      <c r="T4" s="71"/>
      <c r="U4" s="71"/>
      <c r="V4" s="99" t="s">
        <v>66</v>
      </c>
      <c r="W4" s="71"/>
      <c r="X4" s="71"/>
      <c r="Y4" s="71"/>
      <c r="Z4" s="100" t="s">
        <v>67</v>
      </c>
      <c r="AA4" s="71"/>
      <c r="AB4" s="71"/>
      <c r="AC4" s="71"/>
      <c r="AD4" s="101"/>
    </row>
    <row r="5" spans="2:30" ht="36" customHeight="1" x14ac:dyDescent="0.25">
      <c r="B5" s="102" t="s">
        <v>68</v>
      </c>
      <c r="C5" s="102" t="s">
        <v>69</v>
      </c>
      <c r="D5" s="102" t="s">
        <v>70</v>
      </c>
      <c r="E5" s="102" t="s">
        <v>71</v>
      </c>
      <c r="F5" s="102" t="s">
        <v>72</v>
      </c>
      <c r="G5" s="102" t="s">
        <v>73</v>
      </c>
      <c r="H5" s="102" t="s">
        <v>74</v>
      </c>
      <c r="I5" s="103" t="s">
        <v>75</v>
      </c>
      <c r="J5" s="103" t="s">
        <v>76</v>
      </c>
      <c r="K5" s="103" t="s">
        <v>77</v>
      </c>
      <c r="L5" s="103" t="s">
        <v>78</v>
      </c>
      <c r="M5" s="103" t="s">
        <v>79</v>
      </c>
      <c r="N5" s="104" t="s">
        <v>80</v>
      </c>
      <c r="O5" s="104" t="s">
        <v>81</v>
      </c>
      <c r="P5" s="104" t="s">
        <v>82</v>
      </c>
      <c r="Q5" s="104" t="s">
        <v>83</v>
      </c>
      <c r="R5" s="104" t="s">
        <v>84</v>
      </c>
      <c r="S5" s="105" t="s">
        <v>85</v>
      </c>
      <c r="T5" s="105" t="s">
        <v>86</v>
      </c>
      <c r="U5" s="105" t="s">
        <v>87</v>
      </c>
      <c r="V5" s="106" t="s">
        <v>88</v>
      </c>
      <c r="W5" s="106" t="s">
        <v>89</v>
      </c>
      <c r="X5" s="106" t="s">
        <v>90</v>
      </c>
      <c r="Y5" s="106" t="s">
        <v>91</v>
      </c>
      <c r="Z5" s="107" t="s">
        <v>92</v>
      </c>
      <c r="AA5" s="107" t="s">
        <v>93</v>
      </c>
      <c r="AB5" s="107" t="s">
        <v>94</v>
      </c>
      <c r="AC5" s="107" t="s">
        <v>95</v>
      </c>
      <c r="AD5" s="102" t="s">
        <v>96</v>
      </c>
    </row>
    <row r="6" spans="2:30" ht="27.75" customHeight="1" x14ac:dyDescent="0.25">
      <c r="B6" s="108">
        <v>44928</v>
      </c>
      <c r="C6" s="109" t="s">
        <v>97</v>
      </c>
      <c r="D6" s="109">
        <v>1</v>
      </c>
      <c r="E6" s="110" t="str">
        <f t="shared" ref="E6:E69" si="0">TEXT(B6,"YYYYMMDD")&amp;"-"&amp;TEXT(ROW()-5,"000")</f>
        <v>20230102-001</v>
      </c>
      <c r="F6" s="111" t="s">
        <v>98</v>
      </c>
      <c r="G6" s="111" t="s">
        <v>99</v>
      </c>
      <c r="H6" s="112" t="s">
        <v>100</v>
      </c>
      <c r="I6" s="113">
        <v>490</v>
      </c>
      <c r="J6" s="111" t="s">
        <v>101</v>
      </c>
      <c r="K6" s="111" t="s">
        <v>102</v>
      </c>
      <c r="L6" s="111" t="s">
        <v>103</v>
      </c>
      <c r="M6" s="111" t="s">
        <v>104</v>
      </c>
      <c r="N6" s="111" t="s">
        <v>105</v>
      </c>
      <c r="O6" s="111" t="s">
        <v>106</v>
      </c>
      <c r="P6" s="111" t="s">
        <v>107</v>
      </c>
      <c r="Q6" s="110" t="s">
        <v>108</v>
      </c>
      <c r="R6" s="110" t="s">
        <v>109</v>
      </c>
      <c r="S6" s="111" t="s">
        <v>110</v>
      </c>
      <c r="T6" s="111" t="s">
        <v>111</v>
      </c>
      <c r="U6" s="111" t="s">
        <v>103</v>
      </c>
      <c r="V6" s="110" t="s">
        <v>112</v>
      </c>
      <c r="W6" s="114">
        <f>IFERROR(I6-AVERAGEIFS(I5:I$6,J5:J$6,"ICIS / Platts",B5:B$6,B6),"")</f>
        <v>0</v>
      </c>
      <c r="X6" s="110" t="s">
        <v>113</v>
      </c>
      <c r="Y6" s="110" t="s">
        <v>114</v>
      </c>
      <c r="Z6" s="111" t="s">
        <v>115</v>
      </c>
      <c r="AA6" s="111" t="s">
        <v>115</v>
      </c>
      <c r="AB6" s="111" t="s">
        <v>115</v>
      </c>
      <c r="AC6" s="111" t="s">
        <v>116</v>
      </c>
      <c r="AD6" s="111"/>
    </row>
    <row r="7" spans="2:30" ht="27.75" customHeight="1" x14ac:dyDescent="0.25">
      <c r="B7" s="115">
        <v>44929</v>
      </c>
      <c r="C7" s="116" t="s">
        <v>117</v>
      </c>
      <c r="D7" s="116">
        <v>1</v>
      </c>
      <c r="E7" s="110" t="str">
        <f t="shared" si="0"/>
        <v>20230103-002</v>
      </c>
      <c r="F7" s="111" t="s">
        <v>98</v>
      </c>
      <c r="G7" s="111" t="s">
        <v>99</v>
      </c>
      <c r="H7" s="112" t="s">
        <v>100</v>
      </c>
      <c r="I7" s="113">
        <v>498.45</v>
      </c>
      <c r="J7" s="111" t="s">
        <v>118</v>
      </c>
      <c r="K7" s="111" t="s">
        <v>119</v>
      </c>
      <c r="L7" s="111" t="s">
        <v>103</v>
      </c>
      <c r="M7" s="111" t="s">
        <v>104</v>
      </c>
      <c r="N7" s="111" t="s">
        <v>120</v>
      </c>
      <c r="O7" s="111" t="s">
        <v>121</v>
      </c>
      <c r="P7" s="111" t="s">
        <v>122</v>
      </c>
      <c r="Q7" s="110" t="s">
        <v>123</v>
      </c>
      <c r="R7" s="110" t="s">
        <v>124</v>
      </c>
      <c r="S7" s="111" t="s">
        <v>110</v>
      </c>
      <c r="T7" s="111" t="s">
        <v>111</v>
      </c>
      <c r="U7" s="111" t="s">
        <v>103</v>
      </c>
      <c r="V7" s="110" t="s">
        <v>112</v>
      </c>
      <c r="W7" s="114" t="str">
        <f>IFERROR(I7-AVERAGEIFS(I$6:I6,J$6:J6,"ICIS / Platts",B$6:B6,B7),"")</f>
        <v/>
      </c>
      <c r="X7" s="110" t="s">
        <v>125</v>
      </c>
      <c r="Y7" s="110" t="s">
        <v>114</v>
      </c>
      <c r="Z7" s="111" t="s">
        <v>115</v>
      </c>
      <c r="AA7" s="111" t="s">
        <v>115</v>
      </c>
      <c r="AB7" s="111" t="s">
        <v>115</v>
      </c>
      <c r="AC7" s="111" t="s">
        <v>116</v>
      </c>
      <c r="AD7" s="111"/>
    </row>
    <row r="8" spans="2:30" ht="27.75" customHeight="1" x14ac:dyDescent="0.25">
      <c r="B8" s="108">
        <v>44930</v>
      </c>
      <c r="C8" s="109" t="s">
        <v>126</v>
      </c>
      <c r="D8" s="109">
        <v>1</v>
      </c>
      <c r="E8" s="110" t="str">
        <f t="shared" si="0"/>
        <v>20230104-003</v>
      </c>
      <c r="F8" s="111" t="s">
        <v>98</v>
      </c>
      <c r="G8" s="111" t="s">
        <v>99</v>
      </c>
      <c r="H8" s="112" t="s">
        <v>100</v>
      </c>
      <c r="I8" s="113">
        <v>487.48</v>
      </c>
      <c r="J8" s="111" t="s">
        <v>127</v>
      </c>
      <c r="K8" s="111" t="s">
        <v>128</v>
      </c>
      <c r="L8" s="111" t="s">
        <v>129</v>
      </c>
      <c r="M8" s="111" t="s">
        <v>104</v>
      </c>
      <c r="N8" s="111" t="s">
        <v>130</v>
      </c>
      <c r="O8" s="111" t="s">
        <v>131</v>
      </c>
      <c r="P8" s="111" t="s">
        <v>132</v>
      </c>
      <c r="Q8" s="110" t="s">
        <v>133</v>
      </c>
      <c r="R8" s="110" t="s">
        <v>134</v>
      </c>
      <c r="S8" s="111" t="s">
        <v>135</v>
      </c>
      <c r="T8" s="111" t="s">
        <v>136</v>
      </c>
      <c r="U8" s="111" t="s">
        <v>129</v>
      </c>
      <c r="V8" s="110" t="s">
        <v>112</v>
      </c>
      <c r="W8" s="114" t="str">
        <f>IFERROR(I8-AVERAGEIFS(I$6:I7,J$6:J7,"ICIS / Platts",B$6:B7,B8),"")</f>
        <v/>
      </c>
      <c r="X8" s="110" t="s">
        <v>137</v>
      </c>
      <c r="Y8" s="110" t="s">
        <v>114</v>
      </c>
      <c r="Z8" s="111" t="s">
        <v>115</v>
      </c>
      <c r="AA8" s="111" t="s">
        <v>115</v>
      </c>
      <c r="AB8" s="111" t="s">
        <v>115</v>
      </c>
      <c r="AC8" s="111" t="s">
        <v>116</v>
      </c>
      <c r="AD8" s="111"/>
    </row>
    <row r="9" spans="2:30" ht="27.75" customHeight="1" x14ac:dyDescent="0.25">
      <c r="B9" s="115">
        <v>44932</v>
      </c>
      <c r="C9" s="116" t="s">
        <v>138</v>
      </c>
      <c r="D9" s="116">
        <v>1</v>
      </c>
      <c r="E9" s="110" t="str">
        <f t="shared" si="0"/>
        <v>20230106-004</v>
      </c>
      <c r="F9" s="111" t="s">
        <v>98</v>
      </c>
      <c r="G9" s="111" t="s">
        <v>99</v>
      </c>
      <c r="H9" s="112" t="s">
        <v>100</v>
      </c>
      <c r="I9" s="113">
        <v>488.83</v>
      </c>
      <c r="J9" s="111" t="s">
        <v>139</v>
      </c>
      <c r="K9" s="111" t="s">
        <v>140</v>
      </c>
      <c r="L9" s="111" t="s">
        <v>103</v>
      </c>
      <c r="M9" s="111" t="s">
        <v>104</v>
      </c>
      <c r="N9" s="111" t="s">
        <v>105</v>
      </c>
      <c r="O9" s="111" t="s">
        <v>106</v>
      </c>
      <c r="P9" s="111" t="s">
        <v>141</v>
      </c>
      <c r="Q9" s="110" t="s">
        <v>133</v>
      </c>
      <c r="R9" s="110" t="s">
        <v>142</v>
      </c>
      <c r="S9" s="111" t="s">
        <v>110</v>
      </c>
      <c r="T9" s="111" t="s">
        <v>111</v>
      </c>
      <c r="U9" s="111" t="s">
        <v>103</v>
      </c>
      <c r="V9" s="110" t="s">
        <v>112</v>
      </c>
      <c r="W9" s="114" t="str">
        <f>IFERROR(I9-AVERAGEIFS(I$6:I8,J$6:J8,"ICIS / Platts",B$6:B8,B9),"")</f>
        <v/>
      </c>
      <c r="X9" s="110" t="s">
        <v>125</v>
      </c>
      <c r="Y9" s="110" t="s">
        <v>114</v>
      </c>
      <c r="Z9" s="111" t="s">
        <v>115</v>
      </c>
      <c r="AA9" s="111" t="s">
        <v>115</v>
      </c>
      <c r="AB9" s="111" t="s">
        <v>115</v>
      </c>
      <c r="AC9" s="111" t="s">
        <v>116</v>
      </c>
      <c r="AD9" s="111"/>
    </row>
    <row r="10" spans="2:30" ht="27.75" customHeight="1" x14ac:dyDescent="0.25">
      <c r="B10" s="108">
        <v>44935</v>
      </c>
      <c r="C10" s="109" t="s">
        <v>97</v>
      </c>
      <c r="D10" s="109">
        <v>2</v>
      </c>
      <c r="E10" s="110" t="str">
        <f t="shared" si="0"/>
        <v>20230109-005</v>
      </c>
      <c r="F10" s="111" t="s">
        <v>98</v>
      </c>
      <c r="G10" s="111" t="s">
        <v>99</v>
      </c>
      <c r="H10" s="112" t="s">
        <v>143</v>
      </c>
      <c r="I10" s="113">
        <v>487</v>
      </c>
      <c r="J10" s="111" t="s">
        <v>101</v>
      </c>
      <c r="K10" s="111" t="s">
        <v>144</v>
      </c>
      <c r="L10" s="111" t="s">
        <v>103</v>
      </c>
      <c r="M10" s="111" t="s">
        <v>104</v>
      </c>
      <c r="N10" s="111" t="s">
        <v>105</v>
      </c>
      <c r="O10" s="111" t="s">
        <v>106</v>
      </c>
      <c r="P10" s="111" t="s">
        <v>107</v>
      </c>
      <c r="Q10" s="110" t="s">
        <v>108</v>
      </c>
      <c r="R10" s="110" t="s">
        <v>109</v>
      </c>
      <c r="S10" s="111" t="s">
        <v>110</v>
      </c>
      <c r="T10" s="111" t="s">
        <v>111</v>
      </c>
      <c r="U10" s="111" t="s">
        <v>103</v>
      </c>
      <c r="V10" s="110" t="s">
        <v>112</v>
      </c>
      <c r="W10" s="114" t="str">
        <f>IFERROR(I10-AVERAGEIFS(I$6:I9,J$6:J9,"ICIS / Platts",B$6:B9,B10),"")</f>
        <v/>
      </c>
      <c r="X10" s="110" t="s">
        <v>113</v>
      </c>
      <c r="Y10" s="110" t="s">
        <v>114</v>
      </c>
      <c r="Z10" s="111" t="s">
        <v>115</v>
      </c>
      <c r="AA10" s="111" t="s">
        <v>115</v>
      </c>
      <c r="AB10" s="111" t="s">
        <v>115</v>
      </c>
      <c r="AC10" s="111" t="s">
        <v>116</v>
      </c>
      <c r="AD10" s="111"/>
    </row>
    <row r="11" spans="2:30" ht="27.75" customHeight="1" x14ac:dyDescent="0.25">
      <c r="B11" s="115">
        <v>44936</v>
      </c>
      <c r="C11" s="116" t="s">
        <v>117</v>
      </c>
      <c r="D11" s="116">
        <v>2</v>
      </c>
      <c r="E11" s="110" t="str">
        <f t="shared" si="0"/>
        <v>20230110-006</v>
      </c>
      <c r="F11" s="111" t="s">
        <v>98</v>
      </c>
      <c r="G11" s="111" t="s">
        <v>99</v>
      </c>
      <c r="H11" s="112" t="s">
        <v>143</v>
      </c>
      <c r="I11" s="113">
        <v>493.31</v>
      </c>
      <c r="J11" s="111" t="s">
        <v>118</v>
      </c>
      <c r="K11" s="111" t="s">
        <v>145</v>
      </c>
      <c r="L11" s="111" t="s">
        <v>103</v>
      </c>
      <c r="M11" s="111" t="s">
        <v>104</v>
      </c>
      <c r="N11" s="111" t="s">
        <v>120</v>
      </c>
      <c r="O11" s="111" t="s">
        <v>121</v>
      </c>
      <c r="P11" s="111" t="s">
        <v>122</v>
      </c>
      <c r="Q11" s="110" t="s">
        <v>123</v>
      </c>
      <c r="R11" s="110" t="s">
        <v>124</v>
      </c>
      <c r="S11" s="111" t="s">
        <v>110</v>
      </c>
      <c r="T11" s="111" t="s">
        <v>111</v>
      </c>
      <c r="U11" s="111" t="s">
        <v>103</v>
      </c>
      <c r="V11" s="110" t="s">
        <v>112</v>
      </c>
      <c r="W11" s="114" t="str">
        <f>IFERROR(I11-AVERAGEIFS(I$6:I10,J$6:J10,"ICIS / Platts",B$6:B10,B11),"")</f>
        <v/>
      </c>
      <c r="X11" s="110" t="s">
        <v>125</v>
      </c>
      <c r="Y11" s="110" t="s">
        <v>114</v>
      </c>
      <c r="Z11" s="111" t="s">
        <v>115</v>
      </c>
      <c r="AA11" s="111" t="s">
        <v>115</v>
      </c>
      <c r="AB11" s="111" t="s">
        <v>115</v>
      </c>
      <c r="AC11" s="111" t="s">
        <v>116</v>
      </c>
      <c r="AD11" s="111"/>
    </row>
    <row r="12" spans="2:30" ht="27.75" customHeight="1" x14ac:dyDescent="0.25">
      <c r="B12" s="108">
        <v>44937</v>
      </c>
      <c r="C12" s="109" t="s">
        <v>126</v>
      </c>
      <c r="D12" s="109">
        <v>2</v>
      </c>
      <c r="E12" s="110" t="str">
        <f t="shared" si="0"/>
        <v>20230111-007</v>
      </c>
      <c r="F12" s="111" t="s">
        <v>98</v>
      </c>
      <c r="G12" s="111" t="s">
        <v>99</v>
      </c>
      <c r="H12" s="112" t="s">
        <v>143</v>
      </c>
      <c r="I12" s="113">
        <v>499.16</v>
      </c>
      <c r="J12" s="111" t="s">
        <v>127</v>
      </c>
      <c r="K12" s="111" t="s">
        <v>146</v>
      </c>
      <c r="L12" s="111" t="s">
        <v>129</v>
      </c>
      <c r="M12" s="111" t="s">
        <v>104</v>
      </c>
      <c r="N12" s="111" t="s">
        <v>130</v>
      </c>
      <c r="O12" s="111" t="s">
        <v>131</v>
      </c>
      <c r="P12" s="111" t="s">
        <v>132</v>
      </c>
      <c r="Q12" s="110" t="s">
        <v>133</v>
      </c>
      <c r="R12" s="110" t="s">
        <v>134</v>
      </c>
      <c r="S12" s="111" t="s">
        <v>135</v>
      </c>
      <c r="T12" s="111" t="s">
        <v>136</v>
      </c>
      <c r="U12" s="111" t="s">
        <v>129</v>
      </c>
      <c r="V12" s="110" t="s">
        <v>112</v>
      </c>
      <c r="W12" s="114" t="str">
        <f>IFERROR(I12-AVERAGEIFS(I$6:I11,J$6:J11,"ICIS / Platts",B$6:B11,B12),"")</f>
        <v/>
      </c>
      <c r="X12" s="110" t="s">
        <v>137</v>
      </c>
      <c r="Y12" s="110" t="s">
        <v>114</v>
      </c>
      <c r="Z12" s="111" t="s">
        <v>115</v>
      </c>
      <c r="AA12" s="111" t="s">
        <v>115</v>
      </c>
      <c r="AB12" s="111" t="s">
        <v>115</v>
      </c>
      <c r="AC12" s="111" t="s">
        <v>116</v>
      </c>
      <c r="AD12" s="111"/>
    </row>
    <row r="13" spans="2:30" ht="27.75" customHeight="1" x14ac:dyDescent="0.25">
      <c r="B13" s="115">
        <v>44939</v>
      </c>
      <c r="C13" s="116" t="s">
        <v>138</v>
      </c>
      <c r="D13" s="116">
        <v>2</v>
      </c>
      <c r="E13" s="110" t="str">
        <f t="shared" si="0"/>
        <v>20230113-008</v>
      </c>
      <c r="F13" s="111" t="s">
        <v>98</v>
      </c>
      <c r="G13" s="111" t="s">
        <v>99</v>
      </c>
      <c r="H13" s="112" t="s">
        <v>143</v>
      </c>
      <c r="I13" s="113">
        <v>487.29</v>
      </c>
      <c r="J13" s="111" t="s">
        <v>139</v>
      </c>
      <c r="K13" s="111" t="s">
        <v>147</v>
      </c>
      <c r="L13" s="111" t="s">
        <v>103</v>
      </c>
      <c r="M13" s="111" t="s">
        <v>104</v>
      </c>
      <c r="N13" s="111" t="s">
        <v>105</v>
      </c>
      <c r="O13" s="111" t="s">
        <v>106</v>
      </c>
      <c r="P13" s="111" t="s">
        <v>141</v>
      </c>
      <c r="Q13" s="110" t="s">
        <v>133</v>
      </c>
      <c r="R13" s="110" t="s">
        <v>142</v>
      </c>
      <c r="S13" s="111" t="s">
        <v>110</v>
      </c>
      <c r="T13" s="111" t="s">
        <v>111</v>
      </c>
      <c r="U13" s="111" t="s">
        <v>103</v>
      </c>
      <c r="V13" s="110" t="s">
        <v>112</v>
      </c>
      <c r="W13" s="114" t="str">
        <f>IFERROR(I13-AVERAGEIFS(I$6:I12,J$6:J12,"ICIS / Platts",B$6:B12,B13),"")</f>
        <v/>
      </c>
      <c r="X13" s="110" t="s">
        <v>125</v>
      </c>
      <c r="Y13" s="110" t="s">
        <v>114</v>
      </c>
      <c r="Z13" s="111" t="s">
        <v>115</v>
      </c>
      <c r="AA13" s="111" t="s">
        <v>115</v>
      </c>
      <c r="AB13" s="111" t="s">
        <v>115</v>
      </c>
      <c r="AC13" s="111" t="s">
        <v>116</v>
      </c>
      <c r="AD13" s="111"/>
    </row>
    <row r="14" spans="2:30" ht="27.75" customHeight="1" x14ac:dyDescent="0.25">
      <c r="B14" s="108">
        <v>44942</v>
      </c>
      <c r="C14" s="109" t="s">
        <v>97</v>
      </c>
      <c r="D14" s="109">
        <v>3</v>
      </c>
      <c r="E14" s="110" t="str">
        <f t="shared" si="0"/>
        <v>20230116-009</v>
      </c>
      <c r="F14" s="111" t="s">
        <v>98</v>
      </c>
      <c r="G14" s="111" t="s">
        <v>99</v>
      </c>
      <c r="H14" s="112" t="s">
        <v>148</v>
      </c>
      <c r="I14" s="113">
        <v>483</v>
      </c>
      <c r="J14" s="111" t="s">
        <v>101</v>
      </c>
      <c r="K14" s="111" t="s">
        <v>149</v>
      </c>
      <c r="L14" s="111" t="s">
        <v>103</v>
      </c>
      <c r="M14" s="111" t="s">
        <v>104</v>
      </c>
      <c r="N14" s="111" t="s">
        <v>105</v>
      </c>
      <c r="O14" s="111" t="s">
        <v>106</v>
      </c>
      <c r="P14" s="111" t="s">
        <v>107</v>
      </c>
      <c r="Q14" s="110" t="s">
        <v>108</v>
      </c>
      <c r="R14" s="110" t="s">
        <v>109</v>
      </c>
      <c r="S14" s="111" t="s">
        <v>110</v>
      </c>
      <c r="T14" s="111" t="s">
        <v>111</v>
      </c>
      <c r="U14" s="111" t="s">
        <v>103</v>
      </c>
      <c r="V14" s="110" t="s">
        <v>112</v>
      </c>
      <c r="W14" s="114" t="str">
        <f>IFERROR(I14-AVERAGEIFS(I$6:I13,J$6:J13,"ICIS / Platts",B$6:B13,B14),"")</f>
        <v/>
      </c>
      <c r="X14" s="110" t="s">
        <v>113</v>
      </c>
      <c r="Y14" s="110" t="s">
        <v>114</v>
      </c>
      <c r="Z14" s="111" t="s">
        <v>116</v>
      </c>
      <c r="AA14" s="111" t="s">
        <v>115</v>
      </c>
      <c r="AB14" s="111" t="s">
        <v>115</v>
      </c>
      <c r="AC14" s="111" t="s">
        <v>116</v>
      </c>
      <c r="AD14" s="111"/>
    </row>
    <row r="15" spans="2:30" ht="27.75" customHeight="1" x14ac:dyDescent="0.25">
      <c r="B15" s="115">
        <v>44943</v>
      </c>
      <c r="C15" s="116" t="s">
        <v>117</v>
      </c>
      <c r="D15" s="116">
        <v>3</v>
      </c>
      <c r="E15" s="110" t="str">
        <f t="shared" si="0"/>
        <v>20230117-010</v>
      </c>
      <c r="F15" s="111" t="s">
        <v>98</v>
      </c>
      <c r="G15" s="111" t="s">
        <v>99</v>
      </c>
      <c r="H15" s="112" t="s">
        <v>148</v>
      </c>
      <c r="I15" s="113">
        <v>490.23</v>
      </c>
      <c r="J15" s="111" t="s">
        <v>118</v>
      </c>
      <c r="K15" s="111" t="s">
        <v>150</v>
      </c>
      <c r="L15" s="111" t="s">
        <v>103</v>
      </c>
      <c r="M15" s="111" t="s">
        <v>104</v>
      </c>
      <c r="N15" s="111" t="s">
        <v>120</v>
      </c>
      <c r="O15" s="111" t="s">
        <v>121</v>
      </c>
      <c r="P15" s="111" t="s">
        <v>122</v>
      </c>
      <c r="Q15" s="110" t="s">
        <v>123</v>
      </c>
      <c r="R15" s="110" t="s">
        <v>124</v>
      </c>
      <c r="S15" s="111" t="s">
        <v>110</v>
      </c>
      <c r="T15" s="111" t="s">
        <v>111</v>
      </c>
      <c r="U15" s="111" t="s">
        <v>103</v>
      </c>
      <c r="V15" s="110" t="s">
        <v>112</v>
      </c>
      <c r="W15" s="114" t="str">
        <f>IFERROR(I15-AVERAGEIFS(I$6:I14,J$6:J14,"ICIS / Platts",B$6:B14,B15),"")</f>
        <v/>
      </c>
      <c r="X15" s="110" t="s">
        <v>125</v>
      </c>
      <c r="Y15" s="110" t="s">
        <v>114</v>
      </c>
      <c r="Z15" s="111" t="s">
        <v>116</v>
      </c>
      <c r="AA15" s="111" t="s">
        <v>115</v>
      </c>
      <c r="AB15" s="111" t="s">
        <v>115</v>
      </c>
      <c r="AC15" s="111" t="s">
        <v>116</v>
      </c>
      <c r="AD15" s="111"/>
    </row>
    <row r="16" spans="2:30" ht="27.75" customHeight="1" x14ac:dyDescent="0.25">
      <c r="B16" s="108">
        <v>44944</v>
      </c>
      <c r="C16" s="109" t="s">
        <v>126</v>
      </c>
      <c r="D16" s="109">
        <v>3</v>
      </c>
      <c r="E16" s="110" t="str">
        <f t="shared" si="0"/>
        <v>20230118-011</v>
      </c>
      <c r="F16" s="111" t="s">
        <v>98</v>
      </c>
      <c r="G16" s="111" t="s">
        <v>99</v>
      </c>
      <c r="H16" s="112" t="s">
        <v>148</v>
      </c>
      <c r="I16" s="113">
        <v>474.83</v>
      </c>
      <c r="J16" s="111" t="s">
        <v>127</v>
      </c>
      <c r="K16" s="111" t="s">
        <v>151</v>
      </c>
      <c r="L16" s="111" t="s">
        <v>129</v>
      </c>
      <c r="M16" s="111" t="s">
        <v>104</v>
      </c>
      <c r="N16" s="111" t="s">
        <v>130</v>
      </c>
      <c r="O16" s="111" t="s">
        <v>131</v>
      </c>
      <c r="P16" s="111" t="s">
        <v>132</v>
      </c>
      <c r="Q16" s="110" t="s">
        <v>133</v>
      </c>
      <c r="R16" s="110" t="s">
        <v>134</v>
      </c>
      <c r="S16" s="111" t="s">
        <v>135</v>
      </c>
      <c r="T16" s="111" t="s">
        <v>136</v>
      </c>
      <c r="U16" s="111" t="s">
        <v>129</v>
      </c>
      <c r="V16" s="110" t="s">
        <v>112</v>
      </c>
      <c r="W16" s="114" t="str">
        <f>IFERROR(I16-AVERAGEIFS(I$6:I15,J$6:J15,"ICIS / Platts",B$6:B15,B16),"")</f>
        <v/>
      </c>
      <c r="X16" s="110" t="s">
        <v>137</v>
      </c>
      <c r="Y16" s="110" t="s">
        <v>114</v>
      </c>
      <c r="Z16" s="111" t="s">
        <v>116</v>
      </c>
      <c r="AA16" s="111" t="s">
        <v>115</v>
      </c>
      <c r="AB16" s="111" t="s">
        <v>115</v>
      </c>
      <c r="AC16" s="111" t="s">
        <v>116</v>
      </c>
      <c r="AD16" s="111"/>
    </row>
    <row r="17" spans="2:30" ht="27.75" customHeight="1" x14ac:dyDescent="0.25">
      <c r="B17" s="115">
        <v>44946</v>
      </c>
      <c r="C17" s="116" t="s">
        <v>138</v>
      </c>
      <c r="D17" s="116">
        <v>3</v>
      </c>
      <c r="E17" s="110" t="str">
        <f t="shared" si="0"/>
        <v>20230120-012</v>
      </c>
      <c r="F17" s="111" t="s">
        <v>98</v>
      </c>
      <c r="G17" s="111" t="s">
        <v>99</v>
      </c>
      <c r="H17" s="112" t="s">
        <v>148</v>
      </c>
      <c r="I17" s="113">
        <v>479.81</v>
      </c>
      <c r="J17" s="111" t="s">
        <v>139</v>
      </c>
      <c r="K17" s="111" t="s">
        <v>152</v>
      </c>
      <c r="L17" s="111" t="s">
        <v>103</v>
      </c>
      <c r="M17" s="111" t="s">
        <v>104</v>
      </c>
      <c r="N17" s="111" t="s">
        <v>105</v>
      </c>
      <c r="O17" s="111" t="s">
        <v>106</v>
      </c>
      <c r="P17" s="111" t="s">
        <v>141</v>
      </c>
      <c r="Q17" s="110" t="s">
        <v>133</v>
      </c>
      <c r="R17" s="110" t="s">
        <v>142</v>
      </c>
      <c r="S17" s="111" t="s">
        <v>110</v>
      </c>
      <c r="T17" s="111" t="s">
        <v>111</v>
      </c>
      <c r="U17" s="111" t="s">
        <v>103</v>
      </c>
      <c r="V17" s="110" t="s">
        <v>112</v>
      </c>
      <c r="W17" s="114" t="str">
        <f>IFERROR(I17-AVERAGEIFS(I$6:I16,J$6:J16,"ICIS / Platts",B$6:B16,B17),"")</f>
        <v/>
      </c>
      <c r="X17" s="110" t="s">
        <v>125</v>
      </c>
      <c r="Y17" s="110" t="s">
        <v>114</v>
      </c>
      <c r="Z17" s="111" t="s">
        <v>116</v>
      </c>
      <c r="AA17" s="111" t="s">
        <v>115</v>
      </c>
      <c r="AB17" s="111" t="s">
        <v>115</v>
      </c>
      <c r="AC17" s="111" t="s">
        <v>116</v>
      </c>
      <c r="AD17" s="111"/>
    </row>
    <row r="18" spans="2:30" ht="27.75" customHeight="1" x14ac:dyDescent="0.25">
      <c r="B18" s="108">
        <v>44949</v>
      </c>
      <c r="C18" s="109" t="s">
        <v>97</v>
      </c>
      <c r="D18" s="109">
        <v>4</v>
      </c>
      <c r="E18" s="110" t="str">
        <f t="shared" si="0"/>
        <v>20230123-013</v>
      </c>
      <c r="F18" s="111" t="s">
        <v>98</v>
      </c>
      <c r="G18" s="111" t="s">
        <v>99</v>
      </c>
      <c r="H18" s="112" t="s">
        <v>153</v>
      </c>
      <c r="I18" s="113">
        <v>480</v>
      </c>
      <c r="J18" s="111" t="s">
        <v>101</v>
      </c>
      <c r="K18" s="111" t="s">
        <v>154</v>
      </c>
      <c r="L18" s="111" t="s">
        <v>103</v>
      </c>
      <c r="M18" s="111" t="s">
        <v>104</v>
      </c>
      <c r="N18" s="111" t="s">
        <v>105</v>
      </c>
      <c r="O18" s="111" t="s">
        <v>106</v>
      </c>
      <c r="P18" s="111" t="s">
        <v>107</v>
      </c>
      <c r="Q18" s="110" t="s">
        <v>108</v>
      </c>
      <c r="R18" s="110" t="s">
        <v>109</v>
      </c>
      <c r="S18" s="111" t="s">
        <v>110</v>
      </c>
      <c r="T18" s="111" t="s">
        <v>111</v>
      </c>
      <c r="U18" s="111" t="s">
        <v>103</v>
      </c>
      <c r="V18" s="110" t="s">
        <v>112</v>
      </c>
      <c r="W18" s="114" t="str">
        <f>IFERROR(I18-AVERAGEIFS(I$6:I17,J$6:J17,"ICIS / Platts",B$6:B17,B18),"")</f>
        <v/>
      </c>
      <c r="X18" s="110" t="s">
        <v>113</v>
      </c>
      <c r="Y18" s="110" t="s">
        <v>114</v>
      </c>
      <c r="Z18" s="111" t="s">
        <v>116</v>
      </c>
      <c r="AA18" s="111" t="s">
        <v>115</v>
      </c>
      <c r="AB18" s="111" t="s">
        <v>115</v>
      </c>
      <c r="AC18" s="111" t="s">
        <v>116</v>
      </c>
      <c r="AD18" s="111"/>
    </row>
    <row r="19" spans="2:30" ht="27.75" customHeight="1" x14ac:dyDescent="0.25">
      <c r="B19" s="115">
        <v>44950</v>
      </c>
      <c r="C19" s="116" t="s">
        <v>117</v>
      </c>
      <c r="D19" s="116">
        <v>4</v>
      </c>
      <c r="E19" s="110" t="str">
        <f t="shared" si="0"/>
        <v>20230124-014</v>
      </c>
      <c r="F19" s="111" t="s">
        <v>98</v>
      </c>
      <c r="G19" s="111" t="s">
        <v>99</v>
      </c>
      <c r="H19" s="112" t="s">
        <v>153</v>
      </c>
      <c r="I19" s="113">
        <v>477.6</v>
      </c>
      <c r="J19" s="111" t="s">
        <v>118</v>
      </c>
      <c r="K19" s="111" t="s">
        <v>155</v>
      </c>
      <c r="L19" s="111" t="s">
        <v>103</v>
      </c>
      <c r="M19" s="111" t="s">
        <v>104</v>
      </c>
      <c r="N19" s="111" t="s">
        <v>120</v>
      </c>
      <c r="O19" s="111" t="s">
        <v>121</v>
      </c>
      <c r="P19" s="111" t="s">
        <v>122</v>
      </c>
      <c r="Q19" s="110" t="s">
        <v>123</v>
      </c>
      <c r="R19" s="110" t="s">
        <v>124</v>
      </c>
      <c r="S19" s="111" t="s">
        <v>110</v>
      </c>
      <c r="T19" s="111" t="s">
        <v>111</v>
      </c>
      <c r="U19" s="111" t="s">
        <v>103</v>
      </c>
      <c r="V19" s="110" t="s">
        <v>112</v>
      </c>
      <c r="W19" s="114" t="str">
        <f>IFERROR(I19-AVERAGEIFS(I$6:I18,J$6:J18,"ICIS / Platts",B$6:B18,B19),"")</f>
        <v/>
      </c>
      <c r="X19" s="110" t="s">
        <v>125</v>
      </c>
      <c r="Y19" s="110" t="s">
        <v>114</v>
      </c>
      <c r="Z19" s="111" t="s">
        <v>116</v>
      </c>
      <c r="AA19" s="111" t="s">
        <v>115</v>
      </c>
      <c r="AB19" s="111" t="s">
        <v>115</v>
      </c>
      <c r="AC19" s="111" t="s">
        <v>116</v>
      </c>
      <c r="AD19" s="111"/>
    </row>
    <row r="20" spans="2:30" ht="27.75" customHeight="1" x14ac:dyDescent="0.25">
      <c r="B20" s="108">
        <v>44951</v>
      </c>
      <c r="C20" s="109" t="s">
        <v>126</v>
      </c>
      <c r="D20" s="109">
        <v>4</v>
      </c>
      <c r="E20" s="110" t="str">
        <f t="shared" si="0"/>
        <v>20230125-015</v>
      </c>
      <c r="F20" s="111" t="s">
        <v>98</v>
      </c>
      <c r="G20" s="111" t="s">
        <v>99</v>
      </c>
      <c r="H20" s="112" t="s">
        <v>153</v>
      </c>
      <c r="I20" s="113">
        <v>485.65</v>
      </c>
      <c r="J20" s="111" t="s">
        <v>127</v>
      </c>
      <c r="K20" s="111" t="s">
        <v>156</v>
      </c>
      <c r="L20" s="111" t="s">
        <v>129</v>
      </c>
      <c r="M20" s="111" t="s">
        <v>104</v>
      </c>
      <c r="N20" s="111" t="s">
        <v>130</v>
      </c>
      <c r="O20" s="111" t="s">
        <v>131</v>
      </c>
      <c r="P20" s="111" t="s">
        <v>132</v>
      </c>
      <c r="Q20" s="110" t="s">
        <v>133</v>
      </c>
      <c r="R20" s="110" t="s">
        <v>134</v>
      </c>
      <c r="S20" s="111" t="s">
        <v>135</v>
      </c>
      <c r="T20" s="111" t="s">
        <v>136</v>
      </c>
      <c r="U20" s="111" t="s">
        <v>129</v>
      </c>
      <c r="V20" s="110" t="s">
        <v>112</v>
      </c>
      <c r="W20" s="114" t="str">
        <f>IFERROR(I20-AVERAGEIFS(I$6:I19,J$6:J19,"ICIS / Platts",B$6:B19,B20),"")</f>
        <v/>
      </c>
      <c r="X20" s="110" t="s">
        <v>137</v>
      </c>
      <c r="Y20" s="110" t="s">
        <v>114</v>
      </c>
      <c r="Z20" s="111" t="s">
        <v>116</v>
      </c>
      <c r="AA20" s="111" t="s">
        <v>115</v>
      </c>
      <c r="AB20" s="111" t="s">
        <v>115</v>
      </c>
      <c r="AC20" s="111" t="s">
        <v>116</v>
      </c>
      <c r="AD20" s="111"/>
    </row>
    <row r="21" spans="2:30" ht="27.75" customHeight="1" x14ac:dyDescent="0.25">
      <c r="B21" s="115">
        <v>44953</v>
      </c>
      <c r="C21" s="116" t="s">
        <v>138</v>
      </c>
      <c r="D21" s="116">
        <v>4</v>
      </c>
      <c r="E21" s="110" t="str">
        <f t="shared" si="0"/>
        <v>20230127-016</v>
      </c>
      <c r="F21" s="111" t="s">
        <v>98</v>
      </c>
      <c r="G21" s="111" t="s">
        <v>99</v>
      </c>
      <c r="H21" s="112" t="s">
        <v>153</v>
      </c>
      <c r="I21" s="113">
        <v>488.54</v>
      </c>
      <c r="J21" s="111" t="s">
        <v>139</v>
      </c>
      <c r="K21" s="111" t="s">
        <v>157</v>
      </c>
      <c r="L21" s="111" t="s">
        <v>103</v>
      </c>
      <c r="M21" s="111" t="s">
        <v>104</v>
      </c>
      <c r="N21" s="111" t="s">
        <v>105</v>
      </c>
      <c r="O21" s="111" t="s">
        <v>106</v>
      </c>
      <c r="P21" s="111" t="s">
        <v>141</v>
      </c>
      <c r="Q21" s="110" t="s">
        <v>133</v>
      </c>
      <c r="R21" s="110" t="s">
        <v>142</v>
      </c>
      <c r="S21" s="111" t="s">
        <v>110</v>
      </c>
      <c r="T21" s="111" t="s">
        <v>111</v>
      </c>
      <c r="U21" s="111" t="s">
        <v>103</v>
      </c>
      <c r="V21" s="110" t="s">
        <v>112</v>
      </c>
      <c r="W21" s="114" t="str">
        <f>IFERROR(I21-AVERAGEIFS(I$6:I20,J$6:J20,"ICIS / Platts",B$6:B20,B21),"")</f>
        <v/>
      </c>
      <c r="X21" s="110" t="s">
        <v>125</v>
      </c>
      <c r="Y21" s="117" t="str">
        <f t="shared" ref="Y21:Y84" si="1">IFERROR(IF(ABS(I21-AVERAGE(I13:I20))/AVERAGE(I13:I20)&gt;0.1,"⚠ CHECK","OK"),"OK")</f>
        <v>OK</v>
      </c>
      <c r="Z21" s="111" t="s">
        <v>116</v>
      </c>
      <c r="AA21" s="111" t="s">
        <v>115</v>
      </c>
      <c r="AB21" s="111" t="s">
        <v>115</v>
      </c>
      <c r="AC21" s="111" t="s">
        <v>116</v>
      </c>
      <c r="AD21" s="111"/>
    </row>
    <row r="22" spans="2:30" ht="27.75" customHeight="1" x14ac:dyDescent="0.25">
      <c r="B22" s="108">
        <v>44956</v>
      </c>
      <c r="C22" s="109" t="s">
        <v>97</v>
      </c>
      <c r="D22" s="109">
        <v>5</v>
      </c>
      <c r="E22" s="110" t="str">
        <f t="shared" si="0"/>
        <v>20230130-017</v>
      </c>
      <c r="F22" s="111" t="s">
        <v>98</v>
      </c>
      <c r="G22" s="111" t="s">
        <v>99</v>
      </c>
      <c r="H22" s="112" t="s">
        <v>158</v>
      </c>
      <c r="I22" s="113">
        <v>478</v>
      </c>
      <c r="J22" s="111" t="s">
        <v>101</v>
      </c>
      <c r="K22" s="111" t="s">
        <v>159</v>
      </c>
      <c r="L22" s="111" t="s">
        <v>103</v>
      </c>
      <c r="M22" s="111" t="s">
        <v>104</v>
      </c>
      <c r="N22" s="111" t="s">
        <v>105</v>
      </c>
      <c r="O22" s="111" t="s">
        <v>106</v>
      </c>
      <c r="P22" s="111" t="s">
        <v>107</v>
      </c>
      <c r="Q22" s="110" t="s">
        <v>108</v>
      </c>
      <c r="R22" s="110" t="s">
        <v>109</v>
      </c>
      <c r="S22" s="111" t="s">
        <v>110</v>
      </c>
      <c r="T22" s="111" t="s">
        <v>111</v>
      </c>
      <c r="U22" s="111" t="s">
        <v>103</v>
      </c>
      <c r="V22" s="110" t="s">
        <v>112</v>
      </c>
      <c r="W22" s="114" t="str">
        <f>IFERROR(I22-AVERAGEIFS(I$6:I21,J$6:J21,"ICIS / Platts",B$6:B21,B22),"")</f>
        <v/>
      </c>
      <c r="X22" s="110" t="s">
        <v>113</v>
      </c>
      <c r="Y22" s="117" t="str">
        <f t="shared" si="1"/>
        <v>OK</v>
      </c>
      <c r="Z22" s="111" t="s">
        <v>116</v>
      </c>
      <c r="AA22" s="111" t="s">
        <v>115</v>
      </c>
      <c r="AB22" s="111" t="s">
        <v>115</v>
      </c>
      <c r="AC22" s="111" t="s">
        <v>116</v>
      </c>
      <c r="AD22" s="111"/>
    </row>
    <row r="23" spans="2:30" ht="27.75" customHeight="1" x14ac:dyDescent="0.25">
      <c r="B23" s="115">
        <v>44957</v>
      </c>
      <c r="C23" s="116" t="s">
        <v>117</v>
      </c>
      <c r="D23" s="116">
        <v>5</v>
      </c>
      <c r="E23" s="110" t="str">
        <f t="shared" si="0"/>
        <v>20230131-018</v>
      </c>
      <c r="F23" s="111" t="s">
        <v>98</v>
      </c>
      <c r="G23" s="111" t="s">
        <v>99</v>
      </c>
      <c r="H23" s="112" t="s">
        <v>158</v>
      </c>
      <c r="I23" s="113">
        <v>479.32</v>
      </c>
      <c r="J23" s="111" t="s">
        <v>118</v>
      </c>
      <c r="K23" s="111" t="s">
        <v>160</v>
      </c>
      <c r="L23" s="111" t="s">
        <v>103</v>
      </c>
      <c r="M23" s="111" t="s">
        <v>104</v>
      </c>
      <c r="N23" s="111" t="s">
        <v>120</v>
      </c>
      <c r="O23" s="111" t="s">
        <v>121</v>
      </c>
      <c r="P23" s="111" t="s">
        <v>122</v>
      </c>
      <c r="Q23" s="110" t="s">
        <v>123</v>
      </c>
      <c r="R23" s="110" t="s">
        <v>124</v>
      </c>
      <c r="S23" s="111" t="s">
        <v>110</v>
      </c>
      <c r="T23" s="111" t="s">
        <v>111</v>
      </c>
      <c r="U23" s="111" t="s">
        <v>103</v>
      </c>
      <c r="V23" s="110" t="s">
        <v>112</v>
      </c>
      <c r="W23" s="114" t="str">
        <f>IFERROR(I23-AVERAGEIFS(I$6:I22,J$6:J22,"ICIS / Platts",B$6:B22,B23),"")</f>
        <v/>
      </c>
      <c r="X23" s="110" t="s">
        <v>125</v>
      </c>
      <c r="Y23" s="117" t="str">
        <f t="shared" si="1"/>
        <v>OK</v>
      </c>
      <c r="Z23" s="111" t="s">
        <v>116</v>
      </c>
      <c r="AA23" s="111" t="s">
        <v>115</v>
      </c>
      <c r="AB23" s="111" t="s">
        <v>115</v>
      </c>
      <c r="AC23" s="111" t="s">
        <v>116</v>
      </c>
      <c r="AD23" s="111"/>
    </row>
    <row r="24" spans="2:30" ht="27.75" customHeight="1" x14ac:dyDescent="0.25">
      <c r="B24" s="108">
        <v>44958</v>
      </c>
      <c r="C24" s="109" t="s">
        <v>126</v>
      </c>
      <c r="D24" s="109">
        <v>5</v>
      </c>
      <c r="E24" s="110" t="str">
        <f t="shared" si="0"/>
        <v>20230201-019</v>
      </c>
      <c r="F24" s="111" t="s">
        <v>98</v>
      </c>
      <c r="G24" s="111" t="s">
        <v>99</v>
      </c>
      <c r="H24" s="112" t="s">
        <v>158</v>
      </c>
      <c r="I24" s="113">
        <v>475.67</v>
      </c>
      <c r="J24" s="111" t="s">
        <v>127</v>
      </c>
      <c r="K24" s="111" t="s">
        <v>161</v>
      </c>
      <c r="L24" s="111" t="s">
        <v>129</v>
      </c>
      <c r="M24" s="111" t="s">
        <v>104</v>
      </c>
      <c r="N24" s="111" t="s">
        <v>130</v>
      </c>
      <c r="O24" s="111" t="s">
        <v>131</v>
      </c>
      <c r="P24" s="111" t="s">
        <v>132</v>
      </c>
      <c r="Q24" s="110" t="s">
        <v>133</v>
      </c>
      <c r="R24" s="110" t="s">
        <v>134</v>
      </c>
      <c r="S24" s="111" t="s">
        <v>135</v>
      </c>
      <c r="T24" s="111" t="s">
        <v>136</v>
      </c>
      <c r="U24" s="111" t="s">
        <v>129</v>
      </c>
      <c r="V24" s="110" t="s">
        <v>112</v>
      </c>
      <c r="W24" s="114" t="str">
        <f>IFERROR(I24-AVERAGEIFS(I$6:I23,J$6:J23,"ICIS / Platts",B$6:B23,B24),"")</f>
        <v/>
      </c>
      <c r="X24" s="110" t="s">
        <v>137</v>
      </c>
      <c r="Y24" s="117" t="str">
        <f t="shared" si="1"/>
        <v>OK</v>
      </c>
      <c r="Z24" s="111" t="s">
        <v>116</v>
      </c>
      <c r="AA24" s="111" t="s">
        <v>115</v>
      </c>
      <c r="AB24" s="111" t="s">
        <v>115</v>
      </c>
      <c r="AC24" s="111" t="s">
        <v>116</v>
      </c>
      <c r="AD24" s="111"/>
    </row>
    <row r="25" spans="2:30" ht="27.75" customHeight="1" x14ac:dyDescent="0.25">
      <c r="B25" s="115">
        <v>44960</v>
      </c>
      <c r="C25" s="116" t="s">
        <v>138</v>
      </c>
      <c r="D25" s="116">
        <v>5</v>
      </c>
      <c r="E25" s="110" t="str">
        <f t="shared" si="0"/>
        <v>20230203-020</v>
      </c>
      <c r="F25" s="111" t="s">
        <v>98</v>
      </c>
      <c r="G25" s="111" t="s">
        <v>99</v>
      </c>
      <c r="H25" s="112" t="s">
        <v>158</v>
      </c>
      <c r="I25" s="113">
        <v>479.82</v>
      </c>
      <c r="J25" s="111" t="s">
        <v>139</v>
      </c>
      <c r="K25" s="111" t="s">
        <v>162</v>
      </c>
      <c r="L25" s="111" t="s">
        <v>103</v>
      </c>
      <c r="M25" s="111" t="s">
        <v>104</v>
      </c>
      <c r="N25" s="111" t="s">
        <v>105</v>
      </c>
      <c r="O25" s="111" t="s">
        <v>106</v>
      </c>
      <c r="P25" s="111" t="s">
        <v>141</v>
      </c>
      <c r="Q25" s="110" t="s">
        <v>133</v>
      </c>
      <c r="R25" s="110" t="s">
        <v>142</v>
      </c>
      <c r="S25" s="111" t="s">
        <v>110</v>
      </c>
      <c r="T25" s="111" t="s">
        <v>111</v>
      </c>
      <c r="U25" s="111" t="s">
        <v>103</v>
      </c>
      <c r="V25" s="110" t="s">
        <v>112</v>
      </c>
      <c r="W25" s="114" t="str">
        <f>IFERROR(I25-AVERAGEIFS(I$6:I24,J$6:J24,"ICIS / Platts",B$6:B24,B25),"")</f>
        <v/>
      </c>
      <c r="X25" s="110" t="s">
        <v>125</v>
      </c>
      <c r="Y25" s="117" t="str">
        <f t="shared" si="1"/>
        <v>OK</v>
      </c>
      <c r="Z25" s="111" t="s">
        <v>116</v>
      </c>
      <c r="AA25" s="111" t="s">
        <v>115</v>
      </c>
      <c r="AB25" s="111" t="s">
        <v>115</v>
      </c>
      <c r="AC25" s="111" t="s">
        <v>116</v>
      </c>
      <c r="AD25" s="111"/>
    </row>
    <row r="26" spans="2:30" ht="27.75" customHeight="1" x14ac:dyDescent="0.25">
      <c r="B26" s="108">
        <v>44963</v>
      </c>
      <c r="C26" s="109" t="s">
        <v>97</v>
      </c>
      <c r="D26" s="109">
        <v>6</v>
      </c>
      <c r="E26" s="110" t="str">
        <f t="shared" si="0"/>
        <v>20230206-021</v>
      </c>
      <c r="F26" s="111" t="s">
        <v>98</v>
      </c>
      <c r="G26" s="111" t="s">
        <v>99</v>
      </c>
      <c r="H26" s="112" t="s">
        <v>163</v>
      </c>
      <c r="I26" s="113">
        <v>475</v>
      </c>
      <c r="J26" s="111" t="s">
        <v>101</v>
      </c>
      <c r="K26" s="111" t="s">
        <v>164</v>
      </c>
      <c r="L26" s="111" t="s">
        <v>103</v>
      </c>
      <c r="M26" s="111" t="s">
        <v>104</v>
      </c>
      <c r="N26" s="111" t="s">
        <v>105</v>
      </c>
      <c r="O26" s="111" t="s">
        <v>106</v>
      </c>
      <c r="P26" s="111" t="s">
        <v>107</v>
      </c>
      <c r="Q26" s="110" t="s">
        <v>108</v>
      </c>
      <c r="R26" s="110" t="s">
        <v>109</v>
      </c>
      <c r="S26" s="111" t="s">
        <v>110</v>
      </c>
      <c r="T26" s="111" t="s">
        <v>111</v>
      </c>
      <c r="U26" s="111" t="s">
        <v>103</v>
      </c>
      <c r="V26" s="110" t="s">
        <v>112</v>
      </c>
      <c r="W26" s="114" t="str">
        <f>IFERROR(I26-AVERAGEIFS(I$6:I25,J$6:J25,"ICIS / Platts",B$6:B25,B26),"")</f>
        <v/>
      </c>
      <c r="X26" s="110" t="s">
        <v>113</v>
      </c>
      <c r="Y26" s="117" t="str">
        <f t="shared" si="1"/>
        <v>OK</v>
      </c>
      <c r="Z26" s="111" t="s">
        <v>116</v>
      </c>
      <c r="AA26" s="111" t="s">
        <v>115</v>
      </c>
      <c r="AB26" s="111" t="s">
        <v>115</v>
      </c>
      <c r="AC26" s="111" t="s">
        <v>116</v>
      </c>
      <c r="AD26" s="111"/>
    </row>
    <row r="27" spans="2:30" ht="27.75" customHeight="1" x14ac:dyDescent="0.25">
      <c r="B27" s="115">
        <v>44964</v>
      </c>
      <c r="C27" s="116" t="s">
        <v>117</v>
      </c>
      <c r="D27" s="116">
        <v>6</v>
      </c>
      <c r="E27" s="110" t="str">
        <f t="shared" si="0"/>
        <v>20230207-022</v>
      </c>
      <c r="F27" s="111" t="s">
        <v>98</v>
      </c>
      <c r="G27" s="111" t="s">
        <v>99</v>
      </c>
      <c r="H27" s="112" t="s">
        <v>163</v>
      </c>
      <c r="I27" s="113">
        <v>484.77</v>
      </c>
      <c r="J27" s="111" t="s">
        <v>118</v>
      </c>
      <c r="K27" s="111" t="s">
        <v>165</v>
      </c>
      <c r="L27" s="111" t="s">
        <v>103</v>
      </c>
      <c r="M27" s="111" t="s">
        <v>104</v>
      </c>
      <c r="N27" s="111" t="s">
        <v>120</v>
      </c>
      <c r="O27" s="111" t="s">
        <v>121</v>
      </c>
      <c r="P27" s="111" t="s">
        <v>122</v>
      </c>
      <c r="Q27" s="110" t="s">
        <v>123</v>
      </c>
      <c r="R27" s="110" t="s">
        <v>124</v>
      </c>
      <c r="S27" s="111" t="s">
        <v>110</v>
      </c>
      <c r="T27" s="111" t="s">
        <v>111</v>
      </c>
      <c r="U27" s="111" t="s">
        <v>103</v>
      </c>
      <c r="V27" s="110" t="s">
        <v>112</v>
      </c>
      <c r="W27" s="114" t="str">
        <f>IFERROR(I27-AVERAGEIFS(I$6:I26,J$6:J26,"ICIS / Platts",B$6:B26,B27),"")</f>
        <v/>
      </c>
      <c r="X27" s="110" t="s">
        <v>125</v>
      </c>
      <c r="Y27" s="117" t="str">
        <f t="shared" si="1"/>
        <v>OK</v>
      </c>
      <c r="Z27" s="111" t="s">
        <v>116</v>
      </c>
      <c r="AA27" s="111" t="s">
        <v>115</v>
      </c>
      <c r="AB27" s="111" t="s">
        <v>115</v>
      </c>
      <c r="AC27" s="111" t="s">
        <v>116</v>
      </c>
      <c r="AD27" s="111"/>
    </row>
    <row r="28" spans="2:30" ht="27.75" customHeight="1" x14ac:dyDescent="0.25">
      <c r="B28" s="108">
        <v>44965</v>
      </c>
      <c r="C28" s="109" t="s">
        <v>126</v>
      </c>
      <c r="D28" s="109">
        <v>6</v>
      </c>
      <c r="E28" s="110" t="str">
        <f t="shared" si="0"/>
        <v>20230208-023</v>
      </c>
      <c r="F28" s="111" t="s">
        <v>98</v>
      </c>
      <c r="G28" s="111" t="s">
        <v>99</v>
      </c>
      <c r="H28" s="112" t="s">
        <v>163</v>
      </c>
      <c r="I28" s="113">
        <v>474.43</v>
      </c>
      <c r="J28" s="111" t="s">
        <v>127</v>
      </c>
      <c r="K28" s="111" t="s">
        <v>166</v>
      </c>
      <c r="L28" s="111" t="s">
        <v>129</v>
      </c>
      <c r="M28" s="111" t="s">
        <v>104</v>
      </c>
      <c r="N28" s="111" t="s">
        <v>130</v>
      </c>
      <c r="O28" s="111" t="s">
        <v>131</v>
      </c>
      <c r="P28" s="111" t="s">
        <v>132</v>
      </c>
      <c r="Q28" s="110" t="s">
        <v>133</v>
      </c>
      <c r="R28" s="110" t="s">
        <v>134</v>
      </c>
      <c r="S28" s="111" t="s">
        <v>135</v>
      </c>
      <c r="T28" s="111" t="s">
        <v>136</v>
      </c>
      <c r="U28" s="111" t="s">
        <v>129</v>
      </c>
      <c r="V28" s="110" t="s">
        <v>112</v>
      </c>
      <c r="W28" s="114" t="str">
        <f>IFERROR(I28-AVERAGEIFS(I$6:I27,J$6:J27,"ICIS / Platts",B$6:B27,B28),"")</f>
        <v/>
      </c>
      <c r="X28" s="110" t="s">
        <v>137</v>
      </c>
      <c r="Y28" s="117" t="str">
        <f t="shared" si="1"/>
        <v>OK</v>
      </c>
      <c r="Z28" s="111" t="s">
        <v>116</v>
      </c>
      <c r="AA28" s="111" t="s">
        <v>115</v>
      </c>
      <c r="AB28" s="111" t="s">
        <v>115</v>
      </c>
      <c r="AC28" s="111" t="s">
        <v>116</v>
      </c>
      <c r="AD28" s="111"/>
    </row>
    <row r="29" spans="2:30" ht="27.75" customHeight="1" x14ac:dyDescent="0.25">
      <c r="B29" s="115">
        <v>44967</v>
      </c>
      <c r="C29" s="116" t="s">
        <v>138</v>
      </c>
      <c r="D29" s="116">
        <v>6</v>
      </c>
      <c r="E29" s="110" t="str">
        <f t="shared" si="0"/>
        <v>20230210-024</v>
      </c>
      <c r="F29" s="111" t="s">
        <v>98</v>
      </c>
      <c r="G29" s="111" t="s">
        <v>99</v>
      </c>
      <c r="H29" s="112" t="s">
        <v>163</v>
      </c>
      <c r="I29" s="113">
        <v>475.23</v>
      </c>
      <c r="J29" s="111" t="s">
        <v>139</v>
      </c>
      <c r="K29" s="111" t="s">
        <v>167</v>
      </c>
      <c r="L29" s="111" t="s">
        <v>103</v>
      </c>
      <c r="M29" s="111" t="s">
        <v>104</v>
      </c>
      <c r="N29" s="111" t="s">
        <v>105</v>
      </c>
      <c r="O29" s="111" t="s">
        <v>106</v>
      </c>
      <c r="P29" s="111" t="s">
        <v>141</v>
      </c>
      <c r="Q29" s="110" t="s">
        <v>133</v>
      </c>
      <c r="R29" s="110" t="s">
        <v>142</v>
      </c>
      <c r="S29" s="111" t="s">
        <v>110</v>
      </c>
      <c r="T29" s="111" t="s">
        <v>111</v>
      </c>
      <c r="U29" s="111" t="s">
        <v>103</v>
      </c>
      <c r="V29" s="110" t="s">
        <v>112</v>
      </c>
      <c r="W29" s="114" t="str">
        <f>IFERROR(I29-AVERAGEIFS(I$6:I28,J$6:J28,"ICIS / Platts",B$6:B28,B29),"")</f>
        <v/>
      </c>
      <c r="X29" s="110" t="s">
        <v>125</v>
      </c>
      <c r="Y29" s="117" t="str">
        <f t="shared" si="1"/>
        <v>OK</v>
      </c>
      <c r="Z29" s="111" t="s">
        <v>116</v>
      </c>
      <c r="AA29" s="111" t="s">
        <v>115</v>
      </c>
      <c r="AB29" s="111" t="s">
        <v>115</v>
      </c>
      <c r="AC29" s="111" t="s">
        <v>116</v>
      </c>
      <c r="AD29" s="111"/>
    </row>
    <row r="30" spans="2:30" ht="27.75" customHeight="1" x14ac:dyDescent="0.25">
      <c r="B30" s="108">
        <v>44970</v>
      </c>
      <c r="C30" s="109" t="s">
        <v>97</v>
      </c>
      <c r="D30" s="109">
        <v>7</v>
      </c>
      <c r="E30" s="110" t="str">
        <f t="shared" si="0"/>
        <v>20230213-025</v>
      </c>
      <c r="F30" s="111" t="s">
        <v>98</v>
      </c>
      <c r="G30" s="111" t="s">
        <v>99</v>
      </c>
      <c r="H30" s="112" t="s">
        <v>168</v>
      </c>
      <c r="I30" s="113">
        <v>472</v>
      </c>
      <c r="J30" s="111" t="s">
        <v>101</v>
      </c>
      <c r="K30" s="111" t="s">
        <v>169</v>
      </c>
      <c r="L30" s="111" t="s">
        <v>103</v>
      </c>
      <c r="M30" s="111" t="s">
        <v>104</v>
      </c>
      <c r="N30" s="111" t="s">
        <v>105</v>
      </c>
      <c r="O30" s="111" t="s">
        <v>106</v>
      </c>
      <c r="P30" s="111" t="s">
        <v>107</v>
      </c>
      <c r="Q30" s="110" t="s">
        <v>108</v>
      </c>
      <c r="R30" s="110" t="s">
        <v>109</v>
      </c>
      <c r="S30" s="111" t="s">
        <v>110</v>
      </c>
      <c r="T30" s="111" t="s">
        <v>111</v>
      </c>
      <c r="U30" s="111" t="s">
        <v>103</v>
      </c>
      <c r="V30" s="110" t="s">
        <v>112</v>
      </c>
      <c r="W30" s="114" t="str">
        <f>IFERROR(I30-AVERAGEIFS(I$6:I29,J$6:J29,"ICIS / Platts",B$6:B29,B30),"")</f>
        <v/>
      </c>
      <c r="X30" s="110" t="s">
        <v>113</v>
      </c>
      <c r="Y30" s="117" t="str">
        <f t="shared" si="1"/>
        <v>OK</v>
      </c>
      <c r="Z30" s="111" t="s">
        <v>116</v>
      </c>
      <c r="AA30" s="111" t="s">
        <v>115</v>
      </c>
      <c r="AB30" s="111" t="s">
        <v>115</v>
      </c>
      <c r="AC30" s="111" t="s">
        <v>116</v>
      </c>
      <c r="AD30" s="111"/>
    </row>
    <row r="31" spans="2:30" ht="27.75" customHeight="1" x14ac:dyDescent="0.25">
      <c r="B31" s="115">
        <v>44971</v>
      </c>
      <c r="C31" s="116" t="s">
        <v>117</v>
      </c>
      <c r="D31" s="116">
        <v>7</v>
      </c>
      <c r="E31" s="110" t="str">
        <f t="shared" si="0"/>
        <v>20230214-026</v>
      </c>
      <c r="F31" s="111" t="s">
        <v>98</v>
      </c>
      <c r="G31" s="111" t="s">
        <v>99</v>
      </c>
      <c r="H31" s="112" t="s">
        <v>168</v>
      </c>
      <c r="I31" s="113">
        <v>478.11</v>
      </c>
      <c r="J31" s="111" t="s">
        <v>118</v>
      </c>
      <c r="K31" s="111" t="s">
        <v>170</v>
      </c>
      <c r="L31" s="111" t="s">
        <v>103</v>
      </c>
      <c r="M31" s="111" t="s">
        <v>104</v>
      </c>
      <c r="N31" s="111" t="s">
        <v>120</v>
      </c>
      <c r="O31" s="111" t="s">
        <v>121</v>
      </c>
      <c r="P31" s="111" t="s">
        <v>122</v>
      </c>
      <c r="Q31" s="110" t="s">
        <v>123</v>
      </c>
      <c r="R31" s="110" t="s">
        <v>124</v>
      </c>
      <c r="S31" s="111" t="s">
        <v>110</v>
      </c>
      <c r="T31" s="111" t="s">
        <v>111</v>
      </c>
      <c r="U31" s="111" t="s">
        <v>103</v>
      </c>
      <c r="V31" s="118">
        <f t="shared" ref="V31:V94" si="2">IFERROR((I31-I27)/I27,"")</f>
        <v>-1.3738473915465E-2</v>
      </c>
      <c r="W31" s="114" t="str">
        <f>IFERROR(I31-AVERAGEIFS(I$6:I30,J$6:J30,"ICIS / Platts",B$6:B30,B31),"")</f>
        <v/>
      </c>
      <c r="X31" s="110" t="s">
        <v>125</v>
      </c>
      <c r="Y31" s="117" t="str">
        <f t="shared" si="1"/>
        <v>OK</v>
      </c>
      <c r="Z31" s="111" t="s">
        <v>116</v>
      </c>
      <c r="AA31" s="111" t="s">
        <v>115</v>
      </c>
      <c r="AB31" s="111" t="s">
        <v>115</v>
      </c>
      <c r="AC31" s="111" t="s">
        <v>116</v>
      </c>
      <c r="AD31" s="111"/>
    </row>
    <row r="32" spans="2:30" ht="27.75" customHeight="1" x14ac:dyDescent="0.25">
      <c r="B32" s="108">
        <v>44972</v>
      </c>
      <c r="C32" s="109" t="s">
        <v>126</v>
      </c>
      <c r="D32" s="109">
        <v>7</v>
      </c>
      <c r="E32" s="110" t="str">
        <f t="shared" si="0"/>
        <v>20230215-027</v>
      </c>
      <c r="F32" s="111" t="s">
        <v>98</v>
      </c>
      <c r="G32" s="111" t="s">
        <v>99</v>
      </c>
      <c r="H32" s="112" t="s">
        <v>168</v>
      </c>
      <c r="I32" s="113">
        <v>475.72</v>
      </c>
      <c r="J32" s="111" t="s">
        <v>127</v>
      </c>
      <c r="K32" s="111" t="s">
        <v>171</v>
      </c>
      <c r="L32" s="111" t="s">
        <v>129</v>
      </c>
      <c r="M32" s="111" t="s">
        <v>104</v>
      </c>
      <c r="N32" s="111" t="s">
        <v>130</v>
      </c>
      <c r="O32" s="111" t="s">
        <v>131</v>
      </c>
      <c r="P32" s="111" t="s">
        <v>132</v>
      </c>
      <c r="Q32" s="110" t="s">
        <v>133</v>
      </c>
      <c r="R32" s="110" t="s">
        <v>134</v>
      </c>
      <c r="S32" s="111" t="s">
        <v>135</v>
      </c>
      <c r="T32" s="111" t="s">
        <v>136</v>
      </c>
      <c r="U32" s="111" t="s">
        <v>129</v>
      </c>
      <c r="V32" s="118">
        <f t="shared" si="2"/>
        <v>2.7190523364880393E-3</v>
      </c>
      <c r="W32" s="114" t="str">
        <f>IFERROR(I32-AVERAGEIFS(I$6:I31,J$6:J31,"ICIS / Platts",B$6:B31,B32),"")</f>
        <v/>
      </c>
      <c r="X32" s="110" t="s">
        <v>137</v>
      </c>
      <c r="Y32" s="117" t="str">
        <f t="shared" si="1"/>
        <v>OK</v>
      </c>
      <c r="Z32" s="111" t="s">
        <v>116</v>
      </c>
      <c r="AA32" s="111" t="s">
        <v>115</v>
      </c>
      <c r="AB32" s="111" t="s">
        <v>115</v>
      </c>
      <c r="AC32" s="111" t="s">
        <v>116</v>
      </c>
      <c r="AD32" s="111"/>
    </row>
    <row r="33" spans="2:30" ht="27.75" customHeight="1" x14ac:dyDescent="0.25">
      <c r="B33" s="115">
        <v>44974</v>
      </c>
      <c r="C33" s="116" t="s">
        <v>138</v>
      </c>
      <c r="D33" s="116">
        <v>7</v>
      </c>
      <c r="E33" s="110" t="str">
        <f t="shared" si="0"/>
        <v>20230217-028</v>
      </c>
      <c r="F33" s="111" t="s">
        <v>98</v>
      </c>
      <c r="G33" s="111" t="s">
        <v>99</v>
      </c>
      <c r="H33" s="112" t="s">
        <v>168</v>
      </c>
      <c r="I33" s="113">
        <v>480.58</v>
      </c>
      <c r="J33" s="111" t="s">
        <v>139</v>
      </c>
      <c r="K33" s="111" t="s">
        <v>172</v>
      </c>
      <c r="L33" s="111" t="s">
        <v>103</v>
      </c>
      <c r="M33" s="111" t="s">
        <v>104</v>
      </c>
      <c r="N33" s="111" t="s">
        <v>105</v>
      </c>
      <c r="O33" s="111" t="s">
        <v>106</v>
      </c>
      <c r="P33" s="111" t="s">
        <v>141</v>
      </c>
      <c r="Q33" s="110" t="s">
        <v>133</v>
      </c>
      <c r="R33" s="110" t="s">
        <v>142</v>
      </c>
      <c r="S33" s="111" t="s">
        <v>110</v>
      </c>
      <c r="T33" s="111" t="s">
        <v>111</v>
      </c>
      <c r="U33" s="111" t="s">
        <v>103</v>
      </c>
      <c r="V33" s="118">
        <f t="shared" si="2"/>
        <v>1.1257706794604645E-2</v>
      </c>
      <c r="W33" s="114" t="str">
        <f>IFERROR(I33-AVERAGEIFS(I$6:I32,J$6:J32,"ICIS / Platts",B$6:B32,B33),"")</f>
        <v/>
      </c>
      <c r="X33" s="110" t="s">
        <v>125</v>
      </c>
      <c r="Y33" s="117" t="str">
        <f t="shared" si="1"/>
        <v>OK</v>
      </c>
      <c r="Z33" s="111" t="s">
        <v>116</v>
      </c>
      <c r="AA33" s="111" t="s">
        <v>115</v>
      </c>
      <c r="AB33" s="111" t="s">
        <v>115</v>
      </c>
      <c r="AC33" s="111" t="s">
        <v>116</v>
      </c>
      <c r="AD33" s="111"/>
    </row>
    <row r="34" spans="2:30" ht="27.75" customHeight="1" x14ac:dyDescent="0.25">
      <c r="B34" s="108">
        <v>44977</v>
      </c>
      <c r="C34" s="109" t="s">
        <v>97</v>
      </c>
      <c r="D34" s="109">
        <v>8</v>
      </c>
      <c r="E34" s="110" t="str">
        <f t="shared" si="0"/>
        <v>20230220-029</v>
      </c>
      <c r="F34" s="111" t="s">
        <v>98</v>
      </c>
      <c r="G34" s="111" t="s">
        <v>99</v>
      </c>
      <c r="H34" s="112" t="s">
        <v>173</v>
      </c>
      <c r="I34" s="113">
        <v>470</v>
      </c>
      <c r="J34" s="111" t="s">
        <v>101</v>
      </c>
      <c r="K34" s="111" t="s">
        <v>174</v>
      </c>
      <c r="L34" s="111" t="s">
        <v>103</v>
      </c>
      <c r="M34" s="111" t="s">
        <v>104</v>
      </c>
      <c r="N34" s="111" t="s">
        <v>105</v>
      </c>
      <c r="O34" s="111" t="s">
        <v>106</v>
      </c>
      <c r="P34" s="111" t="s">
        <v>107</v>
      </c>
      <c r="Q34" s="110" t="s">
        <v>108</v>
      </c>
      <c r="R34" s="110" t="s">
        <v>109</v>
      </c>
      <c r="S34" s="111" t="s">
        <v>110</v>
      </c>
      <c r="T34" s="111" t="s">
        <v>111</v>
      </c>
      <c r="U34" s="111" t="s">
        <v>103</v>
      </c>
      <c r="V34" s="118">
        <f t="shared" si="2"/>
        <v>-4.2372881355932203E-3</v>
      </c>
      <c r="W34" s="114" t="str">
        <f>IFERROR(I34-AVERAGEIFS(I$6:I33,J$6:J33,"ICIS / Platts",B$6:B33,B34),"")</f>
        <v/>
      </c>
      <c r="X34" s="110" t="s">
        <v>113</v>
      </c>
      <c r="Y34" s="117" t="str">
        <f t="shared" si="1"/>
        <v>OK</v>
      </c>
      <c r="Z34" s="111" t="s">
        <v>116</v>
      </c>
      <c r="AA34" s="111" t="s">
        <v>115</v>
      </c>
      <c r="AB34" s="111" t="s">
        <v>115</v>
      </c>
      <c r="AC34" s="111" t="s">
        <v>116</v>
      </c>
      <c r="AD34" s="111"/>
    </row>
    <row r="35" spans="2:30" ht="27.75" customHeight="1" x14ac:dyDescent="0.25">
      <c r="B35" s="115">
        <v>44978</v>
      </c>
      <c r="C35" s="116" t="s">
        <v>117</v>
      </c>
      <c r="D35" s="116">
        <v>8</v>
      </c>
      <c r="E35" s="110" t="str">
        <f t="shared" si="0"/>
        <v>20230221-030</v>
      </c>
      <c r="F35" s="111" t="s">
        <v>98</v>
      </c>
      <c r="G35" s="111" t="s">
        <v>99</v>
      </c>
      <c r="H35" s="112" t="s">
        <v>173</v>
      </c>
      <c r="I35" s="113">
        <v>471.15</v>
      </c>
      <c r="J35" s="111" t="s">
        <v>118</v>
      </c>
      <c r="K35" s="111" t="s">
        <v>175</v>
      </c>
      <c r="L35" s="111" t="s">
        <v>103</v>
      </c>
      <c r="M35" s="111" t="s">
        <v>104</v>
      </c>
      <c r="N35" s="111" t="s">
        <v>120</v>
      </c>
      <c r="O35" s="111" t="s">
        <v>121</v>
      </c>
      <c r="P35" s="111" t="s">
        <v>122</v>
      </c>
      <c r="Q35" s="110" t="s">
        <v>123</v>
      </c>
      <c r="R35" s="110" t="s">
        <v>124</v>
      </c>
      <c r="S35" s="111" t="s">
        <v>110</v>
      </c>
      <c r="T35" s="111" t="s">
        <v>111</v>
      </c>
      <c r="U35" s="111" t="s">
        <v>103</v>
      </c>
      <c r="V35" s="118">
        <f t="shared" si="2"/>
        <v>-1.4557319445316007E-2</v>
      </c>
      <c r="W35" s="114" t="str">
        <f>IFERROR(I35-AVERAGEIFS(I$6:I34,J$6:J34,"ICIS / Platts",B$6:B34,B35),"")</f>
        <v/>
      </c>
      <c r="X35" s="110" t="s">
        <v>125</v>
      </c>
      <c r="Y35" s="117" t="str">
        <f t="shared" si="1"/>
        <v>OK</v>
      </c>
      <c r="Z35" s="111" t="s">
        <v>116</v>
      </c>
      <c r="AA35" s="111" t="s">
        <v>115</v>
      </c>
      <c r="AB35" s="111" t="s">
        <v>115</v>
      </c>
      <c r="AC35" s="111" t="s">
        <v>116</v>
      </c>
      <c r="AD35" s="111"/>
    </row>
    <row r="36" spans="2:30" ht="27.75" customHeight="1" x14ac:dyDescent="0.25">
      <c r="B36" s="108">
        <v>44979</v>
      </c>
      <c r="C36" s="109" t="s">
        <v>126</v>
      </c>
      <c r="D36" s="109">
        <v>8</v>
      </c>
      <c r="E36" s="110" t="str">
        <f t="shared" si="0"/>
        <v>20230222-031</v>
      </c>
      <c r="F36" s="111" t="s">
        <v>98</v>
      </c>
      <c r="G36" s="111" t="s">
        <v>99</v>
      </c>
      <c r="H36" s="112" t="s">
        <v>173</v>
      </c>
      <c r="I36" s="113">
        <v>476.29</v>
      </c>
      <c r="J36" s="111" t="s">
        <v>127</v>
      </c>
      <c r="K36" s="111" t="s">
        <v>176</v>
      </c>
      <c r="L36" s="111" t="s">
        <v>129</v>
      </c>
      <c r="M36" s="111" t="s">
        <v>104</v>
      </c>
      <c r="N36" s="111" t="s">
        <v>130</v>
      </c>
      <c r="O36" s="111" t="s">
        <v>131</v>
      </c>
      <c r="P36" s="111" t="s">
        <v>132</v>
      </c>
      <c r="Q36" s="110" t="s">
        <v>133</v>
      </c>
      <c r="R36" s="110" t="s">
        <v>134</v>
      </c>
      <c r="S36" s="111" t="s">
        <v>135</v>
      </c>
      <c r="T36" s="111" t="s">
        <v>136</v>
      </c>
      <c r="U36" s="111" t="s">
        <v>129</v>
      </c>
      <c r="V36" s="118">
        <f t="shared" si="2"/>
        <v>1.1981838055999184E-3</v>
      </c>
      <c r="W36" s="114" t="str">
        <f>IFERROR(I36-AVERAGEIFS(I$6:I35,J$6:J35,"ICIS / Platts",B$6:B35,B36),"")</f>
        <v/>
      </c>
      <c r="X36" s="110" t="s">
        <v>137</v>
      </c>
      <c r="Y36" s="117" t="str">
        <f t="shared" si="1"/>
        <v>OK</v>
      </c>
      <c r="Z36" s="111" t="s">
        <v>116</v>
      </c>
      <c r="AA36" s="111" t="s">
        <v>115</v>
      </c>
      <c r="AB36" s="111" t="s">
        <v>115</v>
      </c>
      <c r="AC36" s="111" t="s">
        <v>116</v>
      </c>
      <c r="AD36" s="111"/>
    </row>
    <row r="37" spans="2:30" ht="27.75" customHeight="1" x14ac:dyDescent="0.25">
      <c r="B37" s="115">
        <v>44981</v>
      </c>
      <c r="C37" s="116" t="s">
        <v>138</v>
      </c>
      <c r="D37" s="116">
        <v>8</v>
      </c>
      <c r="E37" s="110" t="str">
        <f t="shared" si="0"/>
        <v>20230224-032</v>
      </c>
      <c r="F37" s="111" t="s">
        <v>98</v>
      </c>
      <c r="G37" s="111" t="s">
        <v>99</v>
      </c>
      <c r="H37" s="112" t="s">
        <v>173</v>
      </c>
      <c r="I37" s="113">
        <v>479.22</v>
      </c>
      <c r="J37" s="111" t="s">
        <v>139</v>
      </c>
      <c r="K37" s="111" t="s">
        <v>177</v>
      </c>
      <c r="L37" s="111" t="s">
        <v>103</v>
      </c>
      <c r="M37" s="111" t="s">
        <v>104</v>
      </c>
      <c r="N37" s="111" t="s">
        <v>105</v>
      </c>
      <c r="O37" s="111" t="s">
        <v>106</v>
      </c>
      <c r="P37" s="111" t="s">
        <v>141</v>
      </c>
      <c r="Q37" s="110" t="s">
        <v>133</v>
      </c>
      <c r="R37" s="110" t="s">
        <v>142</v>
      </c>
      <c r="S37" s="111" t="s">
        <v>110</v>
      </c>
      <c r="T37" s="111" t="s">
        <v>111</v>
      </c>
      <c r="U37" s="111" t="s">
        <v>103</v>
      </c>
      <c r="V37" s="118">
        <f t="shared" si="2"/>
        <v>-2.8299138540928814E-3</v>
      </c>
      <c r="W37" s="114" t="str">
        <f>IFERROR(I37-AVERAGEIFS(I$6:I36,J$6:J36,"ICIS / Platts",B$6:B36,B37),"")</f>
        <v/>
      </c>
      <c r="X37" s="110" t="s">
        <v>125</v>
      </c>
      <c r="Y37" s="117" t="str">
        <f t="shared" si="1"/>
        <v>OK</v>
      </c>
      <c r="Z37" s="111" t="s">
        <v>116</v>
      </c>
      <c r="AA37" s="111" t="s">
        <v>115</v>
      </c>
      <c r="AB37" s="111" t="s">
        <v>115</v>
      </c>
      <c r="AC37" s="111" t="s">
        <v>116</v>
      </c>
      <c r="AD37" s="111"/>
    </row>
    <row r="38" spans="2:30" ht="27.75" customHeight="1" x14ac:dyDescent="0.25">
      <c r="B38" s="108">
        <v>44984</v>
      </c>
      <c r="C38" s="109" t="s">
        <v>97</v>
      </c>
      <c r="D38" s="109">
        <v>9</v>
      </c>
      <c r="E38" s="110" t="str">
        <f t="shared" si="0"/>
        <v>20230227-033</v>
      </c>
      <c r="F38" s="111" t="s">
        <v>98</v>
      </c>
      <c r="G38" s="111" t="s">
        <v>99</v>
      </c>
      <c r="H38" s="112" t="s">
        <v>178</v>
      </c>
      <c r="I38" s="113">
        <v>468</v>
      </c>
      <c r="J38" s="111" t="s">
        <v>101</v>
      </c>
      <c r="K38" s="111" t="s">
        <v>179</v>
      </c>
      <c r="L38" s="111" t="s">
        <v>103</v>
      </c>
      <c r="M38" s="111" t="s">
        <v>104</v>
      </c>
      <c r="N38" s="111" t="s">
        <v>105</v>
      </c>
      <c r="O38" s="111" t="s">
        <v>106</v>
      </c>
      <c r="P38" s="111" t="s">
        <v>107</v>
      </c>
      <c r="Q38" s="110" t="s">
        <v>108</v>
      </c>
      <c r="R38" s="110" t="s">
        <v>109</v>
      </c>
      <c r="S38" s="111" t="s">
        <v>110</v>
      </c>
      <c r="T38" s="111" t="s">
        <v>111</v>
      </c>
      <c r="U38" s="111" t="s">
        <v>103</v>
      </c>
      <c r="V38" s="118">
        <f t="shared" si="2"/>
        <v>-4.2553191489361703E-3</v>
      </c>
      <c r="W38" s="114" t="str">
        <f>IFERROR(I38-AVERAGEIFS(I$6:I37,J$6:J37,"ICIS / Platts",B$6:B37,B38),"")</f>
        <v/>
      </c>
      <c r="X38" s="110" t="s">
        <v>113</v>
      </c>
      <c r="Y38" s="117" t="str">
        <f t="shared" si="1"/>
        <v>OK</v>
      </c>
      <c r="Z38" s="111" t="s">
        <v>116</v>
      </c>
      <c r="AA38" s="111" t="s">
        <v>115</v>
      </c>
      <c r="AB38" s="111" t="s">
        <v>115</v>
      </c>
      <c r="AC38" s="111" t="s">
        <v>116</v>
      </c>
      <c r="AD38" s="111"/>
    </row>
    <row r="39" spans="2:30" ht="27.75" customHeight="1" x14ac:dyDescent="0.25">
      <c r="B39" s="115">
        <v>44985</v>
      </c>
      <c r="C39" s="116" t="s">
        <v>117</v>
      </c>
      <c r="D39" s="116">
        <v>9</v>
      </c>
      <c r="E39" s="110" t="str">
        <f t="shared" si="0"/>
        <v>20230228-034</v>
      </c>
      <c r="F39" s="111" t="s">
        <v>98</v>
      </c>
      <c r="G39" s="111" t="s">
        <v>99</v>
      </c>
      <c r="H39" s="112" t="s">
        <v>178</v>
      </c>
      <c r="I39" s="113">
        <v>472.31</v>
      </c>
      <c r="J39" s="111" t="s">
        <v>118</v>
      </c>
      <c r="K39" s="111" t="s">
        <v>180</v>
      </c>
      <c r="L39" s="111" t="s">
        <v>103</v>
      </c>
      <c r="M39" s="111" t="s">
        <v>104</v>
      </c>
      <c r="N39" s="111" t="s">
        <v>120</v>
      </c>
      <c r="O39" s="111" t="s">
        <v>121</v>
      </c>
      <c r="P39" s="111" t="s">
        <v>122</v>
      </c>
      <c r="Q39" s="110" t="s">
        <v>123</v>
      </c>
      <c r="R39" s="110" t="s">
        <v>124</v>
      </c>
      <c r="S39" s="111" t="s">
        <v>110</v>
      </c>
      <c r="T39" s="111" t="s">
        <v>111</v>
      </c>
      <c r="U39" s="111" t="s">
        <v>103</v>
      </c>
      <c r="V39" s="118">
        <f t="shared" si="2"/>
        <v>2.4620609147830309E-3</v>
      </c>
      <c r="W39" s="114" t="str">
        <f>IFERROR(I39-AVERAGEIFS(I$6:I38,J$6:J38,"ICIS / Platts",B$6:B38,B39),"")</f>
        <v/>
      </c>
      <c r="X39" s="110" t="s">
        <v>125</v>
      </c>
      <c r="Y39" s="117" t="str">
        <f t="shared" si="1"/>
        <v>OK</v>
      </c>
      <c r="Z39" s="111" t="s">
        <v>116</v>
      </c>
      <c r="AA39" s="111" t="s">
        <v>115</v>
      </c>
      <c r="AB39" s="111" t="s">
        <v>115</v>
      </c>
      <c r="AC39" s="111" t="s">
        <v>116</v>
      </c>
      <c r="AD39" s="111"/>
    </row>
    <row r="40" spans="2:30" ht="27.75" customHeight="1" x14ac:dyDescent="0.25">
      <c r="B40" s="108">
        <v>44986</v>
      </c>
      <c r="C40" s="109" t="s">
        <v>126</v>
      </c>
      <c r="D40" s="109">
        <v>9</v>
      </c>
      <c r="E40" s="110" t="str">
        <f t="shared" si="0"/>
        <v>20230301-035</v>
      </c>
      <c r="F40" s="111" t="s">
        <v>98</v>
      </c>
      <c r="G40" s="111" t="s">
        <v>99</v>
      </c>
      <c r="H40" s="112" t="s">
        <v>178</v>
      </c>
      <c r="I40" s="113">
        <v>459</v>
      </c>
      <c r="J40" s="111" t="s">
        <v>127</v>
      </c>
      <c r="K40" s="111" t="s">
        <v>181</v>
      </c>
      <c r="L40" s="111" t="s">
        <v>129</v>
      </c>
      <c r="M40" s="111" t="s">
        <v>104</v>
      </c>
      <c r="N40" s="111" t="s">
        <v>130</v>
      </c>
      <c r="O40" s="111" t="s">
        <v>131</v>
      </c>
      <c r="P40" s="111" t="s">
        <v>132</v>
      </c>
      <c r="Q40" s="110" t="s">
        <v>133</v>
      </c>
      <c r="R40" s="110" t="s">
        <v>134</v>
      </c>
      <c r="S40" s="111" t="s">
        <v>135</v>
      </c>
      <c r="T40" s="111" t="s">
        <v>136</v>
      </c>
      <c r="U40" s="111" t="s">
        <v>129</v>
      </c>
      <c r="V40" s="118">
        <f t="shared" si="2"/>
        <v>-3.6301413004682065E-2</v>
      </c>
      <c r="W40" s="114" t="str">
        <f>IFERROR(I40-AVERAGEIFS(I$6:I39,J$6:J39,"ICIS / Platts",B$6:B39,B40),"")</f>
        <v/>
      </c>
      <c r="X40" s="110" t="s">
        <v>137</v>
      </c>
      <c r="Y40" s="117" t="str">
        <f t="shared" si="1"/>
        <v>OK</v>
      </c>
      <c r="Z40" s="111" t="s">
        <v>116</v>
      </c>
      <c r="AA40" s="111" t="s">
        <v>115</v>
      </c>
      <c r="AB40" s="111" t="s">
        <v>115</v>
      </c>
      <c r="AC40" s="111" t="s">
        <v>116</v>
      </c>
      <c r="AD40" s="111"/>
    </row>
    <row r="41" spans="2:30" ht="27.75" customHeight="1" x14ac:dyDescent="0.25">
      <c r="B41" s="115">
        <v>44988</v>
      </c>
      <c r="C41" s="116" t="s">
        <v>138</v>
      </c>
      <c r="D41" s="116">
        <v>9</v>
      </c>
      <c r="E41" s="110" t="str">
        <f t="shared" si="0"/>
        <v>20230303-036</v>
      </c>
      <c r="F41" s="111" t="s">
        <v>98</v>
      </c>
      <c r="G41" s="111" t="s">
        <v>99</v>
      </c>
      <c r="H41" s="112" t="s">
        <v>178</v>
      </c>
      <c r="I41" s="113">
        <v>474.99</v>
      </c>
      <c r="J41" s="111" t="s">
        <v>139</v>
      </c>
      <c r="K41" s="111" t="s">
        <v>182</v>
      </c>
      <c r="L41" s="111" t="s">
        <v>103</v>
      </c>
      <c r="M41" s="111" t="s">
        <v>104</v>
      </c>
      <c r="N41" s="111" t="s">
        <v>105</v>
      </c>
      <c r="O41" s="111" t="s">
        <v>106</v>
      </c>
      <c r="P41" s="111" t="s">
        <v>141</v>
      </c>
      <c r="Q41" s="110" t="s">
        <v>133</v>
      </c>
      <c r="R41" s="110" t="s">
        <v>142</v>
      </c>
      <c r="S41" s="111" t="s">
        <v>110</v>
      </c>
      <c r="T41" s="111" t="s">
        <v>111</v>
      </c>
      <c r="U41" s="111" t="s">
        <v>103</v>
      </c>
      <c r="V41" s="118">
        <f t="shared" si="2"/>
        <v>-8.8268436208839736E-3</v>
      </c>
      <c r="W41" s="114" t="str">
        <f>IFERROR(I41-AVERAGEIFS(I$6:I40,J$6:J40,"ICIS / Platts",B$6:B40,B41),"")</f>
        <v/>
      </c>
      <c r="X41" s="110" t="s">
        <v>125</v>
      </c>
      <c r="Y41" s="117" t="str">
        <f t="shared" si="1"/>
        <v>OK</v>
      </c>
      <c r="Z41" s="111" t="s">
        <v>116</v>
      </c>
      <c r="AA41" s="111" t="s">
        <v>115</v>
      </c>
      <c r="AB41" s="111" t="s">
        <v>115</v>
      </c>
      <c r="AC41" s="111" t="s">
        <v>116</v>
      </c>
      <c r="AD41" s="111"/>
    </row>
    <row r="42" spans="2:30" ht="27.75" customHeight="1" x14ac:dyDescent="0.25">
      <c r="B42" s="108">
        <v>44991</v>
      </c>
      <c r="C42" s="109" t="s">
        <v>97</v>
      </c>
      <c r="D42" s="109">
        <v>10</v>
      </c>
      <c r="E42" s="110" t="str">
        <f t="shared" si="0"/>
        <v>20230306-037</v>
      </c>
      <c r="F42" s="111" t="s">
        <v>98</v>
      </c>
      <c r="G42" s="111" t="s">
        <v>99</v>
      </c>
      <c r="H42" s="112" t="s">
        <v>183</v>
      </c>
      <c r="I42" s="113">
        <v>466</v>
      </c>
      <c r="J42" s="111" t="s">
        <v>101</v>
      </c>
      <c r="K42" s="111" t="s">
        <v>184</v>
      </c>
      <c r="L42" s="111" t="s">
        <v>103</v>
      </c>
      <c r="M42" s="111" t="s">
        <v>104</v>
      </c>
      <c r="N42" s="111" t="s">
        <v>105</v>
      </c>
      <c r="O42" s="111" t="s">
        <v>106</v>
      </c>
      <c r="P42" s="111" t="s">
        <v>107</v>
      </c>
      <c r="Q42" s="110" t="s">
        <v>108</v>
      </c>
      <c r="R42" s="110" t="s">
        <v>109</v>
      </c>
      <c r="S42" s="111" t="s">
        <v>110</v>
      </c>
      <c r="T42" s="111" t="s">
        <v>111</v>
      </c>
      <c r="U42" s="111" t="s">
        <v>103</v>
      </c>
      <c r="V42" s="118">
        <f t="shared" si="2"/>
        <v>-4.2735042735042739E-3</v>
      </c>
      <c r="W42" s="114" t="str">
        <f>IFERROR(I42-AVERAGEIFS(I$6:I41,J$6:J41,"ICIS / Platts",B$6:B41,B42),"")</f>
        <v/>
      </c>
      <c r="X42" s="110" t="s">
        <v>113</v>
      </c>
      <c r="Y42" s="117" t="str">
        <f t="shared" si="1"/>
        <v>OK</v>
      </c>
      <c r="Z42" s="111" t="s">
        <v>116</v>
      </c>
      <c r="AA42" s="111" t="s">
        <v>115</v>
      </c>
      <c r="AB42" s="111" t="s">
        <v>115</v>
      </c>
      <c r="AC42" s="111" t="s">
        <v>116</v>
      </c>
      <c r="AD42" s="111"/>
    </row>
    <row r="43" spans="2:30" ht="27.75" customHeight="1" x14ac:dyDescent="0.25">
      <c r="B43" s="115">
        <v>44992</v>
      </c>
      <c r="C43" s="116" t="s">
        <v>117</v>
      </c>
      <c r="D43" s="116">
        <v>10</v>
      </c>
      <c r="E43" s="110" t="str">
        <f t="shared" si="0"/>
        <v>20230307-038</v>
      </c>
      <c r="F43" s="111" t="s">
        <v>98</v>
      </c>
      <c r="G43" s="111" t="s">
        <v>99</v>
      </c>
      <c r="H43" s="112" t="s">
        <v>183</v>
      </c>
      <c r="I43" s="113">
        <v>461.94</v>
      </c>
      <c r="J43" s="111" t="s">
        <v>118</v>
      </c>
      <c r="K43" s="111" t="s">
        <v>185</v>
      </c>
      <c r="L43" s="111" t="s">
        <v>103</v>
      </c>
      <c r="M43" s="111" t="s">
        <v>104</v>
      </c>
      <c r="N43" s="111" t="s">
        <v>120</v>
      </c>
      <c r="O43" s="111" t="s">
        <v>121</v>
      </c>
      <c r="P43" s="111" t="s">
        <v>122</v>
      </c>
      <c r="Q43" s="110" t="s">
        <v>123</v>
      </c>
      <c r="R43" s="110" t="s">
        <v>124</v>
      </c>
      <c r="S43" s="111" t="s">
        <v>110</v>
      </c>
      <c r="T43" s="111" t="s">
        <v>111</v>
      </c>
      <c r="U43" s="111" t="s">
        <v>103</v>
      </c>
      <c r="V43" s="118">
        <f t="shared" si="2"/>
        <v>-2.1955918782155796E-2</v>
      </c>
      <c r="W43" s="114" t="str">
        <f>IFERROR(I43-AVERAGEIFS(I$6:I42,J$6:J42,"ICIS / Platts",B$6:B42,B43),"")</f>
        <v/>
      </c>
      <c r="X43" s="110" t="s">
        <v>125</v>
      </c>
      <c r="Y43" s="117" t="str">
        <f t="shared" si="1"/>
        <v>OK</v>
      </c>
      <c r="Z43" s="111" t="s">
        <v>116</v>
      </c>
      <c r="AA43" s="111" t="s">
        <v>115</v>
      </c>
      <c r="AB43" s="111" t="s">
        <v>115</v>
      </c>
      <c r="AC43" s="111" t="s">
        <v>116</v>
      </c>
      <c r="AD43" s="111"/>
    </row>
    <row r="44" spans="2:30" ht="27.75" customHeight="1" x14ac:dyDescent="0.25">
      <c r="B44" s="108">
        <v>44993</v>
      </c>
      <c r="C44" s="109" t="s">
        <v>126</v>
      </c>
      <c r="D44" s="109">
        <v>10</v>
      </c>
      <c r="E44" s="110" t="str">
        <f t="shared" si="0"/>
        <v>20230308-039</v>
      </c>
      <c r="F44" s="111" t="s">
        <v>98</v>
      </c>
      <c r="G44" s="111" t="s">
        <v>99</v>
      </c>
      <c r="H44" s="112" t="s">
        <v>183</v>
      </c>
      <c r="I44" s="113">
        <v>462.16</v>
      </c>
      <c r="J44" s="111" t="s">
        <v>127</v>
      </c>
      <c r="K44" s="111" t="s">
        <v>186</v>
      </c>
      <c r="L44" s="111" t="s">
        <v>129</v>
      </c>
      <c r="M44" s="111" t="s">
        <v>104</v>
      </c>
      <c r="N44" s="111" t="s">
        <v>130</v>
      </c>
      <c r="O44" s="111" t="s">
        <v>131</v>
      </c>
      <c r="P44" s="111" t="s">
        <v>132</v>
      </c>
      <c r="Q44" s="110" t="s">
        <v>133</v>
      </c>
      <c r="R44" s="110" t="s">
        <v>134</v>
      </c>
      <c r="S44" s="111" t="s">
        <v>135</v>
      </c>
      <c r="T44" s="111" t="s">
        <v>136</v>
      </c>
      <c r="U44" s="111" t="s">
        <v>129</v>
      </c>
      <c r="V44" s="118">
        <f t="shared" si="2"/>
        <v>6.8845315904139982E-3</v>
      </c>
      <c r="W44" s="114" t="str">
        <f>IFERROR(I44-AVERAGEIFS(I$6:I43,J$6:J43,"ICIS / Platts",B$6:B43,B44),"")</f>
        <v/>
      </c>
      <c r="X44" s="110" t="s">
        <v>137</v>
      </c>
      <c r="Y44" s="117" t="str">
        <f t="shared" si="1"/>
        <v>OK</v>
      </c>
      <c r="Z44" s="111" t="s">
        <v>116</v>
      </c>
      <c r="AA44" s="111" t="s">
        <v>115</v>
      </c>
      <c r="AB44" s="111" t="s">
        <v>115</v>
      </c>
      <c r="AC44" s="111" t="s">
        <v>116</v>
      </c>
      <c r="AD44" s="111"/>
    </row>
    <row r="45" spans="2:30" ht="27.75" customHeight="1" x14ac:dyDescent="0.25">
      <c r="B45" s="115">
        <v>44995</v>
      </c>
      <c r="C45" s="116" t="s">
        <v>138</v>
      </c>
      <c r="D45" s="116">
        <v>10</v>
      </c>
      <c r="E45" s="110" t="str">
        <f t="shared" si="0"/>
        <v>20230310-040</v>
      </c>
      <c r="F45" s="111" t="s">
        <v>98</v>
      </c>
      <c r="G45" s="111" t="s">
        <v>99</v>
      </c>
      <c r="H45" s="112" t="s">
        <v>183</v>
      </c>
      <c r="I45" s="113">
        <v>464.71</v>
      </c>
      <c r="J45" s="111" t="s">
        <v>139</v>
      </c>
      <c r="K45" s="111" t="s">
        <v>187</v>
      </c>
      <c r="L45" s="111" t="s">
        <v>103</v>
      </c>
      <c r="M45" s="111" t="s">
        <v>104</v>
      </c>
      <c r="N45" s="111" t="s">
        <v>105</v>
      </c>
      <c r="O45" s="111" t="s">
        <v>106</v>
      </c>
      <c r="P45" s="111" t="s">
        <v>141</v>
      </c>
      <c r="Q45" s="110" t="s">
        <v>133</v>
      </c>
      <c r="R45" s="110" t="s">
        <v>142</v>
      </c>
      <c r="S45" s="111" t="s">
        <v>110</v>
      </c>
      <c r="T45" s="111" t="s">
        <v>111</v>
      </c>
      <c r="U45" s="111" t="s">
        <v>103</v>
      </c>
      <c r="V45" s="118">
        <f t="shared" si="2"/>
        <v>-2.1642560896018924E-2</v>
      </c>
      <c r="W45" s="114" t="str">
        <f>IFERROR(I45-AVERAGEIFS(I$6:I44,J$6:J44,"ICIS / Platts",B$6:B44,B45),"")</f>
        <v/>
      </c>
      <c r="X45" s="110" t="s">
        <v>125</v>
      </c>
      <c r="Y45" s="117" t="str">
        <f t="shared" si="1"/>
        <v>OK</v>
      </c>
      <c r="Z45" s="111" t="s">
        <v>116</v>
      </c>
      <c r="AA45" s="111" t="s">
        <v>115</v>
      </c>
      <c r="AB45" s="111" t="s">
        <v>115</v>
      </c>
      <c r="AC45" s="111" t="s">
        <v>116</v>
      </c>
      <c r="AD45" s="111"/>
    </row>
    <row r="46" spans="2:30" ht="27.75" customHeight="1" x14ac:dyDescent="0.25">
      <c r="B46" s="108">
        <v>44998</v>
      </c>
      <c r="C46" s="109" t="s">
        <v>97</v>
      </c>
      <c r="D46" s="109">
        <v>11</v>
      </c>
      <c r="E46" s="110" t="str">
        <f t="shared" si="0"/>
        <v>20230313-041</v>
      </c>
      <c r="F46" s="111" t="s">
        <v>98</v>
      </c>
      <c r="G46" s="111" t="s">
        <v>99</v>
      </c>
      <c r="H46" s="112" t="s">
        <v>188</v>
      </c>
      <c r="I46" s="113">
        <v>465</v>
      </c>
      <c r="J46" s="111" t="s">
        <v>101</v>
      </c>
      <c r="K46" s="111" t="s">
        <v>189</v>
      </c>
      <c r="L46" s="111" t="s">
        <v>103</v>
      </c>
      <c r="M46" s="111" t="s">
        <v>104</v>
      </c>
      <c r="N46" s="111" t="s">
        <v>105</v>
      </c>
      <c r="O46" s="111" t="s">
        <v>106</v>
      </c>
      <c r="P46" s="111" t="s">
        <v>107</v>
      </c>
      <c r="Q46" s="110" t="s">
        <v>108</v>
      </c>
      <c r="R46" s="110" t="s">
        <v>109</v>
      </c>
      <c r="S46" s="111" t="s">
        <v>110</v>
      </c>
      <c r="T46" s="111" t="s">
        <v>111</v>
      </c>
      <c r="U46" s="111" t="s">
        <v>103</v>
      </c>
      <c r="V46" s="118">
        <f t="shared" si="2"/>
        <v>-2.1459227467811159E-3</v>
      </c>
      <c r="W46" s="114" t="str">
        <f>IFERROR(I46-AVERAGEIFS(I$6:I45,J$6:J45,"ICIS / Platts",B$6:B45,B46),"")</f>
        <v/>
      </c>
      <c r="X46" s="110" t="s">
        <v>113</v>
      </c>
      <c r="Y46" s="117" t="str">
        <f t="shared" si="1"/>
        <v>OK</v>
      </c>
      <c r="Z46" s="111" t="s">
        <v>116</v>
      </c>
      <c r="AA46" s="111" t="s">
        <v>115</v>
      </c>
      <c r="AB46" s="111" t="s">
        <v>115</v>
      </c>
      <c r="AC46" s="111" t="s">
        <v>116</v>
      </c>
      <c r="AD46" s="111"/>
    </row>
    <row r="47" spans="2:30" ht="27.75" customHeight="1" x14ac:dyDescent="0.25">
      <c r="B47" s="115">
        <v>44999</v>
      </c>
      <c r="C47" s="116" t="s">
        <v>117</v>
      </c>
      <c r="D47" s="116">
        <v>11</v>
      </c>
      <c r="E47" s="110" t="str">
        <f t="shared" si="0"/>
        <v>20230314-042</v>
      </c>
      <c r="F47" s="111" t="s">
        <v>98</v>
      </c>
      <c r="G47" s="111" t="s">
        <v>99</v>
      </c>
      <c r="H47" s="112" t="s">
        <v>188</v>
      </c>
      <c r="I47" s="113">
        <v>464.46</v>
      </c>
      <c r="J47" s="111" t="s">
        <v>118</v>
      </c>
      <c r="K47" s="111" t="s">
        <v>190</v>
      </c>
      <c r="L47" s="111" t="s">
        <v>103</v>
      </c>
      <c r="M47" s="111" t="s">
        <v>104</v>
      </c>
      <c r="N47" s="111" t="s">
        <v>120</v>
      </c>
      <c r="O47" s="111" t="s">
        <v>121</v>
      </c>
      <c r="P47" s="111" t="s">
        <v>122</v>
      </c>
      <c r="Q47" s="110" t="s">
        <v>123</v>
      </c>
      <c r="R47" s="110" t="s">
        <v>124</v>
      </c>
      <c r="S47" s="111" t="s">
        <v>110</v>
      </c>
      <c r="T47" s="111" t="s">
        <v>111</v>
      </c>
      <c r="U47" s="111" t="s">
        <v>103</v>
      </c>
      <c r="V47" s="118">
        <f t="shared" si="2"/>
        <v>5.4552539290816599E-3</v>
      </c>
      <c r="W47" s="114" t="str">
        <f>IFERROR(I47-AVERAGEIFS(I$6:I46,J$6:J46,"ICIS / Platts",B$6:B46,B47),"")</f>
        <v/>
      </c>
      <c r="X47" s="110" t="s">
        <v>125</v>
      </c>
      <c r="Y47" s="117" t="str">
        <f t="shared" si="1"/>
        <v>OK</v>
      </c>
      <c r="Z47" s="111" t="s">
        <v>116</v>
      </c>
      <c r="AA47" s="111" t="s">
        <v>115</v>
      </c>
      <c r="AB47" s="111" t="s">
        <v>115</v>
      </c>
      <c r="AC47" s="111" t="s">
        <v>116</v>
      </c>
      <c r="AD47" s="111"/>
    </row>
    <row r="48" spans="2:30" ht="27.75" customHeight="1" x14ac:dyDescent="0.25">
      <c r="B48" s="108">
        <v>45000</v>
      </c>
      <c r="C48" s="109" t="s">
        <v>126</v>
      </c>
      <c r="D48" s="109">
        <v>11</v>
      </c>
      <c r="E48" s="110" t="str">
        <f t="shared" si="0"/>
        <v>20230315-043</v>
      </c>
      <c r="F48" s="111" t="s">
        <v>98</v>
      </c>
      <c r="G48" s="111" t="s">
        <v>99</v>
      </c>
      <c r="H48" s="112" t="s">
        <v>188</v>
      </c>
      <c r="I48" s="113">
        <v>467.09</v>
      </c>
      <c r="J48" s="111" t="s">
        <v>127</v>
      </c>
      <c r="K48" s="111" t="s">
        <v>191</v>
      </c>
      <c r="L48" s="111" t="s">
        <v>129</v>
      </c>
      <c r="M48" s="111" t="s">
        <v>104</v>
      </c>
      <c r="N48" s="111" t="s">
        <v>130</v>
      </c>
      <c r="O48" s="111" t="s">
        <v>131</v>
      </c>
      <c r="P48" s="111" t="s">
        <v>132</v>
      </c>
      <c r="Q48" s="110" t="s">
        <v>133</v>
      </c>
      <c r="R48" s="110" t="s">
        <v>134</v>
      </c>
      <c r="S48" s="111" t="s">
        <v>135</v>
      </c>
      <c r="T48" s="111" t="s">
        <v>136</v>
      </c>
      <c r="U48" s="111" t="s">
        <v>129</v>
      </c>
      <c r="V48" s="118">
        <f t="shared" si="2"/>
        <v>1.066730136749167E-2</v>
      </c>
      <c r="W48" s="114" t="str">
        <f>IFERROR(I48-AVERAGEIFS(I$6:I47,J$6:J47,"ICIS / Platts",B$6:B47,B48),"")</f>
        <v/>
      </c>
      <c r="X48" s="110" t="s">
        <v>137</v>
      </c>
      <c r="Y48" s="117" t="str">
        <f t="shared" si="1"/>
        <v>OK</v>
      </c>
      <c r="Z48" s="111" t="s">
        <v>116</v>
      </c>
      <c r="AA48" s="111" t="s">
        <v>115</v>
      </c>
      <c r="AB48" s="111" t="s">
        <v>115</v>
      </c>
      <c r="AC48" s="111" t="s">
        <v>116</v>
      </c>
      <c r="AD48" s="111"/>
    </row>
    <row r="49" spans="2:30" ht="27.75" customHeight="1" x14ac:dyDescent="0.25">
      <c r="B49" s="115">
        <v>45002</v>
      </c>
      <c r="C49" s="116" t="s">
        <v>138</v>
      </c>
      <c r="D49" s="116">
        <v>11</v>
      </c>
      <c r="E49" s="110" t="str">
        <f t="shared" si="0"/>
        <v>20230317-044</v>
      </c>
      <c r="F49" s="111" t="s">
        <v>98</v>
      </c>
      <c r="G49" s="111" t="s">
        <v>99</v>
      </c>
      <c r="H49" s="112" t="s">
        <v>188</v>
      </c>
      <c r="I49" s="113">
        <v>474.08</v>
      </c>
      <c r="J49" s="111" t="s">
        <v>139</v>
      </c>
      <c r="K49" s="111" t="s">
        <v>192</v>
      </c>
      <c r="L49" s="111" t="s">
        <v>103</v>
      </c>
      <c r="M49" s="111" t="s">
        <v>104</v>
      </c>
      <c r="N49" s="111" t="s">
        <v>105</v>
      </c>
      <c r="O49" s="111" t="s">
        <v>106</v>
      </c>
      <c r="P49" s="111" t="s">
        <v>141</v>
      </c>
      <c r="Q49" s="110" t="s">
        <v>133</v>
      </c>
      <c r="R49" s="110" t="s">
        <v>142</v>
      </c>
      <c r="S49" s="111" t="s">
        <v>110</v>
      </c>
      <c r="T49" s="111" t="s">
        <v>111</v>
      </c>
      <c r="U49" s="111" t="s">
        <v>103</v>
      </c>
      <c r="V49" s="118">
        <f t="shared" si="2"/>
        <v>2.01631124787502E-2</v>
      </c>
      <c r="W49" s="114" t="str">
        <f>IFERROR(I49-AVERAGEIFS(I$6:I48,J$6:J48,"ICIS / Platts",B$6:B48,B49),"")</f>
        <v/>
      </c>
      <c r="X49" s="110" t="s">
        <v>125</v>
      </c>
      <c r="Y49" s="117" t="str">
        <f t="shared" si="1"/>
        <v>OK</v>
      </c>
      <c r="Z49" s="111" t="s">
        <v>116</v>
      </c>
      <c r="AA49" s="111" t="s">
        <v>115</v>
      </c>
      <c r="AB49" s="111" t="s">
        <v>115</v>
      </c>
      <c r="AC49" s="111" t="s">
        <v>116</v>
      </c>
      <c r="AD49" s="111"/>
    </row>
    <row r="50" spans="2:30" ht="27.75" customHeight="1" x14ac:dyDescent="0.25">
      <c r="B50" s="108">
        <v>45005</v>
      </c>
      <c r="C50" s="109" t="s">
        <v>97</v>
      </c>
      <c r="D50" s="109">
        <v>12</v>
      </c>
      <c r="E50" s="110" t="str">
        <f t="shared" si="0"/>
        <v>20230320-045</v>
      </c>
      <c r="F50" s="111" t="s">
        <v>98</v>
      </c>
      <c r="G50" s="111" t="s">
        <v>99</v>
      </c>
      <c r="H50" s="112" t="s">
        <v>193</v>
      </c>
      <c r="I50" s="113">
        <v>463</v>
      </c>
      <c r="J50" s="111" t="s">
        <v>101</v>
      </c>
      <c r="K50" s="111" t="s">
        <v>194</v>
      </c>
      <c r="L50" s="111" t="s">
        <v>103</v>
      </c>
      <c r="M50" s="111" t="s">
        <v>104</v>
      </c>
      <c r="N50" s="111" t="s">
        <v>105</v>
      </c>
      <c r="O50" s="111" t="s">
        <v>106</v>
      </c>
      <c r="P50" s="111" t="s">
        <v>107</v>
      </c>
      <c r="Q50" s="110" t="s">
        <v>108</v>
      </c>
      <c r="R50" s="110" t="s">
        <v>109</v>
      </c>
      <c r="S50" s="111" t="s">
        <v>110</v>
      </c>
      <c r="T50" s="111" t="s">
        <v>111</v>
      </c>
      <c r="U50" s="111" t="s">
        <v>103</v>
      </c>
      <c r="V50" s="118">
        <f t="shared" si="2"/>
        <v>-4.3010752688172043E-3</v>
      </c>
      <c r="W50" s="114" t="str">
        <f>IFERROR(I50-AVERAGEIFS(I$6:I49,J$6:J49,"ICIS / Platts",B$6:B49,B50),"")</f>
        <v/>
      </c>
      <c r="X50" s="110" t="s">
        <v>113</v>
      </c>
      <c r="Y50" s="117" t="str">
        <f t="shared" si="1"/>
        <v>OK</v>
      </c>
      <c r="Z50" s="111" t="s">
        <v>115</v>
      </c>
      <c r="AA50" s="111" t="s">
        <v>115</v>
      </c>
      <c r="AB50" s="111" t="s">
        <v>115</v>
      </c>
      <c r="AC50" s="111" t="s">
        <v>116</v>
      </c>
      <c r="AD50" s="111"/>
    </row>
    <row r="51" spans="2:30" ht="27.75" customHeight="1" x14ac:dyDescent="0.25">
      <c r="B51" s="115">
        <v>45006</v>
      </c>
      <c r="C51" s="116" t="s">
        <v>117</v>
      </c>
      <c r="D51" s="116">
        <v>12</v>
      </c>
      <c r="E51" s="110" t="str">
        <f t="shared" si="0"/>
        <v>20230321-046</v>
      </c>
      <c r="F51" s="111" t="s">
        <v>98</v>
      </c>
      <c r="G51" s="111" t="s">
        <v>99</v>
      </c>
      <c r="H51" s="112" t="s">
        <v>193</v>
      </c>
      <c r="I51" s="113">
        <v>470.18</v>
      </c>
      <c r="J51" s="111" t="s">
        <v>118</v>
      </c>
      <c r="K51" s="111" t="s">
        <v>195</v>
      </c>
      <c r="L51" s="111" t="s">
        <v>103</v>
      </c>
      <c r="M51" s="111" t="s">
        <v>104</v>
      </c>
      <c r="N51" s="111" t="s">
        <v>120</v>
      </c>
      <c r="O51" s="111" t="s">
        <v>121</v>
      </c>
      <c r="P51" s="111" t="s">
        <v>122</v>
      </c>
      <c r="Q51" s="110" t="s">
        <v>123</v>
      </c>
      <c r="R51" s="110" t="s">
        <v>124</v>
      </c>
      <c r="S51" s="111" t="s">
        <v>110</v>
      </c>
      <c r="T51" s="111" t="s">
        <v>111</v>
      </c>
      <c r="U51" s="111" t="s">
        <v>103</v>
      </c>
      <c r="V51" s="118">
        <f t="shared" si="2"/>
        <v>1.2315376996942745E-2</v>
      </c>
      <c r="W51" s="114" t="str">
        <f>IFERROR(I51-AVERAGEIFS(I$6:I50,J$6:J50,"ICIS / Platts",B$6:B50,B51),"")</f>
        <v/>
      </c>
      <c r="X51" s="110" t="s">
        <v>125</v>
      </c>
      <c r="Y51" s="117" t="str">
        <f t="shared" si="1"/>
        <v>OK</v>
      </c>
      <c r="Z51" s="111" t="s">
        <v>115</v>
      </c>
      <c r="AA51" s="111" t="s">
        <v>115</v>
      </c>
      <c r="AB51" s="111" t="s">
        <v>115</v>
      </c>
      <c r="AC51" s="111" t="s">
        <v>116</v>
      </c>
      <c r="AD51" s="111"/>
    </row>
    <row r="52" spans="2:30" ht="27.75" customHeight="1" x14ac:dyDescent="0.25">
      <c r="B52" s="108">
        <v>45007</v>
      </c>
      <c r="C52" s="109" t="s">
        <v>126</v>
      </c>
      <c r="D52" s="109">
        <v>12</v>
      </c>
      <c r="E52" s="110" t="str">
        <f t="shared" si="0"/>
        <v>20230322-047</v>
      </c>
      <c r="F52" s="111" t="s">
        <v>98</v>
      </c>
      <c r="G52" s="111" t="s">
        <v>99</v>
      </c>
      <c r="H52" s="112" t="s">
        <v>193</v>
      </c>
      <c r="I52" s="113">
        <v>468.57</v>
      </c>
      <c r="J52" s="111" t="s">
        <v>127</v>
      </c>
      <c r="K52" s="111" t="s">
        <v>196</v>
      </c>
      <c r="L52" s="111" t="s">
        <v>129</v>
      </c>
      <c r="M52" s="111" t="s">
        <v>104</v>
      </c>
      <c r="N52" s="111" t="s">
        <v>130</v>
      </c>
      <c r="O52" s="111" t="s">
        <v>131</v>
      </c>
      <c r="P52" s="111" t="s">
        <v>132</v>
      </c>
      <c r="Q52" s="110" t="s">
        <v>133</v>
      </c>
      <c r="R52" s="110" t="s">
        <v>134</v>
      </c>
      <c r="S52" s="111" t="s">
        <v>135</v>
      </c>
      <c r="T52" s="111" t="s">
        <v>136</v>
      </c>
      <c r="U52" s="111" t="s">
        <v>129</v>
      </c>
      <c r="V52" s="118">
        <f t="shared" si="2"/>
        <v>3.1685542400822502E-3</v>
      </c>
      <c r="W52" s="114" t="str">
        <f>IFERROR(I52-AVERAGEIFS(I$6:I51,J$6:J51,"ICIS / Platts",B$6:B51,B52),"")</f>
        <v/>
      </c>
      <c r="X52" s="110" t="s">
        <v>137</v>
      </c>
      <c r="Y52" s="117" t="str">
        <f t="shared" si="1"/>
        <v>OK</v>
      </c>
      <c r="Z52" s="111" t="s">
        <v>115</v>
      </c>
      <c r="AA52" s="111" t="s">
        <v>115</v>
      </c>
      <c r="AB52" s="111" t="s">
        <v>115</v>
      </c>
      <c r="AC52" s="111" t="s">
        <v>116</v>
      </c>
      <c r="AD52" s="111"/>
    </row>
    <row r="53" spans="2:30" ht="27.75" customHeight="1" x14ac:dyDescent="0.25">
      <c r="B53" s="115">
        <v>45009</v>
      </c>
      <c r="C53" s="116" t="s">
        <v>138</v>
      </c>
      <c r="D53" s="116">
        <v>12</v>
      </c>
      <c r="E53" s="110" t="str">
        <f t="shared" si="0"/>
        <v>20230324-048</v>
      </c>
      <c r="F53" s="111" t="s">
        <v>98</v>
      </c>
      <c r="G53" s="111" t="s">
        <v>99</v>
      </c>
      <c r="H53" s="112" t="s">
        <v>193</v>
      </c>
      <c r="I53" s="113">
        <v>464.71</v>
      </c>
      <c r="J53" s="111" t="s">
        <v>139</v>
      </c>
      <c r="K53" s="111" t="s">
        <v>197</v>
      </c>
      <c r="L53" s="111" t="s">
        <v>103</v>
      </c>
      <c r="M53" s="111" t="s">
        <v>104</v>
      </c>
      <c r="N53" s="111" t="s">
        <v>105</v>
      </c>
      <c r="O53" s="111" t="s">
        <v>106</v>
      </c>
      <c r="P53" s="111" t="s">
        <v>141</v>
      </c>
      <c r="Q53" s="110" t="s">
        <v>133</v>
      </c>
      <c r="R53" s="110" t="s">
        <v>142</v>
      </c>
      <c r="S53" s="111" t="s">
        <v>110</v>
      </c>
      <c r="T53" s="111" t="s">
        <v>111</v>
      </c>
      <c r="U53" s="111" t="s">
        <v>103</v>
      </c>
      <c r="V53" s="118">
        <f t="shared" si="2"/>
        <v>-1.9764596692541353E-2</v>
      </c>
      <c r="W53" s="114" t="str">
        <f>IFERROR(I53-AVERAGEIFS(I$6:I52,J$6:J52,"ICIS / Platts",B$6:B52,B53),"")</f>
        <v/>
      </c>
      <c r="X53" s="110" t="s">
        <v>125</v>
      </c>
      <c r="Y53" s="117" t="str">
        <f t="shared" si="1"/>
        <v>OK</v>
      </c>
      <c r="Z53" s="111" t="s">
        <v>115</v>
      </c>
      <c r="AA53" s="111" t="s">
        <v>115</v>
      </c>
      <c r="AB53" s="111" t="s">
        <v>115</v>
      </c>
      <c r="AC53" s="111" t="s">
        <v>116</v>
      </c>
      <c r="AD53" s="111"/>
    </row>
    <row r="54" spans="2:30" ht="27.75" customHeight="1" x14ac:dyDescent="0.25">
      <c r="B54" s="108">
        <v>45012</v>
      </c>
      <c r="C54" s="109" t="s">
        <v>97</v>
      </c>
      <c r="D54" s="109">
        <v>13</v>
      </c>
      <c r="E54" s="110" t="str">
        <f t="shared" si="0"/>
        <v>20230327-049</v>
      </c>
      <c r="F54" s="111" t="s">
        <v>98</v>
      </c>
      <c r="G54" s="111" t="s">
        <v>99</v>
      </c>
      <c r="H54" s="112" t="s">
        <v>198</v>
      </c>
      <c r="I54" s="113">
        <v>461</v>
      </c>
      <c r="J54" s="111" t="s">
        <v>101</v>
      </c>
      <c r="K54" s="111" t="s">
        <v>199</v>
      </c>
      <c r="L54" s="111" t="s">
        <v>103</v>
      </c>
      <c r="M54" s="111" t="s">
        <v>104</v>
      </c>
      <c r="N54" s="111" t="s">
        <v>105</v>
      </c>
      <c r="O54" s="111" t="s">
        <v>106</v>
      </c>
      <c r="P54" s="111" t="s">
        <v>107</v>
      </c>
      <c r="Q54" s="110" t="s">
        <v>108</v>
      </c>
      <c r="R54" s="110" t="s">
        <v>109</v>
      </c>
      <c r="S54" s="111" t="s">
        <v>110</v>
      </c>
      <c r="T54" s="111" t="s">
        <v>111</v>
      </c>
      <c r="U54" s="111" t="s">
        <v>103</v>
      </c>
      <c r="V54" s="118">
        <f t="shared" si="2"/>
        <v>-4.3196544276457886E-3</v>
      </c>
      <c r="W54" s="114" t="str">
        <f>IFERROR(I54-AVERAGEIFS(I$6:I53,J$6:J53,"ICIS / Platts",B$6:B53,B54),"")</f>
        <v/>
      </c>
      <c r="X54" s="110" t="s">
        <v>113</v>
      </c>
      <c r="Y54" s="117" t="str">
        <f t="shared" si="1"/>
        <v>OK</v>
      </c>
      <c r="Z54" s="111" t="s">
        <v>115</v>
      </c>
      <c r="AA54" s="111" t="s">
        <v>115</v>
      </c>
      <c r="AB54" s="111" t="s">
        <v>115</v>
      </c>
      <c r="AC54" s="111" t="s">
        <v>116</v>
      </c>
      <c r="AD54" s="111"/>
    </row>
    <row r="55" spans="2:30" ht="27.75" customHeight="1" x14ac:dyDescent="0.25">
      <c r="B55" s="115">
        <v>45013</v>
      </c>
      <c r="C55" s="116" t="s">
        <v>117</v>
      </c>
      <c r="D55" s="116">
        <v>13</v>
      </c>
      <c r="E55" s="110" t="str">
        <f t="shared" si="0"/>
        <v>20230328-050</v>
      </c>
      <c r="F55" s="111" t="s">
        <v>98</v>
      </c>
      <c r="G55" s="111" t="s">
        <v>99</v>
      </c>
      <c r="H55" s="112" t="s">
        <v>198</v>
      </c>
      <c r="I55" s="113">
        <v>459.32</v>
      </c>
      <c r="J55" s="111" t="s">
        <v>118</v>
      </c>
      <c r="K55" s="111" t="s">
        <v>200</v>
      </c>
      <c r="L55" s="111" t="s">
        <v>103</v>
      </c>
      <c r="M55" s="111" t="s">
        <v>104</v>
      </c>
      <c r="N55" s="111" t="s">
        <v>120</v>
      </c>
      <c r="O55" s="111" t="s">
        <v>121</v>
      </c>
      <c r="P55" s="111" t="s">
        <v>122</v>
      </c>
      <c r="Q55" s="110" t="s">
        <v>123</v>
      </c>
      <c r="R55" s="110" t="s">
        <v>124</v>
      </c>
      <c r="S55" s="111" t="s">
        <v>110</v>
      </c>
      <c r="T55" s="111" t="s">
        <v>111</v>
      </c>
      <c r="U55" s="111" t="s">
        <v>103</v>
      </c>
      <c r="V55" s="118">
        <f t="shared" si="2"/>
        <v>-2.3097537113445941E-2</v>
      </c>
      <c r="W55" s="114" t="str">
        <f>IFERROR(I55-AVERAGEIFS(I$6:I54,J$6:J54,"ICIS / Platts",B$6:B54,B55),"")</f>
        <v/>
      </c>
      <c r="X55" s="110" t="s">
        <v>125</v>
      </c>
      <c r="Y55" s="117" t="str">
        <f t="shared" si="1"/>
        <v>OK</v>
      </c>
      <c r="Z55" s="111" t="s">
        <v>115</v>
      </c>
      <c r="AA55" s="111" t="s">
        <v>115</v>
      </c>
      <c r="AB55" s="111" t="s">
        <v>115</v>
      </c>
      <c r="AC55" s="111" t="s">
        <v>116</v>
      </c>
      <c r="AD55" s="111"/>
    </row>
    <row r="56" spans="2:30" ht="27.75" customHeight="1" x14ac:dyDescent="0.25">
      <c r="B56" s="108">
        <v>45014</v>
      </c>
      <c r="C56" s="109" t="s">
        <v>126</v>
      </c>
      <c r="D56" s="109">
        <v>13</v>
      </c>
      <c r="E56" s="110" t="str">
        <f t="shared" si="0"/>
        <v>20230329-051</v>
      </c>
      <c r="F56" s="111" t="s">
        <v>98</v>
      </c>
      <c r="G56" s="111" t="s">
        <v>99</v>
      </c>
      <c r="H56" s="112" t="s">
        <v>198</v>
      </c>
      <c r="I56" s="113">
        <v>462.51</v>
      </c>
      <c r="J56" s="111" t="s">
        <v>127</v>
      </c>
      <c r="K56" s="111" t="s">
        <v>201</v>
      </c>
      <c r="L56" s="111" t="s">
        <v>129</v>
      </c>
      <c r="M56" s="111" t="s">
        <v>104</v>
      </c>
      <c r="N56" s="111" t="s">
        <v>130</v>
      </c>
      <c r="O56" s="111" t="s">
        <v>131</v>
      </c>
      <c r="P56" s="111" t="s">
        <v>132</v>
      </c>
      <c r="Q56" s="110" t="s">
        <v>133</v>
      </c>
      <c r="R56" s="110" t="s">
        <v>134</v>
      </c>
      <c r="S56" s="111" t="s">
        <v>135</v>
      </c>
      <c r="T56" s="111" t="s">
        <v>136</v>
      </c>
      <c r="U56" s="111" t="s">
        <v>129</v>
      </c>
      <c r="V56" s="118">
        <f t="shared" si="2"/>
        <v>-1.2932966259043478E-2</v>
      </c>
      <c r="W56" s="114" t="str">
        <f>IFERROR(I56-AVERAGEIFS(I$6:I55,J$6:J55,"ICIS / Platts",B$6:B55,B56),"")</f>
        <v/>
      </c>
      <c r="X56" s="110" t="s">
        <v>137</v>
      </c>
      <c r="Y56" s="117" t="str">
        <f t="shared" si="1"/>
        <v>OK</v>
      </c>
      <c r="Z56" s="111" t="s">
        <v>115</v>
      </c>
      <c r="AA56" s="111" t="s">
        <v>115</v>
      </c>
      <c r="AB56" s="111" t="s">
        <v>115</v>
      </c>
      <c r="AC56" s="111" t="s">
        <v>116</v>
      </c>
      <c r="AD56" s="111"/>
    </row>
    <row r="57" spans="2:30" ht="27.75" customHeight="1" x14ac:dyDescent="0.25">
      <c r="B57" s="115">
        <v>45016</v>
      </c>
      <c r="C57" s="116" t="s">
        <v>138</v>
      </c>
      <c r="D57" s="116">
        <v>13</v>
      </c>
      <c r="E57" s="110" t="str">
        <f t="shared" si="0"/>
        <v>20230331-052</v>
      </c>
      <c r="F57" s="111" t="s">
        <v>98</v>
      </c>
      <c r="G57" s="111" t="s">
        <v>99</v>
      </c>
      <c r="H57" s="112" t="s">
        <v>198</v>
      </c>
      <c r="I57" s="113">
        <v>463.49</v>
      </c>
      <c r="J57" s="111" t="s">
        <v>139</v>
      </c>
      <c r="K57" s="111" t="s">
        <v>202</v>
      </c>
      <c r="L57" s="111" t="s">
        <v>103</v>
      </c>
      <c r="M57" s="111" t="s">
        <v>104</v>
      </c>
      <c r="N57" s="111" t="s">
        <v>105</v>
      </c>
      <c r="O57" s="111" t="s">
        <v>106</v>
      </c>
      <c r="P57" s="111" t="s">
        <v>141</v>
      </c>
      <c r="Q57" s="110" t="s">
        <v>133</v>
      </c>
      <c r="R57" s="110" t="s">
        <v>142</v>
      </c>
      <c r="S57" s="111" t="s">
        <v>110</v>
      </c>
      <c r="T57" s="111" t="s">
        <v>111</v>
      </c>
      <c r="U57" s="111" t="s">
        <v>103</v>
      </c>
      <c r="V57" s="118">
        <f t="shared" si="2"/>
        <v>-2.6252931936045503E-3</v>
      </c>
      <c r="W57" s="114" t="str">
        <f>IFERROR(I57-AVERAGEIFS(I$6:I56,J$6:J56,"ICIS / Platts",B$6:B56,B57),"")</f>
        <v/>
      </c>
      <c r="X57" s="110" t="s">
        <v>125</v>
      </c>
      <c r="Y57" s="117" t="str">
        <f t="shared" si="1"/>
        <v>OK</v>
      </c>
      <c r="Z57" s="111" t="s">
        <v>115</v>
      </c>
      <c r="AA57" s="111" t="s">
        <v>115</v>
      </c>
      <c r="AB57" s="111" t="s">
        <v>115</v>
      </c>
      <c r="AC57" s="111" t="s">
        <v>116</v>
      </c>
      <c r="AD57" s="111"/>
    </row>
    <row r="58" spans="2:30" ht="27.75" customHeight="1" x14ac:dyDescent="0.25">
      <c r="B58" s="108">
        <v>45019</v>
      </c>
      <c r="C58" s="109" t="s">
        <v>97</v>
      </c>
      <c r="D58" s="109">
        <v>14</v>
      </c>
      <c r="E58" s="110" t="str">
        <f t="shared" si="0"/>
        <v>20230403-053</v>
      </c>
      <c r="F58" s="111" t="s">
        <v>98</v>
      </c>
      <c r="G58" s="111" t="s">
        <v>99</v>
      </c>
      <c r="H58" s="112" t="s">
        <v>203</v>
      </c>
      <c r="I58" s="113">
        <v>460</v>
      </c>
      <c r="J58" s="111" t="s">
        <v>101</v>
      </c>
      <c r="K58" s="111" t="s">
        <v>204</v>
      </c>
      <c r="L58" s="111" t="s">
        <v>103</v>
      </c>
      <c r="M58" s="111" t="s">
        <v>104</v>
      </c>
      <c r="N58" s="111" t="s">
        <v>105</v>
      </c>
      <c r="O58" s="111" t="s">
        <v>106</v>
      </c>
      <c r="P58" s="111" t="s">
        <v>107</v>
      </c>
      <c r="Q58" s="110" t="s">
        <v>108</v>
      </c>
      <c r="R58" s="110" t="s">
        <v>109</v>
      </c>
      <c r="S58" s="111" t="s">
        <v>110</v>
      </c>
      <c r="T58" s="111" t="s">
        <v>111</v>
      </c>
      <c r="U58" s="111" t="s">
        <v>103</v>
      </c>
      <c r="V58" s="118">
        <f t="shared" si="2"/>
        <v>-2.1691973969631237E-3</v>
      </c>
      <c r="W58" s="114" t="str">
        <f>IFERROR(I58-AVERAGEIFS(I$6:I57,J$6:J57,"ICIS / Platts",B$6:B57,B58),"")</f>
        <v/>
      </c>
      <c r="X58" s="110" t="s">
        <v>113</v>
      </c>
      <c r="Y58" s="117" t="str">
        <f t="shared" si="1"/>
        <v>OK</v>
      </c>
      <c r="Z58" s="111" t="s">
        <v>115</v>
      </c>
      <c r="AA58" s="111" t="s">
        <v>115</v>
      </c>
      <c r="AB58" s="111" t="s">
        <v>115</v>
      </c>
      <c r="AC58" s="111" t="s">
        <v>116</v>
      </c>
      <c r="AD58" s="111"/>
    </row>
    <row r="59" spans="2:30" ht="27.75" customHeight="1" x14ac:dyDescent="0.25">
      <c r="B59" s="115">
        <v>45020</v>
      </c>
      <c r="C59" s="116" t="s">
        <v>117</v>
      </c>
      <c r="D59" s="116">
        <v>14</v>
      </c>
      <c r="E59" s="110" t="str">
        <f t="shared" si="0"/>
        <v>20230404-054</v>
      </c>
      <c r="F59" s="111" t="s">
        <v>98</v>
      </c>
      <c r="G59" s="111" t="s">
        <v>99</v>
      </c>
      <c r="H59" s="112" t="s">
        <v>203</v>
      </c>
      <c r="I59" s="113">
        <v>461.78</v>
      </c>
      <c r="J59" s="111" t="s">
        <v>118</v>
      </c>
      <c r="K59" s="111" t="s">
        <v>205</v>
      </c>
      <c r="L59" s="111" t="s">
        <v>103</v>
      </c>
      <c r="M59" s="111" t="s">
        <v>104</v>
      </c>
      <c r="N59" s="111" t="s">
        <v>120</v>
      </c>
      <c r="O59" s="111" t="s">
        <v>121</v>
      </c>
      <c r="P59" s="111" t="s">
        <v>122</v>
      </c>
      <c r="Q59" s="110" t="s">
        <v>123</v>
      </c>
      <c r="R59" s="110" t="s">
        <v>124</v>
      </c>
      <c r="S59" s="111" t="s">
        <v>110</v>
      </c>
      <c r="T59" s="111" t="s">
        <v>111</v>
      </c>
      <c r="U59" s="111" t="s">
        <v>103</v>
      </c>
      <c r="V59" s="118">
        <f t="shared" si="2"/>
        <v>5.3557432726638937E-3</v>
      </c>
      <c r="W59" s="114" t="str">
        <f>IFERROR(I59-AVERAGEIFS(I$6:I58,J$6:J58,"ICIS / Platts",B$6:B58,B59),"")</f>
        <v/>
      </c>
      <c r="X59" s="110" t="s">
        <v>125</v>
      </c>
      <c r="Y59" s="117" t="str">
        <f t="shared" si="1"/>
        <v>OK</v>
      </c>
      <c r="Z59" s="111" t="s">
        <v>115</v>
      </c>
      <c r="AA59" s="111" t="s">
        <v>115</v>
      </c>
      <c r="AB59" s="111" t="s">
        <v>115</v>
      </c>
      <c r="AC59" s="111" t="s">
        <v>116</v>
      </c>
      <c r="AD59" s="111"/>
    </row>
    <row r="60" spans="2:30" ht="27.75" customHeight="1" x14ac:dyDescent="0.25">
      <c r="B60" s="108">
        <v>45021</v>
      </c>
      <c r="C60" s="109" t="s">
        <v>126</v>
      </c>
      <c r="D60" s="109">
        <v>14</v>
      </c>
      <c r="E60" s="110" t="str">
        <f t="shared" si="0"/>
        <v>20230405-055</v>
      </c>
      <c r="F60" s="111" t="s">
        <v>98</v>
      </c>
      <c r="G60" s="111" t="s">
        <v>99</v>
      </c>
      <c r="H60" s="112" t="s">
        <v>203</v>
      </c>
      <c r="I60" s="113">
        <v>459.31</v>
      </c>
      <c r="J60" s="111" t="s">
        <v>127</v>
      </c>
      <c r="K60" s="111" t="s">
        <v>206</v>
      </c>
      <c r="L60" s="111" t="s">
        <v>129</v>
      </c>
      <c r="M60" s="111" t="s">
        <v>104</v>
      </c>
      <c r="N60" s="111" t="s">
        <v>130</v>
      </c>
      <c r="O60" s="111" t="s">
        <v>131</v>
      </c>
      <c r="P60" s="111" t="s">
        <v>132</v>
      </c>
      <c r="Q60" s="110" t="s">
        <v>133</v>
      </c>
      <c r="R60" s="110" t="s">
        <v>134</v>
      </c>
      <c r="S60" s="111" t="s">
        <v>135</v>
      </c>
      <c r="T60" s="111" t="s">
        <v>136</v>
      </c>
      <c r="U60" s="111" t="s">
        <v>129</v>
      </c>
      <c r="V60" s="118">
        <f t="shared" si="2"/>
        <v>-6.9187693239064858E-3</v>
      </c>
      <c r="W60" s="114" t="str">
        <f>IFERROR(I60-AVERAGEIFS(I$6:I59,J$6:J59,"ICIS / Platts",B$6:B59,B60),"")</f>
        <v/>
      </c>
      <c r="X60" s="110" t="s">
        <v>137</v>
      </c>
      <c r="Y60" s="117" t="str">
        <f t="shared" si="1"/>
        <v>OK</v>
      </c>
      <c r="Z60" s="111" t="s">
        <v>115</v>
      </c>
      <c r="AA60" s="111" t="s">
        <v>115</v>
      </c>
      <c r="AB60" s="111" t="s">
        <v>115</v>
      </c>
      <c r="AC60" s="111" t="s">
        <v>116</v>
      </c>
      <c r="AD60" s="111"/>
    </row>
    <row r="61" spans="2:30" ht="27.75" customHeight="1" x14ac:dyDescent="0.25">
      <c r="B61" s="115">
        <v>45023</v>
      </c>
      <c r="C61" s="116" t="s">
        <v>138</v>
      </c>
      <c r="D61" s="116">
        <v>14</v>
      </c>
      <c r="E61" s="110" t="str">
        <f t="shared" si="0"/>
        <v>20230407-056</v>
      </c>
      <c r="F61" s="111" t="s">
        <v>98</v>
      </c>
      <c r="G61" s="111" t="s">
        <v>99</v>
      </c>
      <c r="H61" s="112" t="s">
        <v>203</v>
      </c>
      <c r="I61" s="113">
        <v>465.6</v>
      </c>
      <c r="J61" s="111" t="s">
        <v>139</v>
      </c>
      <c r="K61" s="111" t="s">
        <v>207</v>
      </c>
      <c r="L61" s="111" t="s">
        <v>103</v>
      </c>
      <c r="M61" s="111" t="s">
        <v>104</v>
      </c>
      <c r="N61" s="111" t="s">
        <v>105</v>
      </c>
      <c r="O61" s="111" t="s">
        <v>106</v>
      </c>
      <c r="P61" s="111" t="s">
        <v>141</v>
      </c>
      <c r="Q61" s="110" t="s">
        <v>133</v>
      </c>
      <c r="R61" s="110" t="s">
        <v>142</v>
      </c>
      <c r="S61" s="111" t="s">
        <v>110</v>
      </c>
      <c r="T61" s="111" t="s">
        <v>111</v>
      </c>
      <c r="U61" s="111" t="s">
        <v>103</v>
      </c>
      <c r="V61" s="118">
        <f t="shared" si="2"/>
        <v>4.5524175278862837E-3</v>
      </c>
      <c r="W61" s="114" t="str">
        <f>IFERROR(I61-AVERAGEIFS(I$6:I60,J$6:J60,"ICIS / Platts",B$6:B60,B61),"")</f>
        <v/>
      </c>
      <c r="X61" s="110" t="s">
        <v>125</v>
      </c>
      <c r="Y61" s="117" t="str">
        <f t="shared" si="1"/>
        <v>OK</v>
      </c>
      <c r="Z61" s="111" t="s">
        <v>115</v>
      </c>
      <c r="AA61" s="111" t="s">
        <v>115</v>
      </c>
      <c r="AB61" s="111" t="s">
        <v>115</v>
      </c>
      <c r="AC61" s="111" t="s">
        <v>116</v>
      </c>
      <c r="AD61" s="111"/>
    </row>
    <row r="62" spans="2:30" ht="27.75" customHeight="1" x14ac:dyDescent="0.25">
      <c r="B62" s="108">
        <v>45026</v>
      </c>
      <c r="C62" s="109" t="s">
        <v>97</v>
      </c>
      <c r="D62" s="109">
        <v>15</v>
      </c>
      <c r="E62" s="110" t="str">
        <f t="shared" si="0"/>
        <v>20230410-057</v>
      </c>
      <c r="F62" s="111" t="s">
        <v>98</v>
      </c>
      <c r="G62" s="111" t="s">
        <v>99</v>
      </c>
      <c r="H62" s="112" t="s">
        <v>208</v>
      </c>
      <c r="I62" s="113">
        <v>458</v>
      </c>
      <c r="J62" s="111" t="s">
        <v>101</v>
      </c>
      <c r="K62" s="111" t="s">
        <v>209</v>
      </c>
      <c r="L62" s="111" t="s">
        <v>103</v>
      </c>
      <c r="M62" s="111" t="s">
        <v>104</v>
      </c>
      <c r="N62" s="111" t="s">
        <v>105</v>
      </c>
      <c r="O62" s="111" t="s">
        <v>106</v>
      </c>
      <c r="P62" s="111" t="s">
        <v>107</v>
      </c>
      <c r="Q62" s="110" t="s">
        <v>108</v>
      </c>
      <c r="R62" s="110" t="s">
        <v>109</v>
      </c>
      <c r="S62" s="111" t="s">
        <v>110</v>
      </c>
      <c r="T62" s="111" t="s">
        <v>111</v>
      </c>
      <c r="U62" s="111" t="s">
        <v>103</v>
      </c>
      <c r="V62" s="118">
        <f t="shared" si="2"/>
        <v>-4.3478260869565218E-3</v>
      </c>
      <c r="W62" s="114" t="str">
        <f>IFERROR(I62-AVERAGEIFS(I$6:I61,J$6:J61,"ICIS / Platts",B$6:B61,B62),"")</f>
        <v/>
      </c>
      <c r="X62" s="110" t="s">
        <v>113</v>
      </c>
      <c r="Y62" s="117" t="str">
        <f t="shared" si="1"/>
        <v>OK</v>
      </c>
      <c r="Z62" s="111" t="s">
        <v>115</v>
      </c>
      <c r="AA62" s="111" t="s">
        <v>115</v>
      </c>
      <c r="AB62" s="111" t="s">
        <v>115</v>
      </c>
      <c r="AC62" s="111" t="s">
        <v>116</v>
      </c>
      <c r="AD62" s="111"/>
    </row>
    <row r="63" spans="2:30" ht="27.75" customHeight="1" x14ac:dyDescent="0.25">
      <c r="B63" s="115">
        <v>45027</v>
      </c>
      <c r="C63" s="116" t="s">
        <v>117</v>
      </c>
      <c r="D63" s="116">
        <v>15</v>
      </c>
      <c r="E63" s="110" t="str">
        <f t="shared" si="0"/>
        <v>20230411-058</v>
      </c>
      <c r="F63" s="111" t="s">
        <v>98</v>
      </c>
      <c r="G63" s="111" t="s">
        <v>99</v>
      </c>
      <c r="H63" s="112" t="s">
        <v>208</v>
      </c>
      <c r="I63" s="113">
        <v>466.42</v>
      </c>
      <c r="J63" s="111" t="s">
        <v>118</v>
      </c>
      <c r="K63" s="111" t="s">
        <v>210</v>
      </c>
      <c r="L63" s="111" t="s">
        <v>103</v>
      </c>
      <c r="M63" s="111" t="s">
        <v>104</v>
      </c>
      <c r="N63" s="111" t="s">
        <v>120</v>
      </c>
      <c r="O63" s="111" t="s">
        <v>121</v>
      </c>
      <c r="P63" s="111" t="s">
        <v>122</v>
      </c>
      <c r="Q63" s="110" t="s">
        <v>123</v>
      </c>
      <c r="R63" s="110" t="s">
        <v>124</v>
      </c>
      <c r="S63" s="111" t="s">
        <v>110</v>
      </c>
      <c r="T63" s="111" t="s">
        <v>111</v>
      </c>
      <c r="U63" s="111" t="s">
        <v>103</v>
      </c>
      <c r="V63" s="118">
        <f t="shared" si="2"/>
        <v>1.0048074840833391E-2</v>
      </c>
      <c r="W63" s="114" t="str">
        <f>IFERROR(I63-AVERAGEIFS(I$6:I62,J$6:J62,"ICIS / Platts",B$6:B62,B63),"")</f>
        <v/>
      </c>
      <c r="X63" s="110" t="s">
        <v>125</v>
      </c>
      <c r="Y63" s="117" t="str">
        <f t="shared" si="1"/>
        <v>OK</v>
      </c>
      <c r="Z63" s="111" t="s">
        <v>115</v>
      </c>
      <c r="AA63" s="111" t="s">
        <v>115</v>
      </c>
      <c r="AB63" s="111" t="s">
        <v>115</v>
      </c>
      <c r="AC63" s="111" t="s">
        <v>116</v>
      </c>
      <c r="AD63" s="111"/>
    </row>
    <row r="64" spans="2:30" ht="27.75" customHeight="1" x14ac:dyDescent="0.25">
      <c r="B64" s="108">
        <v>45028</v>
      </c>
      <c r="C64" s="109" t="s">
        <v>126</v>
      </c>
      <c r="D64" s="109">
        <v>15</v>
      </c>
      <c r="E64" s="110" t="str">
        <f t="shared" si="0"/>
        <v>20230412-059</v>
      </c>
      <c r="F64" s="111" t="s">
        <v>98</v>
      </c>
      <c r="G64" s="111" t="s">
        <v>99</v>
      </c>
      <c r="H64" s="112" t="s">
        <v>208</v>
      </c>
      <c r="I64" s="113">
        <v>458.42</v>
      </c>
      <c r="J64" s="111" t="s">
        <v>127</v>
      </c>
      <c r="K64" s="111" t="s">
        <v>211</v>
      </c>
      <c r="L64" s="111" t="s">
        <v>129</v>
      </c>
      <c r="M64" s="111" t="s">
        <v>104</v>
      </c>
      <c r="N64" s="111" t="s">
        <v>130</v>
      </c>
      <c r="O64" s="111" t="s">
        <v>131</v>
      </c>
      <c r="P64" s="111" t="s">
        <v>132</v>
      </c>
      <c r="Q64" s="110" t="s">
        <v>133</v>
      </c>
      <c r="R64" s="110" t="s">
        <v>134</v>
      </c>
      <c r="S64" s="111" t="s">
        <v>135</v>
      </c>
      <c r="T64" s="111" t="s">
        <v>136</v>
      </c>
      <c r="U64" s="111" t="s">
        <v>129</v>
      </c>
      <c r="V64" s="118">
        <f t="shared" si="2"/>
        <v>-1.9376891424092363E-3</v>
      </c>
      <c r="W64" s="114" t="str">
        <f>IFERROR(I64-AVERAGEIFS(I$6:I63,J$6:J63,"ICIS / Platts",B$6:B63,B64),"")</f>
        <v/>
      </c>
      <c r="X64" s="110" t="s">
        <v>137</v>
      </c>
      <c r="Y64" s="117" t="str">
        <f t="shared" si="1"/>
        <v>OK</v>
      </c>
      <c r="Z64" s="111" t="s">
        <v>115</v>
      </c>
      <c r="AA64" s="111" t="s">
        <v>115</v>
      </c>
      <c r="AB64" s="111" t="s">
        <v>115</v>
      </c>
      <c r="AC64" s="111" t="s">
        <v>116</v>
      </c>
      <c r="AD64" s="111"/>
    </row>
    <row r="65" spans="2:30" ht="27.75" customHeight="1" x14ac:dyDescent="0.25">
      <c r="B65" s="115">
        <v>45030</v>
      </c>
      <c r="C65" s="116" t="s">
        <v>138</v>
      </c>
      <c r="D65" s="116">
        <v>15</v>
      </c>
      <c r="E65" s="110" t="str">
        <f t="shared" si="0"/>
        <v>20230414-060</v>
      </c>
      <c r="F65" s="111" t="s">
        <v>98</v>
      </c>
      <c r="G65" s="111" t="s">
        <v>99</v>
      </c>
      <c r="H65" s="112" t="s">
        <v>208</v>
      </c>
      <c r="I65" s="113">
        <v>460.03</v>
      </c>
      <c r="J65" s="111" t="s">
        <v>139</v>
      </c>
      <c r="K65" s="111" t="s">
        <v>212</v>
      </c>
      <c r="L65" s="111" t="s">
        <v>103</v>
      </c>
      <c r="M65" s="111" t="s">
        <v>104</v>
      </c>
      <c r="N65" s="111" t="s">
        <v>105</v>
      </c>
      <c r="O65" s="111" t="s">
        <v>106</v>
      </c>
      <c r="P65" s="111" t="s">
        <v>141</v>
      </c>
      <c r="Q65" s="110" t="s">
        <v>133</v>
      </c>
      <c r="R65" s="110" t="s">
        <v>142</v>
      </c>
      <c r="S65" s="111" t="s">
        <v>110</v>
      </c>
      <c r="T65" s="111" t="s">
        <v>111</v>
      </c>
      <c r="U65" s="111" t="s">
        <v>103</v>
      </c>
      <c r="V65" s="118">
        <f t="shared" si="2"/>
        <v>-1.1963058419244093E-2</v>
      </c>
      <c r="W65" s="114" t="str">
        <f>IFERROR(I65-AVERAGEIFS(I$6:I64,J$6:J64,"ICIS / Platts",B$6:B64,B65),"")</f>
        <v/>
      </c>
      <c r="X65" s="110" t="s">
        <v>125</v>
      </c>
      <c r="Y65" s="117" t="str">
        <f t="shared" si="1"/>
        <v>OK</v>
      </c>
      <c r="Z65" s="111" t="s">
        <v>115</v>
      </c>
      <c r="AA65" s="111" t="s">
        <v>115</v>
      </c>
      <c r="AB65" s="111" t="s">
        <v>115</v>
      </c>
      <c r="AC65" s="111" t="s">
        <v>116</v>
      </c>
      <c r="AD65" s="111"/>
    </row>
    <row r="66" spans="2:30" ht="27.75" customHeight="1" x14ac:dyDescent="0.25">
      <c r="B66" s="108">
        <v>45033</v>
      </c>
      <c r="C66" s="109" t="s">
        <v>97</v>
      </c>
      <c r="D66" s="109">
        <v>16</v>
      </c>
      <c r="E66" s="110" t="str">
        <f t="shared" si="0"/>
        <v>20230417-061</v>
      </c>
      <c r="F66" s="111" t="s">
        <v>98</v>
      </c>
      <c r="G66" s="111" t="s">
        <v>99</v>
      </c>
      <c r="H66" s="112" t="s">
        <v>213</v>
      </c>
      <c r="I66" s="113">
        <v>462</v>
      </c>
      <c r="J66" s="111" t="s">
        <v>101</v>
      </c>
      <c r="K66" s="111" t="s">
        <v>214</v>
      </c>
      <c r="L66" s="111" t="s">
        <v>103</v>
      </c>
      <c r="M66" s="111" t="s">
        <v>104</v>
      </c>
      <c r="N66" s="111" t="s">
        <v>105</v>
      </c>
      <c r="O66" s="111" t="s">
        <v>106</v>
      </c>
      <c r="P66" s="111" t="s">
        <v>107</v>
      </c>
      <c r="Q66" s="110" t="s">
        <v>108</v>
      </c>
      <c r="R66" s="110" t="s">
        <v>109</v>
      </c>
      <c r="S66" s="111" t="s">
        <v>110</v>
      </c>
      <c r="T66" s="111" t="s">
        <v>111</v>
      </c>
      <c r="U66" s="111" t="s">
        <v>103</v>
      </c>
      <c r="V66" s="118">
        <f t="shared" si="2"/>
        <v>8.7336244541484712E-3</v>
      </c>
      <c r="W66" s="114" t="str">
        <f>IFERROR(I66-AVERAGEIFS(I$6:I65,J$6:J65,"ICIS / Platts",B$6:B65,B66),"")</f>
        <v/>
      </c>
      <c r="X66" s="110" t="s">
        <v>113</v>
      </c>
      <c r="Y66" s="117" t="str">
        <f t="shared" si="1"/>
        <v>OK</v>
      </c>
      <c r="Z66" s="111" t="s">
        <v>116</v>
      </c>
      <c r="AA66" s="111" t="s">
        <v>115</v>
      </c>
      <c r="AB66" s="111" t="s">
        <v>115</v>
      </c>
      <c r="AC66" s="111" t="s">
        <v>115</v>
      </c>
      <c r="AD66" s="111"/>
    </row>
    <row r="67" spans="2:30" ht="27.75" customHeight="1" x14ac:dyDescent="0.25">
      <c r="B67" s="115">
        <v>45034</v>
      </c>
      <c r="C67" s="116" t="s">
        <v>117</v>
      </c>
      <c r="D67" s="116">
        <v>16</v>
      </c>
      <c r="E67" s="110" t="str">
        <f t="shared" si="0"/>
        <v>20230418-062</v>
      </c>
      <c r="F67" s="111" t="s">
        <v>98</v>
      </c>
      <c r="G67" s="111" t="s">
        <v>99</v>
      </c>
      <c r="H67" s="112" t="s">
        <v>213</v>
      </c>
      <c r="I67" s="113">
        <v>459.14</v>
      </c>
      <c r="J67" s="111" t="s">
        <v>118</v>
      </c>
      <c r="K67" s="111" t="s">
        <v>215</v>
      </c>
      <c r="L67" s="111" t="s">
        <v>103</v>
      </c>
      <c r="M67" s="111" t="s">
        <v>104</v>
      </c>
      <c r="N67" s="111" t="s">
        <v>120</v>
      </c>
      <c r="O67" s="111" t="s">
        <v>121</v>
      </c>
      <c r="P67" s="111" t="s">
        <v>122</v>
      </c>
      <c r="Q67" s="110" t="s">
        <v>123</v>
      </c>
      <c r="R67" s="110" t="s">
        <v>124</v>
      </c>
      <c r="S67" s="111" t="s">
        <v>110</v>
      </c>
      <c r="T67" s="111" t="s">
        <v>111</v>
      </c>
      <c r="U67" s="111" t="s">
        <v>103</v>
      </c>
      <c r="V67" s="118">
        <f t="shared" si="2"/>
        <v>-1.5608250075039727E-2</v>
      </c>
      <c r="W67" s="114" t="str">
        <f>IFERROR(I67-AVERAGEIFS(I$6:I66,J$6:J66,"ICIS / Platts",B$6:B66,B67),"")</f>
        <v/>
      </c>
      <c r="X67" s="110" t="s">
        <v>125</v>
      </c>
      <c r="Y67" s="117" t="str">
        <f t="shared" si="1"/>
        <v>OK</v>
      </c>
      <c r="Z67" s="111" t="s">
        <v>116</v>
      </c>
      <c r="AA67" s="111" t="s">
        <v>115</v>
      </c>
      <c r="AB67" s="111" t="s">
        <v>115</v>
      </c>
      <c r="AC67" s="111" t="s">
        <v>115</v>
      </c>
      <c r="AD67" s="111"/>
    </row>
    <row r="68" spans="2:30" ht="27.75" customHeight="1" x14ac:dyDescent="0.25">
      <c r="B68" s="108">
        <v>45035</v>
      </c>
      <c r="C68" s="109" t="s">
        <v>126</v>
      </c>
      <c r="D68" s="109">
        <v>16</v>
      </c>
      <c r="E68" s="110" t="str">
        <f t="shared" si="0"/>
        <v>20230419-063</v>
      </c>
      <c r="F68" s="111" t="s">
        <v>98</v>
      </c>
      <c r="G68" s="111" t="s">
        <v>99</v>
      </c>
      <c r="H68" s="112" t="s">
        <v>213</v>
      </c>
      <c r="I68" s="113">
        <v>468.63</v>
      </c>
      <c r="J68" s="111" t="s">
        <v>127</v>
      </c>
      <c r="K68" s="111" t="s">
        <v>216</v>
      </c>
      <c r="L68" s="111" t="s">
        <v>129</v>
      </c>
      <c r="M68" s="111" t="s">
        <v>104</v>
      </c>
      <c r="N68" s="111" t="s">
        <v>130</v>
      </c>
      <c r="O68" s="111" t="s">
        <v>131</v>
      </c>
      <c r="P68" s="111" t="s">
        <v>132</v>
      </c>
      <c r="Q68" s="110" t="s">
        <v>133</v>
      </c>
      <c r="R68" s="110" t="s">
        <v>134</v>
      </c>
      <c r="S68" s="111" t="s">
        <v>135</v>
      </c>
      <c r="T68" s="111" t="s">
        <v>136</v>
      </c>
      <c r="U68" s="111" t="s">
        <v>129</v>
      </c>
      <c r="V68" s="118">
        <f t="shared" si="2"/>
        <v>2.2272152174861434E-2</v>
      </c>
      <c r="W68" s="114" t="str">
        <f>IFERROR(I68-AVERAGEIFS(I$6:I67,J$6:J67,"ICIS / Platts",B$6:B67,B68),"")</f>
        <v/>
      </c>
      <c r="X68" s="110" t="s">
        <v>137</v>
      </c>
      <c r="Y68" s="117" t="str">
        <f t="shared" si="1"/>
        <v>OK</v>
      </c>
      <c r="Z68" s="111" t="s">
        <v>116</v>
      </c>
      <c r="AA68" s="111" t="s">
        <v>115</v>
      </c>
      <c r="AB68" s="111" t="s">
        <v>115</v>
      </c>
      <c r="AC68" s="111" t="s">
        <v>115</v>
      </c>
      <c r="AD68" s="111"/>
    </row>
    <row r="69" spans="2:30" ht="27.75" customHeight="1" x14ac:dyDescent="0.25">
      <c r="B69" s="115">
        <v>45037</v>
      </c>
      <c r="C69" s="116" t="s">
        <v>138</v>
      </c>
      <c r="D69" s="116">
        <v>16</v>
      </c>
      <c r="E69" s="110" t="str">
        <f t="shared" si="0"/>
        <v>20230421-064</v>
      </c>
      <c r="F69" s="111" t="s">
        <v>98</v>
      </c>
      <c r="G69" s="111" t="s">
        <v>99</v>
      </c>
      <c r="H69" s="112" t="s">
        <v>213</v>
      </c>
      <c r="I69" s="113">
        <v>470.74</v>
      </c>
      <c r="J69" s="111" t="s">
        <v>139</v>
      </c>
      <c r="K69" s="111" t="s">
        <v>217</v>
      </c>
      <c r="L69" s="111" t="s">
        <v>103</v>
      </c>
      <c r="M69" s="111" t="s">
        <v>104</v>
      </c>
      <c r="N69" s="111" t="s">
        <v>105</v>
      </c>
      <c r="O69" s="111" t="s">
        <v>106</v>
      </c>
      <c r="P69" s="111" t="s">
        <v>141</v>
      </c>
      <c r="Q69" s="110" t="s">
        <v>133</v>
      </c>
      <c r="R69" s="110" t="s">
        <v>142</v>
      </c>
      <c r="S69" s="111" t="s">
        <v>110</v>
      </c>
      <c r="T69" s="111" t="s">
        <v>111</v>
      </c>
      <c r="U69" s="111" t="s">
        <v>103</v>
      </c>
      <c r="V69" s="118">
        <f t="shared" si="2"/>
        <v>2.3281090363672013E-2</v>
      </c>
      <c r="W69" s="114" t="str">
        <f>IFERROR(I69-AVERAGEIFS(I$6:I68,J$6:J68,"ICIS / Platts",B$6:B68,B69),"")</f>
        <v/>
      </c>
      <c r="X69" s="110" t="s">
        <v>125</v>
      </c>
      <c r="Y69" s="117" t="str">
        <f t="shared" si="1"/>
        <v>OK</v>
      </c>
      <c r="Z69" s="111" t="s">
        <v>116</v>
      </c>
      <c r="AA69" s="111" t="s">
        <v>115</v>
      </c>
      <c r="AB69" s="111" t="s">
        <v>115</v>
      </c>
      <c r="AC69" s="111" t="s">
        <v>115</v>
      </c>
      <c r="AD69" s="111"/>
    </row>
    <row r="70" spans="2:30" ht="27.75" customHeight="1" x14ac:dyDescent="0.25">
      <c r="B70" s="108">
        <v>45040</v>
      </c>
      <c r="C70" s="109" t="s">
        <v>97</v>
      </c>
      <c r="D70" s="109">
        <v>17</v>
      </c>
      <c r="E70" s="110" t="str">
        <f t="shared" ref="E70:E133" si="3">TEXT(B70,"YYYYMMDD")&amp;"-"&amp;TEXT(ROW()-5,"000")</f>
        <v>20230424-065</v>
      </c>
      <c r="F70" s="111" t="s">
        <v>98</v>
      </c>
      <c r="G70" s="111" t="s">
        <v>99</v>
      </c>
      <c r="H70" s="112" t="s">
        <v>218</v>
      </c>
      <c r="I70" s="113">
        <v>465</v>
      </c>
      <c r="J70" s="111" t="s">
        <v>101</v>
      </c>
      <c r="K70" s="111" t="s">
        <v>219</v>
      </c>
      <c r="L70" s="111" t="s">
        <v>103</v>
      </c>
      <c r="M70" s="111" t="s">
        <v>104</v>
      </c>
      <c r="N70" s="111" t="s">
        <v>105</v>
      </c>
      <c r="O70" s="111" t="s">
        <v>106</v>
      </c>
      <c r="P70" s="111" t="s">
        <v>107</v>
      </c>
      <c r="Q70" s="110" t="s">
        <v>108</v>
      </c>
      <c r="R70" s="110" t="s">
        <v>109</v>
      </c>
      <c r="S70" s="111" t="s">
        <v>110</v>
      </c>
      <c r="T70" s="111" t="s">
        <v>111</v>
      </c>
      <c r="U70" s="111" t="s">
        <v>103</v>
      </c>
      <c r="V70" s="118">
        <f t="shared" si="2"/>
        <v>6.4935064935064939E-3</v>
      </c>
      <c r="W70" s="114" t="str">
        <f>IFERROR(I70-AVERAGEIFS(I$6:I69,J$6:J69,"ICIS / Platts",B$6:B69,B70),"")</f>
        <v/>
      </c>
      <c r="X70" s="110" t="s">
        <v>113</v>
      </c>
      <c r="Y70" s="117" t="str">
        <f t="shared" si="1"/>
        <v>OK</v>
      </c>
      <c r="Z70" s="111" t="s">
        <v>116</v>
      </c>
      <c r="AA70" s="111" t="s">
        <v>115</v>
      </c>
      <c r="AB70" s="111" t="s">
        <v>115</v>
      </c>
      <c r="AC70" s="111" t="s">
        <v>115</v>
      </c>
      <c r="AD70" s="111"/>
    </row>
    <row r="71" spans="2:30" ht="27.75" customHeight="1" x14ac:dyDescent="0.25">
      <c r="B71" s="115">
        <v>45041</v>
      </c>
      <c r="C71" s="116" t="s">
        <v>117</v>
      </c>
      <c r="D71" s="116">
        <v>17</v>
      </c>
      <c r="E71" s="110" t="str">
        <f t="shared" si="3"/>
        <v>20230425-066</v>
      </c>
      <c r="F71" s="111" t="s">
        <v>98</v>
      </c>
      <c r="G71" s="111" t="s">
        <v>99</v>
      </c>
      <c r="H71" s="112" t="s">
        <v>218</v>
      </c>
      <c r="I71" s="113">
        <v>479.04</v>
      </c>
      <c r="J71" s="111" t="s">
        <v>118</v>
      </c>
      <c r="K71" s="111" t="s">
        <v>220</v>
      </c>
      <c r="L71" s="111" t="s">
        <v>103</v>
      </c>
      <c r="M71" s="111" t="s">
        <v>104</v>
      </c>
      <c r="N71" s="111" t="s">
        <v>120</v>
      </c>
      <c r="O71" s="111" t="s">
        <v>121</v>
      </c>
      <c r="P71" s="111" t="s">
        <v>122</v>
      </c>
      <c r="Q71" s="110" t="s">
        <v>123</v>
      </c>
      <c r="R71" s="110" t="s">
        <v>124</v>
      </c>
      <c r="S71" s="111" t="s">
        <v>110</v>
      </c>
      <c r="T71" s="111" t="s">
        <v>111</v>
      </c>
      <c r="U71" s="111" t="s">
        <v>103</v>
      </c>
      <c r="V71" s="118">
        <f t="shared" si="2"/>
        <v>4.3341900074051566E-2</v>
      </c>
      <c r="W71" s="114" t="str">
        <f>IFERROR(I71-AVERAGEIFS(I$6:I70,J$6:J70,"ICIS / Platts",B$6:B70,B71),"")</f>
        <v/>
      </c>
      <c r="X71" s="110" t="s">
        <v>125</v>
      </c>
      <c r="Y71" s="117" t="str">
        <f t="shared" si="1"/>
        <v>OK</v>
      </c>
      <c r="Z71" s="111" t="s">
        <v>116</v>
      </c>
      <c r="AA71" s="111" t="s">
        <v>115</v>
      </c>
      <c r="AB71" s="111" t="s">
        <v>115</v>
      </c>
      <c r="AC71" s="111" t="s">
        <v>115</v>
      </c>
      <c r="AD71" s="111"/>
    </row>
    <row r="72" spans="2:30" ht="27.75" customHeight="1" x14ac:dyDescent="0.25">
      <c r="B72" s="108">
        <v>45042</v>
      </c>
      <c r="C72" s="109" t="s">
        <v>126</v>
      </c>
      <c r="D72" s="109">
        <v>17</v>
      </c>
      <c r="E72" s="110" t="str">
        <f t="shared" si="3"/>
        <v>20230426-067</v>
      </c>
      <c r="F72" s="111" t="s">
        <v>98</v>
      </c>
      <c r="G72" s="111" t="s">
        <v>99</v>
      </c>
      <c r="H72" s="112" t="s">
        <v>218</v>
      </c>
      <c r="I72" s="113">
        <v>472.13</v>
      </c>
      <c r="J72" s="111" t="s">
        <v>127</v>
      </c>
      <c r="K72" s="111" t="s">
        <v>221</v>
      </c>
      <c r="L72" s="111" t="s">
        <v>129</v>
      </c>
      <c r="M72" s="111" t="s">
        <v>104</v>
      </c>
      <c r="N72" s="111" t="s">
        <v>130</v>
      </c>
      <c r="O72" s="111" t="s">
        <v>131</v>
      </c>
      <c r="P72" s="111" t="s">
        <v>132</v>
      </c>
      <c r="Q72" s="110" t="s">
        <v>133</v>
      </c>
      <c r="R72" s="110" t="s">
        <v>134</v>
      </c>
      <c r="S72" s="111" t="s">
        <v>135</v>
      </c>
      <c r="T72" s="111" t="s">
        <v>136</v>
      </c>
      <c r="U72" s="111" t="s">
        <v>129</v>
      </c>
      <c r="V72" s="118">
        <f t="shared" si="2"/>
        <v>7.4685786227941019E-3</v>
      </c>
      <c r="W72" s="114" t="str">
        <f>IFERROR(I72-AVERAGEIFS(I$6:I71,J$6:J71,"ICIS / Platts",B$6:B71,B72),"")</f>
        <v/>
      </c>
      <c r="X72" s="110" t="s">
        <v>137</v>
      </c>
      <c r="Y72" s="117" t="str">
        <f t="shared" si="1"/>
        <v>OK</v>
      </c>
      <c r="Z72" s="111" t="s">
        <v>116</v>
      </c>
      <c r="AA72" s="111" t="s">
        <v>115</v>
      </c>
      <c r="AB72" s="111" t="s">
        <v>115</v>
      </c>
      <c r="AC72" s="111" t="s">
        <v>115</v>
      </c>
      <c r="AD72" s="111"/>
    </row>
    <row r="73" spans="2:30" ht="27.75" customHeight="1" x14ac:dyDescent="0.25">
      <c r="B73" s="115">
        <v>45044</v>
      </c>
      <c r="C73" s="116" t="s">
        <v>138</v>
      </c>
      <c r="D73" s="116">
        <v>17</v>
      </c>
      <c r="E73" s="110" t="str">
        <f t="shared" si="3"/>
        <v>20230428-068</v>
      </c>
      <c r="F73" s="111" t="s">
        <v>98</v>
      </c>
      <c r="G73" s="111" t="s">
        <v>99</v>
      </c>
      <c r="H73" s="112" t="s">
        <v>218</v>
      </c>
      <c r="I73" s="113">
        <v>461.39</v>
      </c>
      <c r="J73" s="111" t="s">
        <v>139</v>
      </c>
      <c r="K73" s="111" t="s">
        <v>222</v>
      </c>
      <c r="L73" s="111" t="s">
        <v>103</v>
      </c>
      <c r="M73" s="111" t="s">
        <v>104</v>
      </c>
      <c r="N73" s="111" t="s">
        <v>105</v>
      </c>
      <c r="O73" s="111" t="s">
        <v>106</v>
      </c>
      <c r="P73" s="111" t="s">
        <v>141</v>
      </c>
      <c r="Q73" s="110" t="s">
        <v>133</v>
      </c>
      <c r="R73" s="110" t="s">
        <v>142</v>
      </c>
      <c r="S73" s="111" t="s">
        <v>110</v>
      </c>
      <c r="T73" s="111" t="s">
        <v>111</v>
      </c>
      <c r="U73" s="111" t="s">
        <v>103</v>
      </c>
      <c r="V73" s="118">
        <f t="shared" si="2"/>
        <v>-1.9862344393933005E-2</v>
      </c>
      <c r="W73" s="114" t="str">
        <f>IFERROR(I73-AVERAGEIFS(I$6:I72,J$6:J72,"ICIS / Platts",B$6:B72,B73),"")</f>
        <v/>
      </c>
      <c r="X73" s="110" t="s">
        <v>125</v>
      </c>
      <c r="Y73" s="117" t="str">
        <f t="shared" si="1"/>
        <v>OK</v>
      </c>
      <c r="Z73" s="111" t="s">
        <v>116</v>
      </c>
      <c r="AA73" s="111" t="s">
        <v>115</v>
      </c>
      <c r="AB73" s="111" t="s">
        <v>115</v>
      </c>
      <c r="AC73" s="111" t="s">
        <v>115</v>
      </c>
      <c r="AD73" s="111"/>
    </row>
    <row r="74" spans="2:30" ht="27.75" customHeight="1" x14ac:dyDescent="0.25">
      <c r="B74" s="108">
        <v>45047</v>
      </c>
      <c r="C74" s="109" t="s">
        <v>97</v>
      </c>
      <c r="D74" s="109">
        <v>18</v>
      </c>
      <c r="E74" s="110" t="str">
        <f t="shared" si="3"/>
        <v>20230501-069</v>
      </c>
      <c r="F74" s="111" t="s">
        <v>98</v>
      </c>
      <c r="G74" s="111" t="s">
        <v>99</v>
      </c>
      <c r="H74" s="112" t="s">
        <v>223</v>
      </c>
      <c r="I74" s="113">
        <v>463</v>
      </c>
      <c r="J74" s="111" t="s">
        <v>101</v>
      </c>
      <c r="K74" s="111" t="s">
        <v>224</v>
      </c>
      <c r="L74" s="111" t="s">
        <v>103</v>
      </c>
      <c r="M74" s="111" t="s">
        <v>104</v>
      </c>
      <c r="N74" s="111" t="s">
        <v>105</v>
      </c>
      <c r="O74" s="111" t="s">
        <v>106</v>
      </c>
      <c r="P74" s="111" t="s">
        <v>107</v>
      </c>
      <c r="Q74" s="110" t="s">
        <v>108</v>
      </c>
      <c r="R74" s="110" t="s">
        <v>109</v>
      </c>
      <c r="S74" s="111" t="s">
        <v>110</v>
      </c>
      <c r="T74" s="111" t="s">
        <v>111</v>
      </c>
      <c r="U74" s="111" t="s">
        <v>103</v>
      </c>
      <c r="V74" s="118">
        <f t="shared" si="2"/>
        <v>-4.3010752688172043E-3</v>
      </c>
      <c r="W74" s="114" t="str">
        <f>IFERROR(I74-AVERAGEIFS(I$6:I73,J$6:J73,"ICIS / Platts",B$6:B73,B74),"")</f>
        <v/>
      </c>
      <c r="X74" s="110" t="s">
        <v>113</v>
      </c>
      <c r="Y74" s="117" t="str">
        <f t="shared" si="1"/>
        <v>OK</v>
      </c>
      <c r="Z74" s="111" t="s">
        <v>115</v>
      </c>
      <c r="AA74" s="111" t="s">
        <v>115</v>
      </c>
      <c r="AB74" s="111" t="s">
        <v>115</v>
      </c>
      <c r="AC74" s="111" t="s">
        <v>115</v>
      </c>
      <c r="AD74" s="111"/>
    </row>
    <row r="75" spans="2:30" ht="27.75" customHeight="1" x14ac:dyDescent="0.25">
      <c r="B75" s="115">
        <v>45048</v>
      </c>
      <c r="C75" s="116" t="s">
        <v>117</v>
      </c>
      <c r="D75" s="116">
        <v>18</v>
      </c>
      <c r="E75" s="110" t="str">
        <f t="shared" si="3"/>
        <v>20230502-070</v>
      </c>
      <c r="F75" s="111" t="s">
        <v>98</v>
      </c>
      <c r="G75" s="111" t="s">
        <v>99</v>
      </c>
      <c r="H75" s="112" t="s">
        <v>223</v>
      </c>
      <c r="I75" s="113">
        <v>467.41</v>
      </c>
      <c r="J75" s="111" t="s">
        <v>118</v>
      </c>
      <c r="K75" s="111" t="s">
        <v>225</v>
      </c>
      <c r="L75" s="111" t="s">
        <v>103</v>
      </c>
      <c r="M75" s="111" t="s">
        <v>104</v>
      </c>
      <c r="N75" s="111" t="s">
        <v>120</v>
      </c>
      <c r="O75" s="111" t="s">
        <v>121</v>
      </c>
      <c r="P75" s="111" t="s">
        <v>122</v>
      </c>
      <c r="Q75" s="110" t="s">
        <v>123</v>
      </c>
      <c r="R75" s="110" t="s">
        <v>124</v>
      </c>
      <c r="S75" s="111" t="s">
        <v>110</v>
      </c>
      <c r="T75" s="111" t="s">
        <v>111</v>
      </c>
      <c r="U75" s="111" t="s">
        <v>103</v>
      </c>
      <c r="V75" s="118">
        <f t="shared" si="2"/>
        <v>-2.4277722110888432E-2</v>
      </c>
      <c r="W75" s="114" t="str">
        <f>IFERROR(I75-AVERAGEIFS(I$6:I74,J$6:J74,"ICIS / Platts",B$6:B74,B75),"")</f>
        <v/>
      </c>
      <c r="X75" s="110" t="s">
        <v>125</v>
      </c>
      <c r="Y75" s="117" t="str">
        <f t="shared" si="1"/>
        <v>OK</v>
      </c>
      <c r="Z75" s="111" t="s">
        <v>115</v>
      </c>
      <c r="AA75" s="111" t="s">
        <v>115</v>
      </c>
      <c r="AB75" s="111" t="s">
        <v>115</v>
      </c>
      <c r="AC75" s="111" t="s">
        <v>115</v>
      </c>
      <c r="AD75" s="111"/>
    </row>
    <row r="76" spans="2:30" ht="27.75" customHeight="1" x14ac:dyDescent="0.25">
      <c r="B76" s="108">
        <v>45049</v>
      </c>
      <c r="C76" s="109" t="s">
        <v>126</v>
      </c>
      <c r="D76" s="109">
        <v>18</v>
      </c>
      <c r="E76" s="110" t="str">
        <f t="shared" si="3"/>
        <v>20230503-071</v>
      </c>
      <c r="F76" s="111" t="s">
        <v>98</v>
      </c>
      <c r="G76" s="111" t="s">
        <v>99</v>
      </c>
      <c r="H76" s="112" t="s">
        <v>223</v>
      </c>
      <c r="I76" s="113">
        <v>471.46</v>
      </c>
      <c r="J76" s="111" t="s">
        <v>127</v>
      </c>
      <c r="K76" s="111" t="s">
        <v>226</v>
      </c>
      <c r="L76" s="111" t="s">
        <v>129</v>
      </c>
      <c r="M76" s="111" t="s">
        <v>104</v>
      </c>
      <c r="N76" s="111" t="s">
        <v>130</v>
      </c>
      <c r="O76" s="111" t="s">
        <v>131</v>
      </c>
      <c r="P76" s="111" t="s">
        <v>132</v>
      </c>
      <c r="Q76" s="110" t="s">
        <v>133</v>
      </c>
      <c r="R76" s="110" t="s">
        <v>134</v>
      </c>
      <c r="S76" s="111" t="s">
        <v>135</v>
      </c>
      <c r="T76" s="111" t="s">
        <v>136</v>
      </c>
      <c r="U76" s="111" t="s">
        <v>129</v>
      </c>
      <c r="V76" s="118">
        <f t="shared" si="2"/>
        <v>-1.4191006714252767E-3</v>
      </c>
      <c r="W76" s="114" t="str">
        <f>IFERROR(I76-AVERAGEIFS(I$6:I75,J$6:J75,"ICIS / Platts",B$6:B75,B76),"")</f>
        <v/>
      </c>
      <c r="X76" s="110" t="s">
        <v>137</v>
      </c>
      <c r="Y76" s="117" t="str">
        <f t="shared" si="1"/>
        <v>OK</v>
      </c>
      <c r="Z76" s="111" t="s">
        <v>115</v>
      </c>
      <c r="AA76" s="111" t="s">
        <v>115</v>
      </c>
      <c r="AB76" s="111" t="s">
        <v>115</v>
      </c>
      <c r="AC76" s="111" t="s">
        <v>115</v>
      </c>
      <c r="AD76" s="111"/>
    </row>
    <row r="77" spans="2:30" ht="27.75" customHeight="1" x14ac:dyDescent="0.25">
      <c r="B77" s="115">
        <v>45051</v>
      </c>
      <c r="C77" s="116" t="s">
        <v>138</v>
      </c>
      <c r="D77" s="116">
        <v>18</v>
      </c>
      <c r="E77" s="110" t="str">
        <f t="shared" si="3"/>
        <v>20230505-072</v>
      </c>
      <c r="F77" s="111" t="s">
        <v>98</v>
      </c>
      <c r="G77" s="111" t="s">
        <v>99</v>
      </c>
      <c r="H77" s="112" t="s">
        <v>223</v>
      </c>
      <c r="I77" s="113">
        <v>464.12</v>
      </c>
      <c r="J77" s="111" t="s">
        <v>139</v>
      </c>
      <c r="K77" s="111" t="s">
        <v>227</v>
      </c>
      <c r="L77" s="111" t="s">
        <v>103</v>
      </c>
      <c r="M77" s="111" t="s">
        <v>104</v>
      </c>
      <c r="N77" s="111" t="s">
        <v>105</v>
      </c>
      <c r="O77" s="111" t="s">
        <v>106</v>
      </c>
      <c r="P77" s="111" t="s">
        <v>141</v>
      </c>
      <c r="Q77" s="110" t="s">
        <v>133</v>
      </c>
      <c r="R77" s="110" t="s">
        <v>142</v>
      </c>
      <c r="S77" s="111" t="s">
        <v>110</v>
      </c>
      <c r="T77" s="111" t="s">
        <v>111</v>
      </c>
      <c r="U77" s="111" t="s">
        <v>103</v>
      </c>
      <c r="V77" s="118">
        <f t="shared" si="2"/>
        <v>5.9169032705520671E-3</v>
      </c>
      <c r="W77" s="114" t="str">
        <f>IFERROR(I77-AVERAGEIFS(I$6:I76,J$6:J76,"ICIS / Platts",B$6:B76,B77),"")</f>
        <v/>
      </c>
      <c r="X77" s="110" t="s">
        <v>125</v>
      </c>
      <c r="Y77" s="117" t="str">
        <f t="shared" si="1"/>
        <v>OK</v>
      </c>
      <c r="Z77" s="111" t="s">
        <v>115</v>
      </c>
      <c r="AA77" s="111" t="s">
        <v>115</v>
      </c>
      <c r="AB77" s="111" t="s">
        <v>115</v>
      </c>
      <c r="AC77" s="111" t="s">
        <v>115</v>
      </c>
      <c r="AD77" s="111"/>
    </row>
    <row r="78" spans="2:30" ht="27.75" customHeight="1" x14ac:dyDescent="0.25">
      <c r="B78" s="108">
        <v>45054</v>
      </c>
      <c r="C78" s="109" t="s">
        <v>97</v>
      </c>
      <c r="D78" s="109">
        <v>19</v>
      </c>
      <c r="E78" s="110" t="str">
        <f t="shared" si="3"/>
        <v>20230508-073</v>
      </c>
      <c r="F78" s="111" t="s">
        <v>98</v>
      </c>
      <c r="G78" s="111" t="s">
        <v>99</v>
      </c>
      <c r="H78" s="112" t="s">
        <v>228</v>
      </c>
      <c r="I78" s="113">
        <v>461</v>
      </c>
      <c r="J78" s="111" t="s">
        <v>101</v>
      </c>
      <c r="K78" s="111" t="s">
        <v>229</v>
      </c>
      <c r="L78" s="111" t="s">
        <v>103</v>
      </c>
      <c r="M78" s="111" t="s">
        <v>104</v>
      </c>
      <c r="N78" s="111" t="s">
        <v>105</v>
      </c>
      <c r="O78" s="111" t="s">
        <v>106</v>
      </c>
      <c r="P78" s="111" t="s">
        <v>107</v>
      </c>
      <c r="Q78" s="110" t="s">
        <v>108</v>
      </c>
      <c r="R78" s="110" t="s">
        <v>109</v>
      </c>
      <c r="S78" s="111" t="s">
        <v>110</v>
      </c>
      <c r="T78" s="111" t="s">
        <v>111</v>
      </c>
      <c r="U78" s="111" t="s">
        <v>103</v>
      </c>
      <c r="V78" s="118">
        <f t="shared" si="2"/>
        <v>-4.3196544276457886E-3</v>
      </c>
      <c r="W78" s="114" t="str">
        <f>IFERROR(I78-AVERAGEIFS(I$6:I77,J$6:J77,"ICIS / Platts",B$6:B77,B78),"")</f>
        <v/>
      </c>
      <c r="X78" s="110" t="s">
        <v>113</v>
      </c>
      <c r="Y78" s="117" t="str">
        <f t="shared" si="1"/>
        <v>OK</v>
      </c>
      <c r="Z78" s="111" t="s">
        <v>115</v>
      </c>
      <c r="AA78" s="111" t="s">
        <v>115</v>
      </c>
      <c r="AB78" s="111" t="s">
        <v>115</v>
      </c>
      <c r="AC78" s="111" t="s">
        <v>116</v>
      </c>
      <c r="AD78" s="111"/>
    </row>
    <row r="79" spans="2:30" ht="27.75" customHeight="1" x14ac:dyDescent="0.25">
      <c r="B79" s="115">
        <v>45055</v>
      </c>
      <c r="C79" s="116" t="s">
        <v>117</v>
      </c>
      <c r="D79" s="116">
        <v>19</v>
      </c>
      <c r="E79" s="110" t="str">
        <f t="shared" si="3"/>
        <v>20230509-074</v>
      </c>
      <c r="F79" s="111" t="s">
        <v>98</v>
      </c>
      <c r="G79" s="111" t="s">
        <v>99</v>
      </c>
      <c r="H79" s="112" t="s">
        <v>228</v>
      </c>
      <c r="I79" s="113">
        <v>465.69</v>
      </c>
      <c r="J79" s="111" t="s">
        <v>118</v>
      </c>
      <c r="K79" s="111" t="s">
        <v>230</v>
      </c>
      <c r="L79" s="111" t="s">
        <v>103</v>
      </c>
      <c r="M79" s="111" t="s">
        <v>104</v>
      </c>
      <c r="N79" s="111" t="s">
        <v>120</v>
      </c>
      <c r="O79" s="111" t="s">
        <v>121</v>
      </c>
      <c r="P79" s="111" t="s">
        <v>122</v>
      </c>
      <c r="Q79" s="110" t="s">
        <v>123</v>
      </c>
      <c r="R79" s="110" t="s">
        <v>124</v>
      </c>
      <c r="S79" s="111" t="s">
        <v>110</v>
      </c>
      <c r="T79" s="111" t="s">
        <v>111</v>
      </c>
      <c r="U79" s="111" t="s">
        <v>103</v>
      </c>
      <c r="V79" s="118">
        <f t="shared" si="2"/>
        <v>-3.6798528058878226E-3</v>
      </c>
      <c r="W79" s="114" t="str">
        <f>IFERROR(I79-AVERAGEIFS(I$6:I78,J$6:J78,"ICIS / Platts",B$6:B78,B79),"")</f>
        <v/>
      </c>
      <c r="X79" s="110" t="s">
        <v>125</v>
      </c>
      <c r="Y79" s="117" t="str">
        <f t="shared" si="1"/>
        <v>OK</v>
      </c>
      <c r="Z79" s="111" t="s">
        <v>115</v>
      </c>
      <c r="AA79" s="111" t="s">
        <v>115</v>
      </c>
      <c r="AB79" s="111" t="s">
        <v>115</v>
      </c>
      <c r="AC79" s="111" t="s">
        <v>116</v>
      </c>
      <c r="AD79" s="111"/>
    </row>
    <row r="80" spans="2:30" ht="27.75" customHeight="1" x14ac:dyDescent="0.25">
      <c r="B80" s="108">
        <v>45056</v>
      </c>
      <c r="C80" s="109" t="s">
        <v>126</v>
      </c>
      <c r="D80" s="109">
        <v>19</v>
      </c>
      <c r="E80" s="110" t="str">
        <f t="shared" si="3"/>
        <v>20230510-075</v>
      </c>
      <c r="F80" s="111" t="s">
        <v>98</v>
      </c>
      <c r="G80" s="111" t="s">
        <v>99</v>
      </c>
      <c r="H80" s="112" t="s">
        <v>228</v>
      </c>
      <c r="I80" s="113">
        <v>462.46</v>
      </c>
      <c r="J80" s="111" t="s">
        <v>127</v>
      </c>
      <c r="K80" s="111" t="s">
        <v>231</v>
      </c>
      <c r="L80" s="111" t="s">
        <v>129</v>
      </c>
      <c r="M80" s="111" t="s">
        <v>104</v>
      </c>
      <c r="N80" s="111" t="s">
        <v>130</v>
      </c>
      <c r="O80" s="111" t="s">
        <v>131</v>
      </c>
      <c r="P80" s="111" t="s">
        <v>132</v>
      </c>
      <c r="Q80" s="110" t="s">
        <v>133</v>
      </c>
      <c r="R80" s="110" t="s">
        <v>134</v>
      </c>
      <c r="S80" s="111" t="s">
        <v>135</v>
      </c>
      <c r="T80" s="111" t="s">
        <v>136</v>
      </c>
      <c r="U80" s="111" t="s">
        <v>129</v>
      </c>
      <c r="V80" s="118">
        <f t="shared" si="2"/>
        <v>-1.9089636448479195E-2</v>
      </c>
      <c r="W80" s="114" t="str">
        <f>IFERROR(I80-AVERAGEIFS(I$6:I79,J$6:J79,"ICIS / Platts",B$6:B79,B80),"")</f>
        <v/>
      </c>
      <c r="X80" s="110" t="s">
        <v>137</v>
      </c>
      <c r="Y80" s="117" t="str">
        <f t="shared" si="1"/>
        <v>OK</v>
      </c>
      <c r="Z80" s="111" t="s">
        <v>115</v>
      </c>
      <c r="AA80" s="111" t="s">
        <v>115</v>
      </c>
      <c r="AB80" s="111" t="s">
        <v>115</v>
      </c>
      <c r="AC80" s="111" t="s">
        <v>116</v>
      </c>
      <c r="AD80" s="111"/>
    </row>
    <row r="81" spans="2:30" ht="27.75" customHeight="1" x14ac:dyDescent="0.25">
      <c r="B81" s="115">
        <v>45058</v>
      </c>
      <c r="C81" s="116" t="s">
        <v>138</v>
      </c>
      <c r="D81" s="116">
        <v>19</v>
      </c>
      <c r="E81" s="110" t="str">
        <f t="shared" si="3"/>
        <v>20230512-076</v>
      </c>
      <c r="F81" s="111" t="s">
        <v>98</v>
      </c>
      <c r="G81" s="111" t="s">
        <v>99</v>
      </c>
      <c r="H81" s="112" t="s">
        <v>228</v>
      </c>
      <c r="I81" s="113">
        <v>459.45</v>
      </c>
      <c r="J81" s="111" t="s">
        <v>139</v>
      </c>
      <c r="K81" s="111" t="s">
        <v>232</v>
      </c>
      <c r="L81" s="111" t="s">
        <v>103</v>
      </c>
      <c r="M81" s="111" t="s">
        <v>104</v>
      </c>
      <c r="N81" s="111" t="s">
        <v>105</v>
      </c>
      <c r="O81" s="111" t="s">
        <v>106</v>
      </c>
      <c r="P81" s="111" t="s">
        <v>141</v>
      </c>
      <c r="Q81" s="110" t="s">
        <v>133</v>
      </c>
      <c r="R81" s="110" t="s">
        <v>142</v>
      </c>
      <c r="S81" s="111" t="s">
        <v>110</v>
      </c>
      <c r="T81" s="111" t="s">
        <v>111</v>
      </c>
      <c r="U81" s="111" t="s">
        <v>103</v>
      </c>
      <c r="V81" s="118">
        <f t="shared" si="2"/>
        <v>-1.0062052917348996E-2</v>
      </c>
      <c r="W81" s="114" t="str">
        <f>IFERROR(I81-AVERAGEIFS(I$6:I80,J$6:J80,"ICIS / Platts",B$6:B80,B81),"")</f>
        <v/>
      </c>
      <c r="X81" s="110" t="s">
        <v>125</v>
      </c>
      <c r="Y81" s="117" t="str">
        <f t="shared" si="1"/>
        <v>OK</v>
      </c>
      <c r="Z81" s="111" t="s">
        <v>115</v>
      </c>
      <c r="AA81" s="111" t="s">
        <v>115</v>
      </c>
      <c r="AB81" s="111" t="s">
        <v>115</v>
      </c>
      <c r="AC81" s="111" t="s">
        <v>116</v>
      </c>
      <c r="AD81" s="111"/>
    </row>
    <row r="82" spans="2:30" ht="27.75" customHeight="1" x14ac:dyDescent="0.25">
      <c r="B82" s="108">
        <v>45061</v>
      </c>
      <c r="C82" s="109" t="s">
        <v>97</v>
      </c>
      <c r="D82" s="109">
        <v>20</v>
      </c>
      <c r="E82" s="110" t="str">
        <f t="shared" si="3"/>
        <v>20230515-077</v>
      </c>
      <c r="F82" s="111" t="s">
        <v>98</v>
      </c>
      <c r="G82" s="111" t="s">
        <v>99</v>
      </c>
      <c r="H82" s="112" t="s">
        <v>233</v>
      </c>
      <c r="I82" s="113">
        <v>460</v>
      </c>
      <c r="J82" s="111" t="s">
        <v>101</v>
      </c>
      <c r="K82" s="111" t="s">
        <v>234</v>
      </c>
      <c r="L82" s="111" t="s">
        <v>103</v>
      </c>
      <c r="M82" s="111" t="s">
        <v>104</v>
      </c>
      <c r="N82" s="111" t="s">
        <v>105</v>
      </c>
      <c r="O82" s="111" t="s">
        <v>106</v>
      </c>
      <c r="P82" s="111" t="s">
        <v>107</v>
      </c>
      <c r="Q82" s="110" t="s">
        <v>108</v>
      </c>
      <c r="R82" s="110" t="s">
        <v>109</v>
      </c>
      <c r="S82" s="111" t="s">
        <v>110</v>
      </c>
      <c r="T82" s="111" t="s">
        <v>111</v>
      </c>
      <c r="U82" s="111" t="s">
        <v>103</v>
      </c>
      <c r="V82" s="118">
        <f t="shared" si="2"/>
        <v>-2.1691973969631237E-3</v>
      </c>
      <c r="W82" s="114" t="str">
        <f>IFERROR(I82-AVERAGEIFS(I$6:I81,J$6:J81,"ICIS / Platts",B$6:B81,B82),"")</f>
        <v/>
      </c>
      <c r="X82" s="110" t="s">
        <v>113</v>
      </c>
      <c r="Y82" s="117" t="str">
        <f t="shared" si="1"/>
        <v>OK</v>
      </c>
      <c r="Z82" s="111" t="s">
        <v>115</v>
      </c>
      <c r="AA82" s="111" t="s">
        <v>115</v>
      </c>
      <c r="AB82" s="111" t="s">
        <v>115</v>
      </c>
      <c r="AC82" s="111" t="s">
        <v>116</v>
      </c>
      <c r="AD82" s="111"/>
    </row>
    <row r="83" spans="2:30" ht="27.75" customHeight="1" x14ac:dyDescent="0.25">
      <c r="B83" s="115">
        <v>45062</v>
      </c>
      <c r="C83" s="116" t="s">
        <v>117</v>
      </c>
      <c r="D83" s="116">
        <v>20</v>
      </c>
      <c r="E83" s="110" t="str">
        <f t="shared" si="3"/>
        <v>20230516-078</v>
      </c>
      <c r="F83" s="111" t="s">
        <v>98</v>
      </c>
      <c r="G83" s="111" t="s">
        <v>99</v>
      </c>
      <c r="H83" s="112" t="s">
        <v>233</v>
      </c>
      <c r="I83" s="113">
        <v>469.9</v>
      </c>
      <c r="J83" s="111" t="s">
        <v>118</v>
      </c>
      <c r="K83" s="111" t="s">
        <v>235</v>
      </c>
      <c r="L83" s="111" t="s">
        <v>103</v>
      </c>
      <c r="M83" s="111" t="s">
        <v>104</v>
      </c>
      <c r="N83" s="111" t="s">
        <v>120</v>
      </c>
      <c r="O83" s="111" t="s">
        <v>121</v>
      </c>
      <c r="P83" s="111" t="s">
        <v>122</v>
      </c>
      <c r="Q83" s="110" t="s">
        <v>123</v>
      </c>
      <c r="R83" s="110" t="s">
        <v>124</v>
      </c>
      <c r="S83" s="111" t="s">
        <v>110</v>
      </c>
      <c r="T83" s="111" t="s">
        <v>111</v>
      </c>
      <c r="U83" s="111" t="s">
        <v>103</v>
      </c>
      <c r="V83" s="118">
        <f t="shared" si="2"/>
        <v>9.0403487298416959E-3</v>
      </c>
      <c r="W83" s="114" t="str">
        <f>IFERROR(I83-AVERAGEIFS(I$6:I82,J$6:J82,"ICIS / Platts",B$6:B82,B83),"")</f>
        <v/>
      </c>
      <c r="X83" s="110" t="s">
        <v>125</v>
      </c>
      <c r="Y83" s="117" t="str">
        <f t="shared" si="1"/>
        <v>OK</v>
      </c>
      <c r="Z83" s="111" t="s">
        <v>115</v>
      </c>
      <c r="AA83" s="111" t="s">
        <v>115</v>
      </c>
      <c r="AB83" s="111" t="s">
        <v>115</v>
      </c>
      <c r="AC83" s="111" t="s">
        <v>116</v>
      </c>
      <c r="AD83" s="111"/>
    </row>
    <row r="84" spans="2:30" ht="27.75" customHeight="1" x14ac:dyDescent="0.25">
      <c r="B84" s="108">
        <v>45063</v>
      </c>
      <c r="C84" s="109" t="s">
        <v>126</v>
      </c>
      <c r="D84" s="109">
        <v>20</v>
      </c>
      <c r="E84" s="110" t="str">
        <f t="shared" si="3"/>
        <v>20230517-079</v>
      </c>
      <c r="F84" s="111" t="s">
        <v>98</v>
      </c>
      <c r="G84" s="111" t="s">
        <v>99</v>
      </c>
      <c r="H84" s="112" t="s">
        <v>233</v>
      </c>
      <c r="I84" s="113">
        <v>452.55</v>
      </c>
      <c r="J84" s="111" t="s">
        <v>127</v>
      </c>
      <c r="K84" s="111" t="s">
        <v>236</v>
      </c>
      <c r="L84" s="111" t="s">
        <v>129</v>
      </c>
      <c r="M84" s="111" t="s">
        <v>104</v>
      </c>
      <c r="N84" s="111" t="s">
        <v>130</v>
      </c>
      <c r="O84" s="111" t="s">
        <v>131</v>
      </c>
      <c r="P84" s="111" t="s">
        <v>132</v>
      </c>
      <c r="Q84" s="110" t="s">
        <v>133</v>
      </c>
      <c r="R84" s="110" t="s">
        <v>134</v>
      </c>
      <c r="S84" s="111" t="s">
        <v>135</v>
      </c>
      <c r="T84" s="111" t="s">
        <v>136</v>
      </c>
      <c r="U84" s="111" t="s">
        <v>129</v>
      </c>
      <c r="V84" s="118">
        <f t="shared" si="2"/>
        <v>-2.1428880335596524E-2</v>
      </c>
      <c r="W84" s="114" t="str">
        <f>IFERROR(I84-AVERAGEIFS(I$6:I83,J$6:J83,"ICIS / Platts",B$6:B83,B84),"")</f>
        <v/>
      </c>
      <c r="X84" s="110" t="s">
        <v>137</v>
      </c>
      <c r="Y84" s="117" t="str">
        <f t="shared" si="1"/>
        <v>OK</v>
      </c>
      <c r="Z84" s="111" t="s">
        <v>115</v>
      </c>
      <c r="AA84" s="111" t="s">
        <v>115</v>
      </c>
      <c r="AB84" s="111" t="s">
        <v>115</v>
      </c>
      <c r="AC84" s="111" t="s">
        <v>116</v>
      </c>
      <c r="AD84" s="111"/>
    </row>
    <row r="85" spans="2:30" ht="27.75" customHeight="1" x14ac:dyDescent="0.25">
      <c r="B85" s="115">
        <v>45065</v>
      </c>
      <c r="C85" s="116" t="s">
        <v>138</v>
      </c>
      <c r="D85" s="116">
        <v>20</v>
      </c>
      <c r="E85" s="110" t="str">
        <f t="shared" si="3"/>
        <v>20230519-080</v>
      </c>
      <c r="F85" s="111" t="s">
        <v>98</v>
      </c>
      <c r="G85" s="111" t="s">
        <v>99</v>
      </c>
      <c r="H85" s="112" t="s">
        <v>233</v>
      </c>
      <c r="I85" s="113">
        <v>458.95</v>
      </c>
      <c r="J85" s="111" t="s">
        <v>139</v>
      </c>
      <c r="K85" s="111" t="s">
        <v>237</v>
      </c>
      <c r="L85" s="111" t="s">
        <v>103</v>
      </c>
      <c r="M85" s="111" t="s">
        <v>104</v>
      </c>
      <c r="N85" s="111" t="s">
        <v>105</v>
      </c>
      <c r="O85" s="111" t="s">
        <v>106</v>
      </c>
      <c r="P85" s="111" t="s">
        <v>141</v>
      </c>
      <c r="Q85" s="110" t="s">
        <v>133</v>
      </c>
      <c r="R85" s="110" t="s">
        <v>142</v>
      </c>
      <c r="S85" s="111" t="s">
        <v>110</v>
      </c>
      <c r="T85" s="111" t="s">
        <v>111</v>
      </c>
      <c r="U85" s="111" t="s">
        <v>103</v>
      </c>
      <c r="V85" s="118">
        <f t="shared" si="2"/>
        <v>-1.0882576994232234E-3</v>
      </c>
      <c r="W85" s="114" t="str">
        <f>IFERROR(I85-AVERAGEIFS(I$6:I84,J$6:J84,"ICIS / Platts",B$6:B84,B85),"")</f>
        <v/>
      </c>
      <c r="X85" s="110" t="s">
        <v>125</v>
      </c>
      <c r="Y85" s="117" t="str">
        <f t="shared" ref="Y85:Y148" si="4">IFERROR(IF(ABS(I85-AVERAGE(I77:I84))/AVERAGE(I77:I84)&gt;0.1,"⚠ CHECK","OK"),"OK")</f>
        <v>OK</v>
      </c>
      <c r="Z85" s="111" t="s">
        <v>115</v>
      </c>
      <c r="AA85" s="111" t="s">
        <v>115</v>
      </c>
      <c r="AB85" s="111" t="s">
        <v>115</v>
      </c>
      <c r="AC85" s="111" t="s">
        <v>116</v>
      </c>
      <c r="AD85" s="111"/>
    </row>
    <row r="86" spans="2:30" ht="27.75" customHeight="1" x14ac:dyDescent="0.25">
      <c r="B86" s="108">
        <v>45068</v>
      </c>
      <c r="C86" s="109" t="s">
        <v>97</v>
      </c>
      <c r="D86" s="109">
        <v>21</v>
      </c>
      <c r="E86" s="110" t="str">
        <f t="shared" si="3"/>
        <v>20230522-081</v>
      </c>
      <c r="F86" s="111" t="s">
        <v>98</v>
      </c>
      <c r="G86" s="111" t="s">
        <v>99</v>
      </c>
      <c r="H86" s="112" t="s">
        <v>238</v>
      </c>
      <c r="I86" s="113">
        <v>462</v>
      </c>
      <c r="J86" s="111" t="s">
        <v>101</v>
      </c>
      <c r="K86" s="111" t="s">
        <v>239</v>
      </c>
      <c r="L86" s="111" t="s">
        <v>103</v>
      </c>
      <c r="M86" s="111" t="s">
        <v>104</v>
      </c>
      <c r="N86" s="111" t="s">
        <v>105</v>
      </c>
      <c r="O86" s="111" t="s">
        <v>106</v>
      </c>
      <c r="P86" s="111" t="s">
        <v>107</v>
      </c>
      <c r="Q86" s="110" t="s">
        <v>108</v>
      </c>
      <c r="R86" s="110" t="s">
        <v>109</v>
      </c>
      <c r="S86" s="111" t="s">
        <v>110</v>
      </c>
      <c r="T86" s="111" t="s">
        <v>111</v>
      </c>
      <c r="U86" s="111" t="s">
        <v>103</v>
      </c>
      <c r="V86" s="118">
        <f t="shared" si="2"/>
        <v>4.3478260869565218E-3</v>
      </c>
      <c r="W86" s="114" t="str">
        <f>IFERROR(I86-AVERAGEIFS(I$6:I85,J$6:J85,"ICIS / Platts",B$6:B85,B86),"")</f>
        <v/>
      </c>
      <c r="X86" s="110" t="s">
        <v>113</v>
      </c>
      <c r="Y86" s="117" t="str">
        <f t="shared" si="4"/>
        <v>OK</v>
      </c>
      <c r="Z86" s="111" t="s">
        <v>115</v>
      </c>
      <c r="AA86" s="111" t="s">
        <v>115</v>
      </c>
      <c r="AB86" s="111" t="s">
        <v>116</v>
      </c>
      <c r="AC86" s="111" t="s">
        <v>115</v>
      </c>
      <c r="AD86" s="111"/>
    </row>
    <row r="87" spans="2:30" ht="27.75" customHeight="1" x14ac:dyDescent="0.25">
      <c r="B87" s="115">
        <v>45069</v>
      </c>
      <c r="C87" s="116" t="s">
        <v>117</v>
      </c>
      <c r="D87" s="116">
        <v>21</v>
      </c>
      <c r="E87" s="110" t="str">
        <f t="shared" si="3"/>
        <v>20230523-082</v>
      </c>
      <c r="F87" s="111" t="s">
        <v>98</v>
      </c>
      <c r="G87" s="111" t="s">
        <v>99</v>
      </c>
      <c r="H87" s="112" t="s">
        <v>238</v>
      </c>
      <c r="I87" s="113">
        <v>464.8</v>
      </c>
      <c r="J87" s="111" t="s">
        <v>118</v>
      </c>
      <c r="K87" s="111" t="s">
        <v>240</v>
      </c>
      <c r="L87" s="111" t="s">
        <v>103</v>
      </c>
      <c r="M87" s="111" t="s">
        <v>104</v>
      </c>
      <c r="N87" s="111" t="s">
        <v>120</v>
      </c>
      <c r="O87" s="111" t="s">
        <v>121</v>
      </c>
      <c r="P87" s="111" t="s">
        <v>122</v>
      </c>
      <c r="Q87" s="110" t="s">
        <v>123</v>
      </c>
      <c r="R87" s="110" t="s">
        <v>124</v>
      </c>
      <c r="S87" s="111" t="s">
        <v>110</v>
      </c>
      <c r="T87" s="111" t="s">
        <v>111</v>
      </c>
      <c r="U87" s="111" t="s">
        <v>103</v>
      </c>
      <c r="V87" s="118">
        <f t="shared" si="2"/>
        <v>-1.0853373058097396E-2</v>
      </c>
      <c r="W87" s="114" t="str">
        <f>IFERROR(I87-AVERAGEIFS(I$6:I86,J$6:J86,"ICIS / Platts",B$6:B86,B87),"")</f>
        <v/>
      </c>
      <c r="X87" s="110" t="s">
        <v>125</v>
      </c>
      <c r="Y87" s="117" t="str">
        <f t="shared" si="4"/>
        <v>OK</v>
      </c>
      <c r="Z87" s="111" t="s">
        <v>115</v>
      </c>
      <c r="AA87" s="111" t="s">
        <v>115</v>
      </c>
      <c r="AB87" s="111" t="s">
        <v>116</v>
      </c>
      <c r="AC87" s="111" t="s">
        <v>115</v>
      </c>
      <c r="AD87" s="111"/>
    </row>
    <row r="88" spans="2:30" ht="27.75" customHeight="1" x14ac:dyDescent="0.25">
      <c r="B88" s="108">
        <v>45070</v>
      </c>
      <c r="C88" s="109" t="s">
        <v>126</v>
      </c>
      <c r="D88" s="109">
        <v>21</v>
      </c>
      <c r="E88" s="110" t="str">
        <f t="shared" si="3"/>
        <v>20230524-083</v>
      </c>
      <c r="F88" s="111" t="s">
        <v>98</v>
      </c>
      <c r="G88" s="111" t="s">
        <v>99</v>
      </c>
      <c r="H88" s="112" t="s">
        <v>238</v>
      </c>
      <c r="I88" s="113">
        <v>470.35</v>
      </c>
      <c r="J88" s="111" t="s">
        <v>127</v>
      </c>
      <c r="K88" s="111" t="s">
        <v>241</v>
      </c>
      <c r="L88" s="111" t="s">
        <v>129</v>
      </c>
      <c r="M88" s="111" t="s">
        <v>104</v>
      </c>
      <c r="N88" s="111" t="s">
        <v>130</v>
      </c>
      <c r="O88" s="111" t="s">
        <v>131</v>
      </c>
      <c r="P88" s="111" t="s">
        <v>132</v>
      </c>
      <c r="Q88" s="110" t="s">
        <v>133</v>
      </c>
      <c r="R88" s="110" t="s">
        <v>134</v>
      </c>
      <c r="S88" s="111" t="s">
        <v>135</v>
      </c>
      <c r="T88" s="111" t="s">
        <v>136</v>
      </c>
      <c r="U88" s="111" t="s">
        <v>129</v>
      </c>
      <c r="V88" s="118">
        <f t="shared" si="2"/>
        <v>3.933267042315769E-2</v>
      </c>
      <c r="W88" s="114" t="str">
        <f>IFERROR(I88-AVERAGEIFS(I$6:I87,J$6:J87,"ICIS / Platts",B$6:B87,B88),"")</f>
        <v/>
      </c>
      <c r="X88" s="110" t="s">
        <v>137</v>
      </c>
      <c r="Y88" s="117" t="str">
        <f t="shared" si="4"/>
        <v>OK</v>
      </c>
      <c r="Z88" s="111" t="s">
        <v>115</v>
      </c>
      <c r="AA88" s="111" t="s">
        <v>115</v>
      </c>
      <c r="AB88" s="111" t="s">
        <v>116</v>
      </c>
      <c r="AC88" s="111" t="s">
        <v>115</v>
      </c>
      <c r="AD88" s="111"/>
    </row>
    <row r="89" spans="2:30" ht="27.75" customHeight="1" x14ac:dyDescent="0.25">
      <c r="B89" s="115">
        <v>45072</v>
      </c>
      <c r="C89" s="116" t="s">
        <v>138</v>
      </c>
      <c r="D89" s="116">
        <v>21</v>
      </c>
      <c r="E89" s="110" t="str">
        <f t="shared" si="3"/>
        <v>20230526-084</v>
      </c>
      <c r="F89" s="111" t="s">
        <v>98</v>
      </c>
      <c r="G89" s="111" t="s">
        <v>99</v>
      </c>
      <c r="H89" s="112" t="s">
        <v>238</v>
      </c>
      <c r="I89" s="113">
        <v>464.46</v>
      </c>
      <c r="J89" s="111" t="s">
        <v>139</v>
      </c>
      <c r="K89" s="111" t="s">
        <v>242</v>
      </c>
      <c r="L89" s="111" t="s">
        <v>103</v>
      </c>
      <c r="M89" s="111" t="s">
        <v>104</v>
      </c>
      <c r="N89" s="111" t="s">
        <v>105</v>
      </c>
      <c r="O89" s="111" t="s">
        <v>106</v>
      </c>
      <c r="P89" s="111" t="s">
        <v>141</v>
      </c>
      <c r="Q89" s="110" t="s">
        <v>133</v>
      </c>
      <c r="R89" s="110" t="s">
        <v>142</v>
      </c>
      <c r="S89" s="111" t="s">
        <v>110</v>
      </c>
      <c r="T89" s="111" t="s">
        <v>111</v>
      </c>
      <c r="U89" s="111" t="s">
        <v>103</v>
      </c>
      <c r="V89" s="118">
        <f t="shared" si="2"/>
        <v>1.2005665105131258E-2</v>
      </c>
      <c r="W89" s="114" t="str">
        <f>IFERROR(I89-AVERAGEIFS(I$6:I88,J$6:J88,"ICIS / Platts",B$6:B88,B89),"")</f>
        <v/>
      </c>
      <c r="X89" s="110" t="s">
        <v>125</v>
      </c>
      <c r="Y89" s="117" t="str">
        <f t="shared" si="4"/>
        <v>OK</v>
      </c>
      <c r="Z89" s="111" t="s">
        <v>115</v>
      </c>
      <c r="AA89" s="111" t="s">
        <v>115</v>
      </c>
      <c r="AB89" s="111" t="s">
        <v>116</v>
      </c>
      <c r="AC89" s="111" t="s">
        <v>115</v>
      </c>
      <c r="AD89" s="111"/>
    </row>
    <row r="90" spans="2:30" ht="27.75" customHeight="1" x14ac:dyDescent="0.25">
      <c r="B90" s="108">
        <v>45075</v>
      </c>
      <c r="C90" s="109" t="s">
        <v>97</v>
      </c>
      <c r="D90" s="109">
        <v>22</v>
      </c>
      <c r="E90" s="110" t="str">
        <f t="shared" si="3"/>
        <v>20230529-085</v>
      </c>
      <c r="F90" s="111" t="s">
        <v>98</v>
      </c>
      <c r="G90" s="111" t="s">
        <v>99</v>
      </c>
      <c r="H90" s="112" t="s">
        <v>243</v>
      </c>
      <c r="I90" s="113">
        <v>465</v>
      </c>
      <c r="J90" s="111" t="s">
        <v>101</v>
      </c>
      <c r="K90" s="111" t="s">
        <v>244</v>
      </c>
      <c r="L90" s="111" t="s">
        <v>103</v>
      </c>
      <c r="M90" s="111" t="s">
        <v>104</v>
      </c>
      <c r="N90" s="111" t="s">
        <v>105</v>
      </c>
      <c r="O90" s="111" t="s">
        <v>106</v>
      </c>
      <c r="P90" s="111" t="s">
        <v>107</v>
      </c>
      <c r="Q90" s="110" t="s">
        <v>108</v>
      </c>
      <c r="R90" s="110" t="s">
        <v>109</v>
      </c>
      <c r="S90" s="111" t="s">
        <v>110</v>
      </c>
      <c r="T90" s="111" t="s">
        <v>111</v>
      </c>
      <c r="U90" s="111" t="s">
        <v>103</v>
      </c>
      <c r="V90" s="118">
        <f t="shared" si="2"/>
        <v>6.4935064935064939E-3</v>
      </c>
      <c r="W90" s="114" t="str">
        <f>IFERROR(I90-AVERAGEIFS(I$6:I89,J$6:J89,"ICIS / Platts",B$6:B89,B90),"")</f>
        <v/>
      </c>
      <c r="X90" s="110" t="s">
        <v>113</v>
      </c>
      <c r="Y90" s="117" t="str">
        <f t="shared" si="4"/>
        <v>OK</v>
      </c>
      <c r="Z90" s="111" t="s">
        <v>115</v>
      </c>
      <c r="AA90" s="111" t="s">
        <v>115</v>
      </c>
      <c r="AB90" s="111" t="s">
        <v>116</v>
      </c>
      <c r="AC90" s="111" t="s">
        <v>115</v>
      </c>
      <c r="AD90" s="111"/>
    </row>
    <row r="91" spans="2:30" ht="27.75" customHeight="1" x14ac:dyDescent="0.25">
      <c r="B91" s="115">
        <v>45076</v>
      </c>
      <c r="C91" s="116" t="s">
        <v>117</v>
      </c>
      <c r="D91" s="116">
        <v>22</v>
      </c>
      <c r="E91" s="110" t="str">
        <f t="shared" si="3"/>
        <v>20230530-086</v>
      </c>
      <c r="F91" s="111" t="s">
        <v>98</v>
      </c>
      <c r="G91" s="111" t="s">
        <v>99</v>
      </c>
      <c r="H91" s="112" t="s">
        <v>243</v>
      </c>
      <c r="I91" s="113">
        <v>472.06</v>
      </c>
      <c r="J91" s="111" t="s">
        <v>118</v>
      </c>
      <c r="K91" s="111" t="s">
        <v>245</v>
      </c>
      <c r="L91" s="111" t="s">
        <v>103</v>
      </c>
      <c r="M91" s="111" t="s">
        <v>104</v>
      </c>
      <c r="N91" s="111" t="s">
        <v>120</v>
      </c>
      <c r="O91" s="111" t="s">
        <v>121</v>
      </c>
      <c r="P91" s="111" t="s">
        <v>122</v>
      </c>
      <c r="Q91" s="110" t="s">
        <v>123</v>
      </c>
      <c r="R91" s="110" t="s">
        <v>124</v>
      </c>
      <c r="S91" s="111" t="s">
        <v>110</v>
      </c>
      <c r="T91" s="111" t="s">
        <v>111</v>
      </c>
      <c r="U91" s="111" t="s">
        <v>103</v>
      </c>
      <c r="V91" s="118">
        <f t="shared" si="2"/>
        <v>1.5619621342512888E-2</v>
      </c>
      <c r="W91" s="114" t="str">
        <f>IFERROR(I91-AVERAGEIFS(I$6:I90,J$6:J90,"ICIS / Platts",B$6:B90,B91),"")</f>
        <v/>
      </c>
      <c r="X91" s="110" t="s">
        <v>125</v>
      </c>
      <c r="Y91" s="117" t="str">
        <f t="shared" si="4"/>
        <v>OK</v>
      </c>
      <c r="Z91" s="111" t="s">
        <v>115</v>
      </c>
      <c r="AA91" s="111" t="s">
        <v>115</v>
      </c>
      <c r="AB91" s="111" t="s">
        <v>116</v>
      </c>
      <c r="AC91" s="111" t="s">
        <v>115</v>
      </c>
      <c r="AD91" s="111"/>
    </row>
    <row r="92" spans="2:30" ht="27.75" customHeight="1" x14ac:dyDescent="0.25">
      <c r="B92" s="108">
        <v>45077</v>
      </c>
      <c r="C92" s="109" t="s">
        <v>126</v>
      </c>
      <c r="D92" s="109">
        <v>22</v>
      </c>
      <c r="E92" s="110" t="str">
        <f t="shared" si="3"/>
        <v>20230531-087</v>
      </c>
      <c r="F92" s="111" t="s">
        <v>98</v>
      </c>
      <c r="G92" s="111" t="s">
        <v>99</v>
      </c>
      <c r="H92" s="112" t="s">
        <v>243</v>
      </c>
      <c r="I92" s="113">
        <v>456.54</v>
      </c>
      <c r="J92" s="111" t="s">
        <v>127</v>
      </c>
      <c r="K92" s="111" t="s">
        <v>246</v>
      </c>
      <c r="L92" s="111" t="s">
        <v>129</v>
      </c>
      <c r="M92" s="111" t="s">
        <v>104</v>
      </c>
      <c r="N92" s="111" t="s">
        <v>130</v>
      </c>
      <c r="O92" s="111" t="s">
        <v>131</v>
      </c>
      <c r="P92" s="111" t="s">
        <v>132</v>
      </c>
      <c r="Q92" s="110" t="s">
        <v>133</v>
      </c>
      <c r="R92" s="110" t="s">
        <v>134</v>
      </c>
      <c r="S92" s="111" t="s">
        <v>135</v>
      </c>
      <c r="T92" s="111" t="s">
        <v>136</v>
      </c>
      <c r="U92" s="111" t="s">
        <v>129</v>
      </c>
      <c r="V92" s="118">
        <f t="shared" si="2"/>
        <v>-2.93611140639949E-2</v>
      </c>
      <c r="W92" s="114" t="str">
        <f>IFERROR(I92-AVERAGEIFS(I$6:I91,J$6:J91,"ICIS / Platts",B$6:B91,B92),"")</f>
        <v/>
      </c>
      <c r="X92" s="110" t="s">
        <v>137</v>
      </c>
      <c r="Y92" s="117" t="str">
        <f t="shared" si="4"/>
        <v>OK</v>
      </c>
      <c r="Z92" s="111" t="s">
        <v>115</v>
      </c>
      <c r="AA92" s="111" t="s">
        <v>115</v>
      </c>
      <c r="AB92" s="111" t="s">
        <v>116</v>
      </c>
      <c r="AC92" s="111" t="s">
        <v>115</v>
      </c>
      <c r="AD92" s="111"/>
    </row>
    <row r="93" spans="2:30" ht="27.75" customHeight="1" x14ac:dyDescent="0.25">
      <c r="B93" s="115">
        <v>45079</v>
      </c>
      <c r="C93" s="116" t="s">
        <v>138</v>
      </c>
      <c r="D93" s="116">
        <v>22</v>
      </c>
      <c r="E93" s="110" t="str">
        <f t="shared" si="3"/>
        <v>20230602-088</v>
      </c>
      <c r="F93" s="111" t="s">
        <v>98</v>
      </c>
      <c r="G93" s="111" t="s">
        <v>99</v>
      </c>
      <c r="H93" s="112" t="s">
        <v>243</v>
      </c>
      <c r="I93" s="113">
        <v>461.53</v>
      </c>
      <c r="J93" s="111" t="s">
        <v>139</v>
      </c>
      <c r="K93" s="111" t="s">
        <v>247</v>
      </c>
      <c r="L93" s="111" t="s">
        <v>103</v>
      </c>
      <c r="M93" s="111" t="s">
        <v>104</v>
      </c>
      <c r="N93" s="111" t="s">
        <v>105</v>
      </c>
      <c r="O93" s="111" t="s">
        <v>106</v>
      </c>
      <c r="P93" s="111" t="s">
        <v>141</v>
      </c>
      <c r="Q93" s="110" t="s">
        <v>133</v>
      </c>
      <c r="R93" s="110" t="s">
        <v>142</v>
      </c>
      <c r="S93" s="111" t="s">
        <v>110</v>
      </c>
      <c r="T93" s="111" t="s">
        <v>111</v>
      </c>
      <c r="U93" s="111" t="s">
        <v>103</v>
      </c>
      <c r="V93" s="118">
        <f t="shared" si="2"/>
        <v>-6.308401154028349E-3</v>
      </c>
      <c r="W93" s="114" t="str">
        <f>IFERROR(I93-AVERAGEIFS(I$6:I92,J$6:J92,"ICIS / Platts",B$6:B92,B93),"")</f>
        <v/>
      </c>
      <c r="X93" s="110" t="s">
        <v>125</v>
      </c>
      <c r="Y93" s="117" t="str">
        <f t="shared" si="4"/>
        <v>OK</v>
      </c>
      <c r="Z93" s="111" t="s">
        <v>115</v>
      </c>
      <c r="AA93" s="111" t="s">
        <v>115</v>
      </c>
      <c r="AB93" s="111" t="s">
        <v>116</v>
      </c>
      <c r="AC93" s="111" t="s">
        <v>115</v>
      </c>
      <c r="AD93" s="111"/>
    </row>
    <row r="94" spans="2:30" ht="27.75" customHeight="1" x14ac:dyDescent="0.25">
      <c r="B94" s="108">
        <v>45082</v>
      </c>
      <c r="C94" s="109" t="s">
        <v>97</v>
      </c>
      <c r="D94" s="109">
        <v>23</v>
      </c>
      <c r="E94" s="110" t="str">
        <f t="shared" si="3"/>
        <v>20230605-089</v>
      </c>
      <c r="F94" s="111" t="s">
        <v>98</v>
      </c>
      <c r="G94" s="111" t="s">
        <v>99</v>
      </c>
      <c r="H94" s="112" t="s">
        <v>248</v>
      </c>
      <c r="I94" s="113">
        <v>463</v>
      </c>
      <c r="J94" s="111" t="s">
        <v>101</v>
      </c>
      <c r="K94" s="111" t="s">
        <v>249</v>
      </c>
      <c r="L94" s="111" t="s">
        <v>103</v>
      </c>
      <c r="M94" s="111" t="s">
        <v>104</v>
      </c>
      <c r="N94" s="111" t="s">
        <v>105</v>
      </c>
      <c r="O94" s="111" t="s">
        <v>106</v>
      </c>
      <c r="P94" s="111" t="s">
        <v>107</v>
      </c>
      <c r="Q94" s="110" t="s">
        <v>108</v>
      </c>
      <c r="R94" s="110" t="s">
        <v>109</v>
      </c>
      <c r="S94" s="111" t="s">
        <v>110</v>
      </c>
      <c r="T94" s="111" t="s">
        <v>111</v>
      </c>
      <c r="U94" s="111" t="s">
        <v>103</v>
      </c>
      <c r="V94" s="118">
        <f t="shared" si="2"/>
        <v>-4.3010752688172043E-3</v>
      </c>
      <c r="W94" s="114" t="str">
        <f>IFERROR(I94-AVERAGEIFS(I$6:I93,J$6:J93,"ICIS / Platts",B$6:B93,B94),"")</f>
        <v/>
      </c>
      <c r="X94" s="110" t="s">
        <v>113</v>
      </c>
      <c r="Y94" s="117" t="str">
        <f t="shared" si="4"/>
        <v>OK</v>
      </c>
      <c r="Z94" s="111" t="s">
        <v>115</v>
      </c>
      <c r="AA94" s="111" t="s">
        <v>115</v>
      </c>
      <c r="AB94" s="111" t="s">
        <v>116</v>
      </c>
      <c r="AC94" s="111" t="s">
        <v>116</v>
      </c>
      <c r="AD94" s="111"/>
    </row>
    <row r="95" spans="2:30" ht="27.75" customHeight="1" x14ac:dyDescent="0.25">
      <c r="B95" s="115">
        <v>45083</v>
      </c>
      <c r="C95" s="116" t="s">
        <v>117</v>
      </c>
      <c r="D95" s="116">
        <v>23</v>
      </c>
      <c r="E95" s="110" t="str">
        <f t="shared" si="3"/>
        <v>20230606-090</v>
      </c>
      <c r="F95" s="111" t="s">
        <v>98</v>
      </c>
      <c r="G95" s="111" t="s">
        <v>99</v>
      </c>
      <c r="H95" s="112" t="s">
        <v>248</v>
      </c>
      <c r="I95" s="113">
        <v>459.9</v>
      </c>
      <c r="J95" s="111" t="s">
        <v>118</v>
      </c>
      <c r="K95" s="111" t="s">
        <v>250</v>
      </c>
      <c r="L95" s="111" t="s">
        <v>103</v>
      </c>
      <c r="M95" s="111" t="s">
        <v>104</v>
      </c>
      <c r="N95" s="111" t="s">
        <v>120</v>
      </c>
      <c r="O95" s="111" t="s">
        <v>121</v>
      </c>
      <c r="P95" s="111" t="s">
        <v>122</v>
      </c>
      <c r="Q95" s="110" t="s">
        <v>123</v>
      </c>
      <c r="R95" s="110" t="s">
        <v>124</v>
      </c>
      <c r="S95" s="111" t="s">
        <v>110</v>
      </c>
      <c r="T95" s="111" t="s">
        <v>111</v>
      </c>
      <c r="U95" s="111" t="s">
        <v>103</v>
      </c>
      <c r="V95" s="118">
        <f t="shared" ref="V95:V158" si="5">IFERROR((I95-I91)/I91,"")</f>
        <v>-2.5759437359657723E-2</v>
      </c>
      <c r="W95" s="114" t="str">
        <f>IFERROR(I95-AVERAGEIFS(I$6:I94,J$6:J94,"ICIS / Platts",B$6:B94,B95),"")</f>
        <v/>
      </c>
      <c r="X95" s="110" t="s">
        <v>125</v>
      </c>
      <c r="Y95" s="117" t="str">
        <f t="shared" si="4"/>
        <v>OK</v>
      </c>
      <c r="Z95" s="111" t="s">
        <v>115</v>
      </c>
      <c r="AA95" s="111" t="s">
        <v>115</v>
      </c>
      <c r="AB95" s="111" t="s">
        <v>116</v>
      </c>
      <c r="AC95" s="111" t="s">
        <v>116</v>
      </c>
      <c r="AD95" s="111"/>
    </row>
    <row r="96" spans="2:30" ht="27.75" customHeight="1" x14ac:dyDescent="0.25">
      <c r="B96" s="108">
        <v>45084</v>
      </c>
      <c r="C96" s="109" t="s">
        <v>126</v>
      </c>
      <c r="D96" s="109">
        <v>23</v>
      </c>
      <c r="E96" s="110" t="str">
        <f t="shared" si="3"/>
        <v>20230607-091</v>
      </c>
      <c r="F96" s="111" t="s">
        <v>98</v>
      </c>
      <c r="G96" s="111" t="s">
        <v>99</v>
      </c>
      <c r="H96" s="112" t="s">
        <v>248</v>
      </c>
      <c r="I96" s="113">
        <v>468.25</v>
      </c>
      <c r="J96" s="111" t="s">
        <v>127</v>
      </c>
      <c r="K96" s="111" t="s">
        <v>251</v>
      </c>
      <c r="L96" s="111" t="s">
        <v>129</v>
      </c>
      <c r="M96" s="111" t="s">
        <v>104</v>
      </c>
      <c r="N96" s="111" t="s">
        <v>130</v>
      </c>
      <c r="O96" s="111" t="s">
        <v>131</v>
      </c>
      <c r="P96" s="111" t="s">
        <v>132</v>
      </c>
      <c r="Q96" s="110" t="s">
        <v>133</v>
      </c>
      <c r="R96" s="110" t="s">
        <v>134</v>
      </c>
      <c r="S96" s="111" t="s">
        <v>135</v>
      </c>
      <c r="T96" s="111" t="s">
        <v>136</v>
      </c>
      <c r="U96" s="111" t="s">
        <v>129</v>
      </c>
      <c r="V96" s="118">
        <f t="shared" si="5"/>
        <v>2.5649450212467645E-2</v>
      </c>
      <c r="W96" s="114" t="str">
        <f>IFERROR(I96-AVERAGEIFS(I$6:I95,J$6:J95,"ICIS / Platts",B$6:B95,B96),"")</f>
        <v/>
      </c>
      <c r="X96" s="110" t="s">
        <v>137</v>
      </c>
      <c r="Y96" s="117" t="str">
        <f t="shared" si="4"/>
        <v>OK</v>
      </c>
      <c r="Z96" s="111" t="s">
        <v>115</v>
      </c>
      <c r="AA96" s="111" t="s">
        <v>115</v>
      </c>
      <c r="AB96" s="111" t="s">
        <v>116</v>
      </c>
      <c r="AC96" s="111" t="s">
        <v>116</v>
      </c>
      <c r="AD96" s="111"/>
    </row>
    <row r="97" spans="2:30" ht="27.75" customHeight="1" x14ac:dyDescent="0.25">
      <c r="B97" s="115">
        <v>45086</v>
      </c>
      <c r="C97" s="116" t="s">
        <v>138</v>
      </c>
      <c r="D97" s="116">
        <v>23</v>
      </c>
      <c r="E97" s="110" t="str">
        <f t="shared" si="3"/>
        <v>20230609-092</v>
      </c>
      <c r="F97" s="111" t="s">
        <v>98</v>
      </c>
      <c r="G97" s="111" t="s">
        <v>99</v>
      </c>
      <c r="H97" s="112" t="s">
        <v>248</v>
      </c>
      <c r="I97" s="113">
        <v>463.65</v>
      </c>
      <c r="J97" s="111" t="s">
        <v>139</v>
      </c>
      <c r="K97" s="111" t="s">
        <v>252</v>
      </c>
      <c r="L97" s="111" t="s">
        <v>103</v>
      </c>
      <c r="M97" s="111" t="s">
        <v>104</v>
      </c>
      <c r="N97" s="111" t="s">
        <v>105</v>
      </c>
      <c r="O97" s="111" t="s">
        <v>106</v>
      </c>
      <c r="P97" s="111" t="s">
        <v>141</v>
      </c>
      <c r="Q97" s="110" t="s">
        <v>133</v>
      </c>
      <c r="R97" s="110" t="s">
        <v>142</v>
      </c>
      <c r="S97" s="111" t="s">
        <v>110</v>
      </c>
      <c r="T97" s="111" t="s">
        <v>111</v>
      </c>
      <c r="U97" s="111" t="s">
        <v>103</v>
      </c>
      <c r="V97" s="118">
        <f t="shared" si="5"/>
        <v>4.5934175459883533E-3</v>
      </c>
      <c r="W97" s="114" t="str">
        <f>IFERROR(I97-AVERAGEIFS(I$6:I96,J$6:J96,"ICIS / Platts",B$6:B96,B97),"")</f>
        <v/>
      </c>
      <c r="X97" s="110" t="s">
        <v>125</v>
      </c>
      <c r="Y97" s="117" t="str">
        <f t="shared" si="4"/>
        <v>OK</v>
      </c>
      <c r="Z97" s="111" t="s">
        <v>115</v>
      </c>
      <c r="AA97" s="111" t="s">
        <v>115</v>
      </c>
      <c r="AB97" s="111" t="s">
        <v>116</v>
      </c>
      <c r="AC97" s="111" t="s">
        <v>116</v>
      </c>
      <c r="AD97" s="111"/>
    </row>
    <row r="98" spans="2:30" ht="27.75" customHeight="1" x14ac:dyDescent="0.25">
      <c r="B98" s="108">
        <v>45089</v>
      </c>
      <c r="C98" s="109" t="s">
        <v>97</v>
      </c>
      <c r="D98" s="109">
        <v>24</v>
      </c>
      <c r="E98" s="110" t="str">
        <f t="shared" si="3"/>
        <v>20230612-093</v>
      </c>
      <c r="F98" s="111" t="s">
        <v>98</v>
      </c>
      <c r="G98" s="111" t="s">
        <v>99</v>
      </c>
      <c r="H98" s="112" t="s">
        <v>253</v>
      </c>
      <c r="I98" s="113">
        <v>460</v>
      </c>
      <c r="J98" s="111" t="s">
        <v>101</v>
      </c>
      <c r="K98" s="111" t="s">
        <v>254</v>
      </c>
      <c r="L98" s="111" t="s">
        <v>103</v>
      </c>
      <c r="M98" s="111" t="s">
        <v>104</v>
      </c>
      <c r="N98" s="111" t="s">
        <v>105</v>
      </c>
      <c r="O98" s="111" t="s">
        <v>106</v>
      </c>
      <c r="P98" s="111" t="s">
        <v>107</v>
      </c>
      <c r="Q98" s="110" t="s">
        <v>108</v>
      </c>
      <c r="R98" s="110" t="s">
        <v>109</v>
      </c>
      <c r="S98" s="111" t="s">
        <v>110</v>
      </c>
      <c r="T98" s="111" t="s">
        <v>111</v>
      </c>
      <c r="U98" s="111" t="s">
        <v>103</v>
      </c>
      <c r="V98" s="118">
        <f t="shared" si="5"/>
        <v>-6.4794816414686825E-3</v>
      </c>
      <c r="W98" s="114" t="str">
        <f>IFERROR(I98-AVERAGEIFS(I$6:I97,J$6:J97,"ICIS / Platts",B$6:B97,B98),"")</f>
        <v/>
      </c>
      <c r="X98" s="110" t="s">
        <v>113</v>
      </c>
      <c r="Y98" s="117" t="str">
        <f t="shared" si="4"/>
        <v>OK</v>
      </c>
      <c r="Z98" s="111" t="s">
        <v>115</v>
      </c>
      <c r="AA98" s="111" t="s">
        <v>115</v>
      </c>
      <c r="AB98" s="111" t="s">
        <v>115</v>
      </c>
      <c r="AC98" s="111" t="s">
        <v>116</v>
      </c>
      <c r="AD98" s="111"/>
    </row>
    <row r="99" spans="2:30" ht="27.75" customHeight="1" x14ac:dyDescent="0.25">
      <c r="B99" s="115">
        <v>45090</v>
      </c>
      <c r="C99" s="116" t="s">
        <v>117</v>
      </c>
      <c r="D99" s="116">
        <v>24</v>
      </c>
      <c r="E99" s="110" t="str">
        <f t="shared" si="3"/>
        <v>20230613-094</v>
      </c>
      <c r="F99" s="111" t="s">
        <v>98</v>
      </c>
      <c r="G99" s="111" t="s">
        <v>99</v>
      </c>
      <c r="H99" s="112" t="s">
        <v>253</v>
      </c>
      <c r="I99" s="113">
        <v>457</v>
      </c>
      <c r="J99" s="111" t="s">
        <v>118</v>
      </c>
      <c r="K99" s="111" t="s">
        <v>255</v>
      </c>
      <c r="L99" s="111" t="s">
        <v>103</v>
      </c>
      <c r="M99" s="111" t="s">
        <v>104</v>
      </c>
      <c r="N99" s="111" t="s">
        <v>120</v>
      </c>
      <c r="O99" s="111" t="s">
        <v>121</v>
      </c>
      <c r="P99" s="111" t="s">
        <v>122</v>
      </c>
      <c r="Q99" s="110" t="s">
        <v>123</v>
      </c>
      <c r="R99" s="110" t="s">
        <v>124</v>
      </c>
      <c r="S99" s="111" t="s">
        <v>110</v>
      </c>
      <c r="T99" s="111" t="s">
        <v>111</v>
      </c>
      <c r="U99" s="111" t="s">
        <v>103</v>
      </c>
      <c r="V99" s="118">
        <f t="shared" si="5"/>
        <v>-6.3057186344857089E-3</v>
      </c>
      <c r="W99" s="114" t="str">
        <f>IFERROR(I99-AVERAGEIFS(I$6:I98,J$6:J98,"ICIS / Platts",B$6:B98,B99),"")</f>
        <v/>
      </c>
      <c r="X99" s="110" t="s">
        <v>125</v>
      </c>
      <c r="Y99" s="117" t="str">
        <f t="shared" si="4"/>
        <v>OK</v>
      </c>
      <c r="Z99" s="111" t="s">
        <v>115</v>
      </c>
      <c r="AA99" s="111" t="s">
        <v>115</v>
      </c>
      <c r="AB99" s="111" t="s">
        <v>115</v>
      </c>
      <c r="AC99" s="111" t="s">
        <v>116</v>
      </c>
      <c r="AD99" s="111"/>
    </row>
    <row r="100" spans="2:30" ht="27.75" customHeight="1" x14ac:dyDescent="0.25">
      <c r="B100" s="108">
        <v>45091</v>
      </c>
      <c r="C100" s="109" t="s">
        <v>126</v>
      </c>
      <c r="D100" s="109">
        <v>24</v>
      </c>
      <c r="E100" s="110" t="str">
        <f t="shared" si="3"/>
        <v>20230614-095</v>
      </c>
      <c r="F100" s="111" t="s">
        <v>98</v>
      </c>
      <c r="G100" s="111" t="s">
        <v>99</v>
      </c>
      <c r="H100" s="112" t="s">
        <v>253</v>
      </c>
      <c r="I100" s="113">
        <v>466.47</v>
      </c>
      <c r="J100" s="111" t="s">
        <v>127</v>
      </c>
      <c r="K100" s="111" t="s">
        <v>256</v>
      </c>
      <c r="L100" s="111" t="s">
        <v>129</v>
      </c>
      <c r="M100" s="111" t="s">
        <v>104</v>
      </c>
      <c r="N100" s="111" t="s">
        <v>130</v>
      </c>
      <c r="O100" s="111" t="s">
        <v>131</v>
      </c>
      <c r="P100" s="111" t="s">
        <v>132</v>
      </c>
      <c r="Q100" s="110" t="s">
        <v>133</v>
      </c>
      <c r="R100" s="110" t="s">
        <v>134</v>
      </c>
      <c r="S100" s="111" t="s">
        <v>135</v>
      </c>
      <c r="T100" s="111" t="s">
        <v>136</v>
      </c>
      <c r="U100" s="111" t="s">
        <v>129</v>
      </c>
      <c r="V100" s="118">
        <f t="shared" si="5"/>
        <v>-3.8013881473571228E-3</v>
      </c>
      <c r="W100" s="114" t="str">
        <f>IFERROR(I100-AVERAGEIFS(I$6:I99,J$6:J99,"ICIS / Platts",B$6:B99,B100),"")</f>
        <v/>
      </c>
      <c r="X100" s="110" t="s">
        <v>137</v>
      </c>
      <c r="Y100" s="117" t="str">
        <f t="shared" si="4"/>
        <v>OK</v>
      </c>
      <c r="Z100" s="111" t="s">
        <v>115</v>
      </c>
      <c r="AA100" s="111" t="s">
        <v>115</v>
      </c>
      <c r="AB100" s="111" t="s">
        <v>115</v>
      </c>
      <c r="AC100" s="111" t="s">
        <v>116</v>
      </c>
      <c r="AD100" s="111"/>
    </row>
    <row r="101" spans="2:30" ht="27.75" customHeight="1" x14ac:dyDescent="0.25">
      <c r="B101" s="115">
        <v>45093</v>
      </c>
      <c r="C101" s="116" t="s">
        <v>138</v>
      </c>
      <c r="D101" s="116">
        <v>24</v>
      </c>
      <c r="E101" s="110" t="str">
        <f t="shared" si="3"/>
        <v>20230616-096</v>
      </c>
      <c r="F101" s="111" t="s">
        <v>98</v>
      </c>
      <c r="G101" s="111" t="s">
        <v>99</v>
      </c>
      <c r="H101" s="112" t="s">
        <v>253</v>
      </c>
      <c r="I101" s="113">
        <v>456.64</v>
      </c>
      <c r="J101" s="111" t="s">
        <v>139</v>
      </c>
      <c r="K101" s="111" t="s">
        <v>257</v>
      </c>
      <c r="L101" s="111" t="s">
        <v>103</v>
      </c>
      <c r="M101" s="111" t="s">
        <v>104</v>
      </c>
      <c r="N101" s="111" t="s">
        <v>105</v>
      </c>
      <c r="O101" s="111" t="s">
        <v>106</v>
      </c>
      <c r="P101" s="111" t="s">
        <v>141</v>
      </c>
      <c r="Q101" s="110" t="s">
        <v>133</v>
      </c>
      <c r="R101" s="110" t="s">
        <v>142</v>
      </c>
      <c r="S101" s="111" t="s">
        <v>110</v>
      </c>
      <c r="T101" s="111" t="s">
        <v>111</v>
      </c>
      <c r="U101" s="111" t="s">
        <v>103</v>
      </c>
      <c r="V101" s="118">
        <f t="shared" si="5"/>
        <v>-1.5119163161867769E-2</v>
      </c>
      <c r="W101" s="114" t="str">
        <f>IFERROR(I101-AVERAGEIFS(I$6:I100,J$6:J100,"ICIS / Platts",B$6:B100,B101),"")</f>
        <v/>
      </c>
      <c r="X101" s="110" t="s">
        <v>125</v>
      </c>
      <c r="Y101" s="117" t="str">
        <f t="shared" si="4"/>
        <v>OK</v>
      </c>
      <c r="Z101" s="111" t="s">
        <v>115</v>
      </c>
      <c r="AA101" s="111" t="s">
        <v>115</v>
      </c>
      <c r="AB101" s="111" t="s">
        <v>115</v>
      </c>
      <c r="AC101" s="111" t="s">
        <v>116</v>
      </c>
      <c r="AD101" s="111"/>
    </row>
    <row r="102" spans="2:30" ht="27.75" customHeight="1" x14ac:dyDescent="0.25">
      <c r="B102" s="108">
        <v>45096</v>
      </c>
      <c r="C102" s="109" t="s">
        <v>97</v>
      </c>
      <c r="D102" s="109">
        <v>25</v>
      </c>
      <c r="E102" s="110" t="str">
        <f t="shared" si="3"/>
        <v>20230619-097</v>
      </c>
      <c r="F102" s="111" t="s">
        <v>98</v>
      </c>
      <c r="G102" s="111" t="s">
        <v>99</v>
      </c>
      <c r="H102" s="112" t="s">
        <v>258</v>
      </c>
      <c r="I102" s="113">
        <v>458</v>
      </c>
      <c r="J102" s="111" t="s">
        <v>101</v>
      </c>
      <c r="K102" s="111" t="s">
        <v>259</v>
      </c>
      <c r="L102" s="111" t="s">
        <v>103</v>
      </c>
      <c r="M102" s="111" t="s">
        <v>104</v>
      </c>
      <c r="N102" s="111" t="s">
        <v>105</v>
      </c>
      <c r="O102" s="111" t="s">
        <v>106</v>
      </c>
      <c r="P102" s="111" t="s">
        <v>107</v>
      </c>
      <c r="Q102" s="110" t="s">
        <v>108</v>
      </c>
      <c r="R102" s="110" t="s">
        <v>109</v>
      </c>
      <c r="S102" s="111" t="s">
        <v>110</v>
      </c>
      <c r="T102" s="111" t="s">
        <v>111</v>
      </c>
      <c r="U102" s="111" t="s">
        <v>103</v>
      </c>
      <c r="V102" s="118">
        <f t="shared" si="5"/>
        <v>-4.3478260869565218E-3</v>
      </c>
      <c r="W102" s="114" t="str">
        <f>IFERROR(I102-AVERAGEIFS(I$6:I101,J$6:J101,"ICIS / Platts",B$6:B101,B102),"")</f>
        <v/>
      </c>
      <c r="X102" s="110" t="s">
        <v>113</v>
      </c>
      <c r="Y102" s="117" t="str">
        <f t="shared" si="4"/>
        <v>OK</v>
      </c>
      <c r="Z102" s="111" t="s">
        <v>116</v>
      </c>
      <c r="AA102" s="111" t="s">
        <v>115</v>
      </c>
      <c r="AB102" s="111" t="s">
        <v>115</v>
      </c>
      <c r="AC102" s="111" t="s">
        <v>116</v>
      </c>
      <c r="AD102" s="111"/>
    </row>
    <row r="103" spans="2:30" ht="27.75" customHeight="1" x14ac:dyDescent="0.25">
      <c r="B103" s="115">
        <v>45097</v>
      </c>
      <c r="C103" s="116" t="s">
        <v>117</v>
      </c>
      <c r="D103" s="116">
        <v>25</v>
      </c>
      <c r="E103" s="110" t="str">
        <f t="shared" si="3"/>
        <v>20230620-098</v>
      </c>
      <c r="F103" s="111" t="s">
        <v>98</v>
      </c>
      <c r="G103" s="111" t="s">
        <v>99</v>
      </c>
      <c r="H103" s="112" t="s">
        <v>258</v>
      </c>
      <c r="I103" s="113">
        <v>459.48</v>
      </c>
      <c r="J103" s="111" t="s">
        <v>118</v>
      </c>
      <c r="K103" s="111" t="s">
        <v>260</v>
      </c>
      <c r="L103" s="111" t="s">
        <v>103</v>
      </c>
      <c r="M103" s="111" t="s">
        <v>104</v>
      </c>
      <c r="N103" s="111" t="s">
        <v>120</v>
      </c>
      <c r="O103" s="111" t="s">
        <v>121</v>
      </c>
      <c r="P103" s="111" t="s">
        <v>122</v>
      </c>
      <c r="Q103" s="110" t="s">
        <v>123</v>
      </c>
      <c r="R103" s="110" t="s">
        <v>124</v>
      </c>
      <c r="S103" s="111" t="s">
        <v>110</v>
      </c>
      <c r="T103" s="111" t="s">
        <v>111</v>
      </c>
      <c r="U103" s="111" t="s">
        <v>103</v>
      </c>
      <c r="V103" s="118">
        <f t="shared" si="5"/>
        <v>5.4266958424508058E-3</v>
      </c>
      <c r="W103" s="114" t="str">
        <f>IFERROR(I103-AVERAGEIFS(I$6:I102,J$6:J102,"ICIS / Platts",B$6:B102,B103),"")</f>
        <v/>
      </c>
      <c r="X103" s="110" t="s">
        <v>125</v>
      </c>
      <c r="Y103" s="117" t="str">
        <f t="shared" si="4"/>
        <v>OK</v>
      </c>
      <c r="Z103" s="111" t="s">
        <v>116</v>
      </c>
      <c r="AA103" s="111" t="s">
        <v>115</v>
      </c>
      <c r="AB103" s="111" t="s">
        <v>115</v>
      </c>
      <c r="AC103" s="111" t="s">
        <v>116</v>
      </c>
      <c r="AD103" s="111"/>
    </row>
    <row r="104" spans="2:30" ht="27.75" customHeight="1" x14ac:dyDescent="0.25">
      <c r="B104" s="108">
        <v>45098</v>
      </c>
      <c r="C104" s="109" t="s">
        <v>126</v>
      </c>
      <c r="D104" s="109">
        <v>25</v>
      </c>
      <c r="E104" s="110" t="str">
        <f t="shared" si="3"/>
        <v>20230621-099</v>
      </c>
      <c r="F104" s="111" t="s">
        <v>98</v>
      </c>
      <c r="G104" s="111" t="s">
        <v>99</v>
      </c>
      <c r="H104" s="112" t="s">
        <v>258</v>
      </c>
      <c r="I104" s="113">
        <v>459.76</v>
      </c>
      <c r="J104" s="111" t="s">
        <v>127</v>
      </c>
      <c r="K104" s="111" t="s">
        <v>261</v>
      </c>
      <c r="L104" s="111" t="s">
        <v>129</v>
      </c>
      <c r="M104" s="111" t="s">
        <v>104</v>
      </c>
      <c r="N104" s="111" t="s">
        <v>130</v>
      </c>
      <c r="O104" s="111" t="s">
        <v>131</v>
      </c>
      <c r="P104" s="111" t="s">
        <v>132</v>
      </c>
      <c r="Q104" s="110" t="s">
        <v>133</v>
      </c>
      <c r="R104" s="110" t="s">
        <v>134</v>
      </c>
      <c r="S104" s="111" t="s">
        <v>135</v>
      </c>
      <c r="T104" s="111" t="s">
        <v>136</v>
      </c>
      <c r="U104" s="111" t="s">
        <v>129</v>
      </c>
      <c r="V104" s="118">
        <f t="shared" si="5"/>
        <v>-1.4384633524128103E-2</v>
      </c>
      <c r="W104" s="114" t="str">
        <f>IFERROR(I104-AVERAGEIFS(I$6:I103,J$6:J103,"ICIS / Platts",B$6:B103,B104),"")</f>
        <v/>
      </c>
      <c r="X104" s="110" t="s">
        <v>137</v>
      </c>
      <c r="Y104" s="117" t="str">
        <f t="shared" si="4"/>
        <v>OK</v>
      </c>
      <c r="Z104" s="111" t="s">
        <v>116</v>
      </c>
      <c r="AA104" s="111" t="s">
        <v>115</v>
      </c>
      <c r="AB104" s="111" t="s">
        <v>115</v>
      </c>
      <c r="AC104" s="111" t="s">
        <v>116</v>
      </c>
      <c r="AD104" s="111"/>
    </row>
    <row r="105" spans="2:30" ht="27.75" customHeight="1" x14ac:dyDescent="0.25">
      <c r="B105" s="115">
        <v>45100</v>
      </c>
      <c r="C105" s="116" t="s">
        <v>138</v>
      </c>
      <c r="D105" s="116">
        <v>25</v>
      </c>
      <c r="E105" s="110" t="str">
        <f t="shared" si="3"/>
        <v>20230623-100</v>
      </c>
      <c r="F105" s="111" t="s">
        <v>98</v>
      </c>
      <c r="G105" s="111" t="s">
        <v>99</v>
      </c>
      <c r="H105" s="112" t="s">
        <v>258</v>
      </c>
      <c r="I105" s="113">
        <v>461.59</v>
      </c>
      <c r="J105" s="111" t="s">
        <v>139</v>
      </c>
      <c r="K105" s="111" t="s">
        <v>262</v>
      </c>
      <c r="L105" s="111" t="s">
        <v>103</v>
      </c>
      <c r="M105" s="111" t="s">
        <v>104</v>
      </c>
      <c r="N105" s="111" t="s">
        <v>105</v>
      </c>
      <c r="O105" s="111" t="s">
        <v>106</v>
      </c>
      <c r="P105" s="111" t="s">
        <v>141</v>
      </c>
      <c r="Q105" s="110" t="s">
        <v>133</v>
      </c>
      <c r="R105" s="110" t="s">
        <v>142</v>
      </c>
      <c r="S105" s="111" t="s">
        <v>110</v>
      </c>
      <c r="T105" s="111" t="s">
        <v>111</v>
      </c>
      <c r="U105" s="111" t="s">
        <v>103</v>
      </c>
      <c r="V105" s="118">
        <f t="shared" si="5"/>
        <v>1.0840049053959331E-2</v>
      </c>
      <c r="W105" s="114" t="str">
        <f>IFERROR(I105-AVERAGEIFS(I$6:I104,J$6:J104,"ICIS / Platts",B$6:B104,B105),"")</f>
        <v/>
      </c>
      <c r="X105" s="110" t="s">
        <v>125</v>
      </c>
      <c r="Y105" s="117" t="str">
        <f t="shared" si="4"/>
        <v>OK</v>
      </c>
      <c r="Z105" s="111" t="s">
        <v>116</v>
      </c>
      <c r="AA105" s="111" t="s">
        <v>115</v>
      </c>
      <c r="AB105" s="111" t="s">
        <v>115</v>
      </c>
      <c r="AC105" s="111" t="s">
        <v>116</v>
      </c>
      <c r="AD105" s="111"/>
    </row>
    <row r="106" spans="2:30" ht="27.75" customHeight="1" x14ac:dyDescent="0.25">
      <c r="B106" s="108">
        <v>45103</v>
      </c>
      <c r="C106" s="109" t="s">
        <v>97</v>
      </c>
      <c r="D106" s="109">
        <v>26</v>
      </c>
      <c r="E106" s="110" t="str">
        <f t="shared" si="3"/>
        <v>20230626-101</v>
      </c>
      <c r="F106" s="111" t="s">
        <v>98</v>
      </c>
      <c r="G106" s="111" t="s">
        <v>99</v>
      </c>
      <c r="H106" s="112" t="s">
        <v>263</v>
      </c>
      <c r="I106" s="113">
        <v>462</v>
      </c>
      <c r="J106" s="111" t="s">
        <v>101</v>
      </c>
      <c r="K106" s="111" t="s">
        <v>264</v>
      </c>
      <c r="L106" s="111" t="s">
        <v>103</v>
      </c>
      <c r="M106" s="111" t="s">
        <v>104</v>
      </c>
      <c r="N106" s="111" t="s">
        <v>105</v>
      </c>
      <c r="O106" s="111" t="s">
        <v>106</v>
      </c>
      <c r="P106" s="111" t="s">
        <v>107</v>
      </c>
      <c r="Q106" s="110" t="s">
        <v>108</v>
      </c>
      <c r="R106" s="110" t="s">
        <v>109</v>
      </c>
      <c r="S106" s="111" t="s">
        <v>110</v>
      </c>
      <c r="T106" s="111" t="s">
        <v>111</v>
      </c>
      <c r="U106" s="111" t="s">
        <v>103</v>
      </c>
      <c r="V106" s="118">
        <f t="shared" si="5"/>
        <v>8.7336244541484712E-3</v>
      </c>
      <c r="W106" s="114" t="str">
        <f>IFERROR(I106-AVERAGEIFS(I$6:I105,J$6:J105,"ICIS / Platts",B$6:B105,B106),"")</f>
        <v/>
      </c>
      <c r="X106" s="110" t="s">
        <v>113</v>
      </c>
      <c r="Y106" s="117" t="str">
        <f t="shared" si="4"/>
        <v>OK</v>
      </c>
      <c r="Z106" s="111" t="s">
        <v>115</v>
      </c>
      <c r="AA106" s="111" t="s">
        <v>115</v>
      </c>
      <c r="AB106" s="111" t="s">
        <v>115</v>
      </c>
      <c r="AC106" s="111" t="s">
        <v>115</v>
      </c>
      <c r="AD106" s="111"/>
    </row>
    <row r="107" spans="2:30" ht="27.75" customHeight="1" x14ac:dyDescent="0.25">
      <c r="B107" s="115">
        <v>45104</v>
      </c>
      <c r="C107" s="116" t="s">
        <v>117</v>
      </c>
      <c r="D107" s="116">
        <v>26</v>
      </c>
      <c r="E107" s="110" t="str">
        <f t="shared" si="3"/>
        <v>20230627-102</v>
      </c>
      <c r="F107" s="111" t="s">
        <v>98</v>
      </c>
      <c r="G107" s="111" t="s">
        <v>99</v>
      </c>
      <c r="H107" s="112" t="s">
        <v>263</v>
      </c>
      <c r="I107" s="113">
        <v>461.28</v>
      </c>
      <c r="J107" s="111" t="s">
        <v>118</v>
      </c>
      <c r="K107" s="111" t="s">
        <v>265</v>
      </c>
      <c r="L107" s="111" t="s">
        <v>103</v>
      </c>
      <c r="M107" s="111" t="s">
        <v>104</v>
      </c>
      <c r="N107" s="111" t="s">
        <v>120</v>
      </c>
      <c r="O107" s="111" t="s">
        <v>121</v>
      </c>
      <c r="P107" s="111" t="s">
        <v>122</v>
      </c>
      <c r="Q107" s="110" t="s">
        <v>123</v>
      </c>
      <c r="R107" s="110" t="s">
        <v>124</v>
      </c>
      <c r="S107" s="111" t="s">
        <v>110</v>
      </c>
      <c r="T107" s="111" t="s">
        <v>111</v>
      </c>
      <c r="U107" s="111" t="s">
        <v>103</v>
      </c>
      <c r="V107" s="118">
        <f t="shared" si="5"/>
        <v>3.9174719247844396E-3</v>
      </c>
      <c r="W107" s="114" t="str">
        <f>IFERROR(I107-AVERAGEIFS(I$6:I106,J$6:J106,"ICIS / Platts",B$6:B106,B107),"")</f>
        <v/>
      </c>
      <c r="X107" s="110" t="s">
        <v>125</v>
      </c>
      <c r="Y107" s="117" t="str">
        <f t="shared" si="4"/>
        <v>OK</v>
      </c>
      <c r="Z107" s="111" t="s">
        <v>115</v>
      </c>
      <c r="AA107" s="111" t="s">
        <v>115</v>
      </c>
      <c r="AB107" s="111" t="s">
        <v>115</v>
      </c>
      <c r="AC107" s="111" t="s">
        <v>115</v>
      </c>
      <c r="AD107" s="111"/>
    </row>
    <row r="108" spans="2:30" ht="27.75" customHeight="1" x14ac:dyDescent="0.25">
      <c r="B108" s="108">
        <v>45105</v>
      </c>
      <c r="C108" s="109" t="s">
        <v>126</v>
      </c>
      <c r="D108" s="109">
        <v>26</v>
      </c>
      <c r="E108" s="110" t="str">
        <f t="shared" si="3"/>
        <v>20230628-103</v>
      </c>
      <c r="F108" s="111" t="s">
        <v>98</v>
      </c>
      <c r="G108" s="111" t="s">
        <v>99</v>
      </c>
      <c r="H108" s="112" t="s">
        <v>263</v>
      </c>
      <c r="I108" s="113">
        <v>457.59</v>
      </c>
      <c r="J108" s="111" t="s">
        <v>127</v>
      </c>
      <c r="K108" s="111" t="s">
        <v>266</v>
      </c>
      <c r="L108" s="111" t="s">
        <v>129</v>
      </c>
      <c r="M108" s="111" t="s">
        <v>104</v>
      </c>
      <c r="N108" s="111" t="s">
        <v>130</v>
      </c>
      <c r="O108" s="111" t="s">
        <v>131</v>
      </c>
      <c r="P108" s="111" t="s">
        <v>132</v>
      </c>
      <c r="Q108" s="110" t="s">
        <v>133</v>
      </c>
      <c r="R108" s="110" t="s">
        <v>134</v>
      </c>
      <c r="S108" s="111" t="s">
        <v>135</v>
      </c>
      <c r="T108" s="111" t="s">
        <v>136</v>
      </c>
      <c r="U108" s="111" t="s">
        <v>129</v>
      </c>
      <c r="V108" s="118">
        <f t="shared" si="5"/>
        <v>-4.7198538367844442E-3</v>
      </c>
      <c r="W108" s="114" t="str">
        <f>IFERROR(I108-AVERAGEIFS(I$6:I107,J$6:J107,"ICIS / Platts",B$6:B107,B108),"")</f>
        <v/>
      </c>
      <c r="X108" s="110" t="s">
        <v>137</v>
      </c>
      <c r="Y108" s="117" t="str">
        <f t="shared" si="4"/>
        <v>OK</v>
      </c>
      <c r="Z108" s="111" t="s">
        <v>115</v>
      </c>
      <c r="AA108" s="111" t="s">
        <v>115</v>
      </c>
      <c r="AB108" s="111" t="s">
        <v>115</v>
      </c>
      <c r="AC108" s="111" t="s">
        <v>115</v>
      </c>
      <c r="AD108" s="111"/>
    </row>
    <row r="109" spans="2:30" ht="27.75" customHeight="1" x14ac:dyDescent="0.25">
      <c r="B109" s="115">
        <v>45107</v>
      </c>
      <c r="C109" s="116" t="s">
        <v>138</v>
      </c>
      <c r="D109" s="116">
        <v>26</v>
      </c>
      <c r="E109" s="110" t="str">
        <f t="shared" si="3"/>
        <v>20230630-104</v>
      </c>
      <c r="F109" s="111" t="s">
        <v>98</v>
      </c>
      <c r="G109" s="111" t="s">
        <v>99</v>
      </c>
      <c r="H109" s="112" t="s">
        <v>263</v>
      </c>
      <c r="I109" s="113">
        <v>470.96</v>
      </c>
      <c r="J109" s="111" t="s">
        <v>139</v>
      </c>
      <c r="K109" s="111" t="s">
        <v>267</v>
      </c>
      <c r="L109" s="111" t="s">
        <v>103</v>
      </c>
      <c r="M109" s="111" t="s">
        <v>104</v>
      </c>
      <c r="N109" s="111" t="s">
        <v>105</v>
      </c>
      <c r="O109" s="111" t="s">
        <v>106</v>
      </c>
      <c r="P109" s="111" t="s">
        <v>141</v>
      </c>
      <c r="Q109" s="110" t="s">
        <v>133</v>
      </c>
      <c r="R109" s="110" t="s">
        <v>142</v>
      </c>
      <c r="S109" s="111" t="s">
        <v>110</v>
      </c>
      <c r="T109" s="111" t="s">
        <v>111</v>
      </c>
      <c r="U109" s="111" t="s">
        <v>103</v>
      </c>
      <c r="V109" s="118">
        <f t="shared" si="5"/>
        <v>2.0299399900344472E-2</v>
      </c>
      <c r="W109" s="114" t="str">
        <f>IFERROR(I109-AVERAGEIFS(I$6:I108,J$6:J108,"ICIS / Platts",B$6:B108,B109),"")</f>
        <v/>
      </c>
      <c r="X109" s="110" t="s">
        <v>125</v>
      </c>
      <c r="Y109" s="117" t="str">
        <f t="shared" si="4"/>
        <v>OK</v>
      </c>
      <c r="Z109" s="111" t="s">
        <v>115</v>
      </c>
      <c r="AA109" s="111" t="s">
        <v>115</v>
      </c>
      <c r="AB109" s="111" t="s">
        <v>115</v>
      </c>
      <c r="AC109" s="111" t="s">
        <v>115</v>
      </c>
      <c r="AD109" s="111"/>
    </row>
    <row r="110" spans="2:30" ht="27.75" customHeight="1" x14ac:dyDescent="0.25">
      <c r="B110" s="108">
        <v>45110</v>
      </c>
      <c r="C110" s="109" t="s">
        <v>97</v>
      </c>
      <c r="D110" s="109">
        <v>27</v>
      </c>
      <c r="E110" s="110" t="str">
        <f t="shared" si="3"/>
        <v>20230703-105</v>
      </c>
      <c r="F110" s="111" t="s">
        <v>98</v>
      </c>
      <c r="G110" s="111" t="s">
        <v>99</v>
      </c>
      <c r="H110" s="112" t="s">
        <v>268</v>
      </c>
      <c r="I110" s="113">
        <v>465</v>
      </c>
      <c r="J110" s="111" t="s">
        <v>101</v>
      </c>
      <c r="K110" s="111" t="s">
        <v>269</v>
      </c>
      <c r="L110" s="111" t="s">
        <v>103</v>
      </c>
      <c r="M110" s="111" t="s">
        <v>104</v>
      </c>
      <c r="N110" s="111" t="s">
        <v>105</v>
      </c>
      <c r="O110" s="111" t="s">
        <v>106</v>
      </c>
      <c r="P110" s="111" t="s">
        <v>107</v>
      </c>
      <c r="Q110" s="110" t="s">
        <v>108</v>
      </c>
      <c r="R110" s="110" t="s">
        <v>109</v>
      </c>
      <c r="S110" s="111" t="s">
        <v>110</v>
      </c>
      <c r="T110" s="111" t="s">
        <v>111</v>
      </c>
      <c r="U110" s="111" t="s">
        <v>103</v>
      </c>
      <c r="V110" s="118">
        <f t="shared" si="5"/>
        <v>6.4935064935064939E-3</v>
      </c>
      <c r="W110" s="114" t="str">
        <f>IFERROR(I110-AVERAGEIFS(I$6:I109,J$6:J109,"ICIS / Platts",B$6:B109,B110),"")</f>
        <v/>
      </c>
      <c r="X110" s="110" t="s">
        <v>113</v>
      </c>
      <c r="Y110" s="117" t="str">
        <f t="shared" si="4"/>
        <v>OK</v>
      </c>
      <c r="Z110" s="111" t="s">
        <v>115</v>
      </c>
      <c r="AA110" s="111" t="s">
        <v>115</v>
      </c>
      <c r="AB110" s="111" t="s">
        <v>115</v>
      </c>
      <c r="AC110" s="111" t="s">
        <v>115</v>
      </c>
      <c r="AD110" s="111"/>
    </row>
    <row r="111" spans="2:30" ht="27.75" customHeight="1" x14ac:dyDescent="0.25">
      <c r="B111" s="115">
        <v>45111</v>
      </c>
      <c r="C111" s="116" t="s">
        <v>117</v>
      </c>
      <c r="D111" s="116">
        <v>27</v>
      </c>
      <c r="E111" s="110" t="str">
        <f t="shared" si="3"/>
        <v>20230704-106</v>
      </c>
      <c r="F111" s="111" t="s">
        <v>98</v>
      </c>
      <c r="G111" s="111" t="s">
        <v>99</v>
      </c>
      <c r="H111" s="112" t="s">
        <v>268</v>
      </c>
      <c r="I111" s="113">
        <v>471.96</v>
      </c>
      <c r="J111" s="111" t="s">
        <v>118</v>
      </c>
      <c r="K111" s="111" t="s">
        <v>270</v>
      </c>
      <c r="L111" s="111" t="s">
        <v>103</v>
      </c>
      <c r="M111" s="111" t="s">
        <v>104</v>
      </c>
      <c r="N111" s="111" t="s">
        <v>120</v>
      </c>
      <c r="O111" s="111" t="s">
        <v>121</v>
      </c>
      <c r="P111" s="111" t="s">
        <v>122</v>
      </c>
      <c r="Q111" s="110" t="s">
        <v>123</v>
      </c>
      <c r="R111" s="110" t="s">
        <v>124</v>
      </c>
      <c r="S111" s="111" t="s">
        <v>110</v>
      </c>
      <c r="T111" s="111" t="s">
        <v>111</v>
      </c>
      <c r="U111" s="111" t="s">
        <v>103</v>
      </c>
      <c r="V111" s="118">
        <f t="shared" si="5"/>
        <v>2.3152965660770047E-2</v>
      </c>
      <c r="W111" s="114" t="str">
        <f>IFERROR(I111-AVERAGEIFS(I$6:I110,J$6:J110,"ICIS / Platts",B$6:B110,B111),"")</f>
        <v/>
      </c>
      <c r="X111" s="110" t="s">
        <v>125</v>
      </c>
      <c r="Y111" s="117" t="str">
        <f t="shared" si="4"/>
        <v>OK</v>
      </c>
      <c r="Z111" s="111" t="s">
        <v>115</v>
      </c>
      <c r="AA111" s="111" t="s">
        <v>115</v>
      </c>
      <c r="AB111" s="111" t="s">
        <v>115</v>
      </c>
      <c r="AC111" s="111" t="s">
        <v>115</v>
      </c>
      <c r="AD111" s="111"/>
    </row>
    <row r="112" spans="2:30" ht="27.75" customHeight="1" x14ac:dyDescent="0.25">
      <c r="B112" s="108">
        <v>45112</v>
      </c>
      <c r="C112" s="109" t="s">
        <v>126</v>
      </c>
      <c r="D112" s="109">
        <v>27</v>
      </c>
      <c r="E112" s="110" t="str">
        <f t="shared" si="3"/>
        <v>20230705-107</v>
      </c>
      <c r="F112" s="111" t="s">
        <v>98</v>
      </c>
      <c r="G112" s="111" t="s">
        <v>99</v>
      </c>
      <c r="H112" s="112" t="s">
        <v>268</v>
      </c>
      <c r="I112" s="113">
        <v>470.76</v>
      </c>
      <c r="J112" s="111" t="s">
        <v>127</v>
      </c>
      <c r="K112" s="111" t="s">
        <v>271</v>
      </c>
      <c r="L112" s="111" t="s">
        <v>129</v>
      </c>
      <c r="M112" s="111" t="s">
        <v>104</v>
      </c>
      <c r="N112" s="111" t="s">
        <v>130</v>
      </c>
      <c r="O112" s="111" t="s">
        <v>131</v>
      </c>
      <c r="P112" s="111" t="s">
        <v>132</v>
      </c>
      <c r="Q112" s="110" t="s">
        <v>133</v>
      </c>
      <c r="R112" s="110" t="s">
        <v>134</v>
      </c>
      <c r="S112" s="111" t="s">
        <v>135</v>
      </c>
      <c r="T112" s="111" t="s">
        <v>136</v>
      </c>
      <c r="U112" s="111" t="s">
        <v>129</v>
      </c>
      <c r="V112" s="118">
        <f t="shared" si="5"/>
        <v>2.8781223365895271E-2</v>
      </c>
      <c r="W112" s="114" t="str">
        <f>IFERROR(I112-AVERAGEIFS(I$6:I111,J$6:J111,"ICIS / Platts",B$6:B111,B112),"")</f>
        <v/>
      </c>
      <c r="X112" s="110" t="s">
        <v>137</v>
      </c>
      <c r="Y112" s="117" t="str">
        <f t="shared" si="4"/>
        <v>OK</v>
      </c>
      <c r="Z112" s="111" t="s">
        <v>115</v>
      </c>
      <c r="AA112" s="111" t="s">
        <v>115</v>
      </c>
      <c r="AB112" s="111" t="s">
        <v>115</v>
      </c>
      <c r="AC112" s="111" t="s">
        <v>115</v>
      </c>
      <c r="AD112" s="111"/>
    </row>
    <row r="113" spans="2:30" ht="27.75" customHeight="1" x14ac:dyDescent="0.25">
      <c r="B113" s="115">
        <v>45114</v>
      </c>
      <c r="C113" s="116" t="s">
        <v>138</v>
      </c>
      <c r="D113" s="116">
        <v>27</v>
      </c>
      <c r="E113" s="110" t="str">
        <f t="shared" si="3"/>
        <v>20230707-108</v>
      </c>
      <c r="F113" s="111" t="s">
        <v>98</v>
      </c>
      <c r="G113" s="111" t="s">
        <v>99</v>
      </c>
      <c r="H113" s="112" t="s">
        <v>268</v>
      </c>
      <c r="I113" s="113">
        <v>473.24</v>
      </c>
      <c r="J113" s="111" t="s">
        <v>139</v>
      </c>
      <c r="K113" s="111" t="s">
        <v>272</v>
      </c>
      <c r="L113" s="111" t="s">
        <v>103</v>
      </c>
      <c r="M113" s="111" t="s">
        <v>104</v>
      </c>
      <c r="N113" s="111" t="s">
        <v>105</v>
      </c>
      <c r="O113" s="111" t="s">
        <v>106</v>
      </c>
      <c r="P113" s="111" t="s">
        <v>141</v>
      </c>
      <c r="Q113" s="110" t="s">
        <v>133</v>
      </c>
      <c r="R113" s="110" t="s">
        <v>142</v>
      </c>
      <c r="S113" s="111" t="s">
        <v>110</v>
      </c>
      <c r="T113" s="111" t="s">
        <v>111</v>
      </c>
      <c r="U113" s="111" t="s">
        <v>103</v>
      </c>
      <c r="V113" s="118">
        <f t="shared" si="5"/>
        <v>4.8411754713776744E-3</v>
      </c>
      <c r="W113" s="114" t="str">
        <f>IFERROR(I113-AVERAGEIFS(I$6:I112,J$6:J112,"ICIS / Platts",B$6:B112,B113),"")</f>
        <v/>
      </c>
      <c r="X113" s="110" t="s">
        <v>125</v>
      </c>
      <c r="Y113" s="117" t="str">
        <f t="shared" si="4"/>
        <v>OK</v>
      </c>
      <c r="Z113" s="111" t="s">
        <v>115</v>
      </c>
      <c r="AA113" s="111" t="s">
        <v>115</v>
      </c>
      <c r="AB113" s="111" t="s">
        <v>115</v>
      </c>
      <c r="AC113" s="111" t="s">
        <v>115</v>
      </c>
      <c r="AD113" s="111"/>
    </row>
    <row r="114" spans="2:30" ht="27.75" customHeight="1" x14ac:dyDescent="0.25">
      <c r="B114" s="108">
        <v>45117</v>
      </c>
      <c r="C114" s="109" t="s">
        <v>97</v>
      </c>
      <c r="D114" s="109">
        <v>28</v>
      </c>
      <c r="E114" s="110" t="str">
        <f t="shared" si="3"/>
        <v>20230710-109</v>
      </c>
      <c r="F114" s="111" t="s">
        <v>98</v>
      </c>
      <c r="G114" s="111" t="s">
        <v>99</v>
      </c>
      <c r="H114" s="112" t="s">
        <v>273</v>
      </c>
      <c r="I114" s="113">
        <v>468</v>
      </c>
      <c r="J114" s="111" t="s">
        <v>101</v>
      </c>
      <c r="K114" s="111" t="s">
        <v>274</v>
      </c>
      <c r="L114" s="111" t="s">
        <v>103</v>
      </c>
      <c r="M114" s="111" t="s">
        <v>104</v>
      </c>
      <c r="N114" s="111" t="s">
        <v>105</v>
      </c>
      <c r="O114" s="111" t="s">
        <v>106</v>
      </c>
      <c r="P114" s="111" t="s">
        <v>107</v>
      </c>
      <c r="Q114" s="110" t="s">
        <v>108</v>
      </c>
      <c r="R114" s="110" t="s">
        <v>109</v>
      </c>
      <c r="S114" s="111" t="s">
        <v>110</v>
      </c>
      <c r="T114" s="111" t="s">
        <v>111</v>
      </c>
      <c r="U114" s="111" t="s">
        <v>103</v>
      </c>
      <c r="V114" s="118">
        <f t="shared" si="5"/>
        <v>6.4516129032258064E-3</v>
      </c>
      <c r="W114" s="114" t="str">
        <f>IFERROR(I114-AVERAGEIFS(I$6:I113,J$6:J113,"ICIS / Platts",B$6:B113,B114),"")</f>
        <v/>
      </c>
      <c r="X114" s="110" t="s">
        <v>113</v>
      </c>
      <c r="Y114" s="117" t="str">
        <f t="shared" si="4"/>
        <v>OK</v>
      </c>
      <c r="Z114" s="111" t="s">
        <v>116</v>
      </c>
      <c r="AA114" s="111" t="s">
        <v>115</v>
      </c>
      <c r="AB114" s="111" t="s">
        <v>115</v>
      </c>
      <c r="AC114" s="111" t="s">
        <v>115</v>
      </c>
      <c r="AD114" s="111"/>
    </row>
    <row r="115" spans="2:30" ht="27.75" customHeight="1" x14ac:dyDescent="0.25">
      <c r="B115" s="115">
        <v>45118</v>
      </c>
      <c r="C115" s="116" t="s">
        <v>117</v>
      </c>
      <c r="D115" s="116">
        <v>28</v>
      </c>
      <c r="E115" s="110" t="str">
        <f t="shared" si="3"/>
        <v>20230711-110</v>
      </c>
      <c r="F115" s="111" t="s">
        <v>98</v>
      </c>
      <c r="G115" s="111" t="s">
        <v>99</v>
      </c>
      <c r="H115" s="112" t="s">
        <v>273</v>
      </c>
      <c r="I115" s="113">
        <v>469.55</v>
      </c>
      <c r="J115" s="111" t="s">
        <v>118</v>
      </c>
      <c r="K115" s="111" t="s">
        <v>275</v>
      </c>
      <c r="L115" s="111" t="s">
        <v>103</v>
      </c>
      <c r="M115" s="111" t="s">
        <v>104</v>
      </c>
      <c r="N115" s="111" t="s">
        <v>120</v>
      </c>
      <c r="O115" s="111" t="s">
        <v>121</v>
      </c>
      <c r="P115" s="111" t="s">
        <v>122</v>
      </c>
      <c r="Q115" s="110" t="s">
        <v>123</v>
      </c>
      <c r="R115" s="110" t="s">
        <v>124</v>
      </c>
      <c r="S115" s="111" t="s">
        <v>110</v>
      </c>
      <c r="T115" s="111" t="s">
        <v>111</v>
      </c>
      <c r="U115" s="111" t="s">
        <v>103</v>
      </c>
      <c r="V115" s="118">
        <f t="shared" si="5"/>
        <v>-5.106364946181813E-3</v>
      </c>
      <c r="W115" s="114" t="str">
        <f>IFERROR(I115-AVERAGEIFS(I$6:I114,J$6:J114,"ICIS / Platts",B$6:B114,B115),"")</f>
        <v/>
      </c>
      <c r="X115" s="110" t="s">
        <v>125</v>
      </c>
      <c r="Y115" s="117" t="str">
        <f t="shared" si="4"/>
        <v>OK</v>
      </c>
      <c r="Z115" s="111" t="s">
        <v>116</v>
      </c>
      <c r="AA115" s="111" t="s">
        <v>115</v>
      </c>
      <c r="AB115" s="111" t="s">
        <v>115</v>
      </c>
      <c r="AC115" s="111" t="s">
        <v>115</v>
      </c>
      <c r="AD115" s="111"/>
    </row>
    <row r="116" spans="2:30" ht="27.75" customHeight="1" x14ac:dyDescent="0.25">
      <c r="B116" s="108">
        <v>45119</v>
      </c>
      <c r="C116" s="109" t="s">
        <v>126</v>
      </c>
      <c r="D116" s="109">
        <v>28</v>
      </c>
      <c r="E116" s="110" t="str">
        <f t="shared" si="3"/>
        <v>20230712-111</v>
      </c>
      <c r="F116" s="111" t="s">
        <v>98</v>
      </c>
      <c r="G116" s="111" t="s">
        <v>99</v>
      </c>
      <c r="H116" s="112" t="s">
        <v>273</v>
      </c>
      <c r="I116" s="113">
        <v>465.7</v>
      </c>
      <c r="J116" s="111" t="s">
        <v>127</v>
      </c>
      <c r="K116" s="111" t="s">
        <v>276</v>
      </c>
      <c r="L116" s="111" t="s">
        <v>129</v>
      </c>
      <c r="M116" s="111" t="s">
        <v>104</v>
      </c>
      <c r="N116" s="111" t="s">
        <v>130</v>
      </c>
      <c r="O116" s="111" t="s">
        <v>131</v>
      </c>
      <c r="P116" s="111" t="s">
        <v>132</v>
      </c>
      <c r="Q116" s="110" t="s">
        <v>133</v>
      </c>
      <c r="R116" s="110" t="s">
        <v>134</v>
      </c>
      <c r="S116" s="111" t="s">
        <v>135</v>
      </c>
      <c r="T116" s="111" t="s">
        <v>136</v>
      </c>
      <c r="U116" s="111" t="s">
        <v>129</v>
      </c>
      <c r="V116" s="118">
        <f t="shared" si="5"/>
        <v>-1.0748576769479145E-2</v>
      </c>
      <c r="W116" s="114" t="str">
        <f>IFERROR(I116-AVERAGEIFS(I$6:I115,J$6:J115,"ICIS / Platts",B$6:B115,B116),"")</f>
        <v/>
      </c>
      <c r="X116" s="110" t="s">
        <v>137</v>
      </c>
      <c r="Y116" s="117" t="str">
        <f t="shared" si="4"/>
        <v>OK</v>
      </c>
      <c r="Z116" s="111" t="s">
        <v>116</v>
      </c>
      <c r="AA116" s="111" t="s">
        <v>115</v>
      </c>
      <c r="AB116" s="111" t="s">
        <v>115</v>
      </c>
      <c r="AC116" s="111" t="s">
        <v>115</v>
      </c>
      <c r="AD116" s="111"/>
    </row>
    <row r="117" spans="2:30" ht="27.75" customHeight="1" x14ac:dyDescent="0.25">
      <c r="B117" s="115">
        <v>45121</v>
      </c>
      <c r="C117" s="116" t="s">
        <v>138</v>
      </c>
      <c r="D117" s="116">
        <v>28</v>
      </c>
      <c r="E117" s="110" t="str">
        <f t="shared" si="3"/>
        <v>20230714-112</v>
      </c>
      <c r="F117" s="111" t="s">
        <v>98</v>
      </c>
      <c r="G117" s="111" t="s">
        <v>99</v>
      </c>
      <c r="H117" s="112" t="s">
        <v>273</v>
      </c>
      <c r="I117" s="113">
        <v>467.75</v>
      </c>
      <c r="J117" s="111" t="s">
        <v>139</v>
      </c>
      <c r="K117" s="111" t="s">
        <v>277</v>
      </c>
      <c r="L117" s="111" t="s">
        <v>103</v>
      </c>
      <c r="M117" s="111" t="s">
        <v>104</v>
      </c>
      <c r="N117" s="111" t="s">
        <v>105</v>
      </c>
      <c r="O117" s="111" t="s">
        <v>106</v>
      </c>
      <c r="P117" s="111" t="s">
        <v>141</v>
      </c>
      <c r="Q117" s="110" t="s">
        <v>133</v>
      </c>
      <c r="R117" s="110" t="s">
        <v>142</v>
      </c>
      <c r="S117" s="111" t="s">
        <v>110</v>
      </c>
      <c r="T117" s="111" t="s">
        <v>111</v>
      </c>
      <c r="U117" s="111" t="s">
        <v>103</v>
      </c>
      <c r="V117" s="118">
        <f t="shared" si="5"/>
        <v>-1.1600879046572582E-2</v>
      </c>
      <c r="W117" s="114" t="str">
        <f>IFERROR(I117-AVERAGEIFS(I$6:I116,J$6:J116,"ICIS / Platts",B$6:B116,B117),"")</f>
        <v/>
      </c>
      <c r="X117" s="110" t="s">
        <v>125</v>
      </c>
      <c r="Y117" s="117" t="str">
        <f t="shared" si="4"/>
        <v>OK</v>
      </c>
      <c r="Z117" s="111" t="s">
        <v>116</v>
      </c>
      <c r="AA117" s="111" t="s">
        <v>115</v>
      </c>
      <c r="AB117" s="111" t="s">
        <v>115</v>
      </c>
      <c r="AC117" s="111" t="s">
        <v>115</v>
      </c>
      <c r="AD117" s="111"/>
    </row>
    <row r="118" spans="2:30" ht="27.75" customHeight="1" x14ac:dyDescent="0.25">
      <c r="B118" s="108">
        <v>45124</v>
      </c>
      <c r="C118" s="109" t="s">
        <v>97</v>
      </c>
      <c r="D118" s="109">
        <v>29</v>
      </c>
      <c r="E118" s="110" t="str">
        <f t="shared" si="3"/>
        <v>20230717-113</v>
      </c>
      <c r="F118" s="111" t="s">
        <v>98</v>
      </c>
      <c r="G118" s="111" t="s">
        <v>99</v>
      </c>
      <c r="H118" s="112" t="s">
        <v>278</v>
      </c>
      <c r="I118" s="113">
        <v>472</v>
      </c>
      <c r="J118" s="111" t="s">
        <v>101</v>
      </c>
      <c r="K118" s="111" t="s">
        <v>279</v>
      </c>
      <c r="L118" s="111" t="s">
        <v>103</v>
      </c>
      <c r="M118" s="111" t="s">
        <v>104</v>
      </c>
      <c r="N118" s="111" t="s">
        <v>105</v>
      </c>
      <c r="O118" s="111" t="s">
        <v>106</v>
      </c>
      <c r="P118" s="111" t="s">
        <v>107</v>
      </c>
      <c r="Q118" s="110" t="s">
        <v>108</v>
      </c>
      <c r="R118" s="110" t="s">
        <v>109</v>
      </c>
      <c r="S118" s="111" t="s">
        <v>110</v>
      </c>
      <c r="T118" s="111" t="s">
        <v>111</v>
      </c>
      <c r="U118" s="111" t="s">
        <v>103</v>
      </c>
      <c r="V118" s="118">
        <f t="shared" si="5"/>
        <v>8.5470085470085479E-3</v>
      </c>
      <c r="W118" s="114" t="str">
        <f>IFERROR(I118-AVERAGEIFS(I$6:I117,J$6:J117,"ICIS / Platts",B$6:B117,B118),"")</f>
        <v/>
      </c>
      <c r="X118" s="110" t="s">
        <v>113</v>
      </c>
      <c r="Y118" s="117" t="str">
        <f t="shared" si="4"/>
        <v>OK</v>
      </c>
      <c r="Z118" s="111" t="s">
        <v>116</v>
      </c>
      <c r="AA118" s="111" t="s">
        <v>115</v>
      </c>
      <c r="AB118" s="111" t="s">
        <v>115</v>
      </c>
      <c r="AC118" s="111" t="s">
        <v>116</v>
      </c>
      <c r="AD118" s="111"/>
    </row>
    <row r="119" spans="2:30" ht="27.75" customHeight="1" x14ac:dyDescent="0.25">
      <c r="B119" s="115">
        <v>45125</v>
      </c>
      <c r="C119" s="116" t="s">
        <v>117</v>
      </c>
      <c r="D119" s="116">
        <v>29</v>
      </c>
      <c r="E119" s="110" t="str">
        <f t="shared" si="3"/>
        <v>20230718-114</v>
      </c>
      <c r="F119" s="111" t="s">
        <v>98</v>
      </c>
      <c r="G119" s="111" t="s">
        <v>99</v>
      </c>
      <c r="H119" s="112" t="s">
        <v>278</v>
      </c>
      <c r="I119" s="113">
        <v>467.91</v>
      </c>
      <c r="J119" s="111" t="s">
        <v>118</v>
      </c>
      <c r="K119" s="111" t="s">
        <v>280</v>
      </c>
      <c r="L119" s="111" t="s">
        <v>103</v>
      </c>
      <c r="M119" s="111" t="s">
        <v>104</v>
      </c>
      <c r="N119" s="111" t="s">
        <v>120</v>
      </c>
      <c r="O119" s="111" t="s">
        <v>121</v>
      </c>
      <c r="P119" s="111" t="s">
        <v>122</v>
      </c>
      <c r="Q119" s="110" t="s">
        <v>123</v>
      </c>
      <c r="R119" s="110" t="s">
        <v>124</v>
      </c>
      <c r="S119" s="111" t="s">
        <v>110</v>
      </c>
      <c r="T119" s="111" t="s">
        <v>111</v>
      </c>
      <c r="U119" s="111" t="s">
        <v>103</v>
      </c>
      <c r="V119" s="118">
        <f t="shared" si="5"/>
        <v>-3.492705782131799E-3</v>
      </c>
      <c r="W119" s="114" t="str">
        <f>IFERROR(I119-AVERAGEIFS(I$6:I118,J$6:J118,"ICIS / Platts",B$6:B118,B119),"")</f>
        <v/>
      </c>
      <c r="X119" s="110" t="s">
        <v>125</v>
      </c>
      <c r="Y119" s="117" t="str">
        <f t="shared" si="4"/>
        <v>OK</v>
      </c>
      <c r="Z119" s="111" t="s">
        <v>116</v>
      </c>
      <c r="AA119" s="111" t="s">
        <v>115</v>
      </c>
      <c r="AB119" s="111" t="s">
        <v>115</v>
      </c>
      <c r="AC119" s="111" t="s">
        <v>116</v>
      </c>
      <c r="AD119" s="111"/>
    </row>
    <row r="120" spans="2:30" ht="27.75" customHeight="1" x14ac:dyDescent="0.25">
      <c r="B120" s="108">
        <v>45126</v>
      </c>
      <c r="C120" s="109" t="s">
        <v>126</v>
      </c>
      <c r="D120" s="109">
        <v>29</v>
      </c>
      <c r="E120" s="110" t="str">
        <f t="shared" si="3"/>
        <v>20230719-115</v>
      </c>
      <c r="F120" s="111" t="s">
        <v>98</v>
      </c>
      <c r="G120" s="111" t="s">
        <v>99</v>
      </c>
      <c r="H120" s="112" t="s">
        <v>278</v>
      </c>
      <c r="I120" s="113">
        <v>479.25</v>
      </c>
      <c r="J120" s="111" t="s">
        <v>127</v>
      </c>
      <c r="K120" s="111" t="s">
        <v>281</v>
      </c>
      <c r="L120" s="111" t="s">
        <v>129</v>
      </c>
      <c r="M120" s="111" t="s">
        <v>104</v>
      </c>
      <c r="N120" s="111" t="s">
        <v>130</v>
      </c>
      <c r="O120" s="111" t="s">
        <v>131</v>
      </c>
      <c r="P120" s="111" t="s">
        <v>132</v>
      </c>
      <c r="Q120" s="110" t="s">
        <v>133</v>
      </c>
      <c r="R120" s="110" t="s">
        <v>134</v>
      </c>
      <c r="S120" s="111" t="s">
        <v>135</v>
      </c>
      <c r="T120" s="111" t="s">
        <v>136</v>
      </c>
      <c r="U120" s="111" t="s">
        <v>129</v>
      </c>
      <c r="V120" s="118">
        <f t="shared" si="5"/>
        <v>2.9095984539403073E-2</v>
      </c>
      <c r="W120" s="114" t="str">
        <f>IFERROR(I120-AVERAGEIFS(I$6:I119,J$6:J119,"ICIS / Platts",B$6:B119,B120),"")</f>
        <v/>
      </c>
      <c r="X120" s="110" t="s">
        <v>137</v>
      </c>
      <c r="Y120" s="117" t="str">
        <f t="shared" si="4"/>
        <v>OK</v>
      </c>
      <c r="Z120" s="111" t="s">
        <v>116</v>
      </c>
      <c r="AA120" s="111" t="s">
        <v>115</v>
      </c>
      <c r="AB120" s="111" t="s">
        <v>115</v>
      </c>
      <c r="AC120" s="111" t="s">
        <v>116</v>
      </c>
      <c r="AD120" s="111"/>
    </row>
    <row r="121" spans="2:30" ht="27.75" customHeight="1" x14ac:dyDescent="0.25">
      <c r="B121" s="115">
        <v>45128</v>
      </c>
      <c r="C121" s="116" t="s">
        <v>138</v>
      </c>
      <c r="D121" s="116">
        <v>29</v>
      </c>
      <c r="E121" s="110" t="str">
        <f t="shared" si="3"/>
        <v>20230721-116</v>
      </c>
      <c r="F121" s="111" t="s">
        <v>98</v>
      </c>
      <c r="G121" s="111" t="s">
        <v>99</v>
      </c>
      <c r="H121" s="112" t="s">
        <v>278</v>
      </c>
      <c r="I121" s="113">
        <v>468.97</v>
      </c>
      <c r="J121" s="111" t="s">
        <v>139</v>
      </c>
      <c r="K121" s="111" t="s">
        <v>282</v>
      </c>
      <c r="L121" s="111" t="s">
        <v>103</v>
      </c>
      <c r="M121" s="111" t="s">
        <v>104</v>
      </c>
      <c r="N121" s="111" t="s">
        <v>105</v>
      </c>
      <c r="O121" s="111" t="s">
        <v>106</v>
      </c>
      <c r="P121" s="111" t="s">
        <v>141</v>
      </c>
      <c r="Q121" s="110" t="s">
        <v>133</v>
      </c>
      <c r="R121" s="110" t="s">
        <v>142</v>
      </c>
      <c r="S121" s="111" t="s">
        <v>110</v>
      </c>
      <c r="T121" s="111" t="s">
        <v>111</v>
      </c>
      <c r="U121" s="111" t="s">
        <v>103</v>
      </c>
      <c r="V121" s="118">
        <f t="shared" si="5"/>
        <v>2.6082308925708762E-3</v>
      </c>
      <c r="W121" s="114" t="str">
        <f>IFERROR(I121-AVERAGEIFS(I$6:I120,J$6:J120,"ICIS / Platts",B$6:B120,B121),"")</f>
        <v/>
      </c>
      <c r="X121" s="110" t="s">
        <v>125</v>
      </c>
      <c r="Y121" s="117" t="str">
        <f t="shared" si="4"/>
        <v>OK</v>
      </c>
      <c r="Z121" s="111" t="s">
        <v>116</v>
      </c>
      <c r="AA121" s="111" t="s">
        <v>115</v>
      </c>
      <c r="AB121" s="111" t="s">
        <v>115</v>
      </c>
      <c r="AC121" s="111" t="s">
        <v>116</v>
      </c>
      <c r="AD121" s="111"/>
    </row>
    <row r="122" spans="2:30" ht="27.75" customHeight="1" x14ac:dyDescent="0.25">
      <c r="B122" s="108">
        <v>45131</v>
      </c>
      <c r="C122" s="109" t="s">
        <v>97</v>
      </c>
      <c r="D122" s="109">
        <v>30</v>
      </c>
      <c r="E122" s="110" t="str">
        <f t="shared" si="3"/>
        <v>20230724-117</v>
      </c>
      <c r="F122" s="111" t="s">
        <v>98</v>
      </c>
      <c r="G122" s="111" t="s">
        <v>99</v>
      </c>
      <c r="H122" s="112" t="s">
        <v>283</v>
      </c>
      <c r="I122" s="113">
        <v>475</v>
      </c>
      <c r="J122" s="111" t="s">
        <v>101</v>
      </c>
      <c r="K122" s="111" t="s">
        <v>284</v>
      </c>
      <c r="L122" s="111" t="s">
        <v>103</v>
      </c>
      <c r="M122" s="111" t="s">
        <v>104</v>
      </c>
      <c r="N122" s="111" t="s">
        <v>105</v>
      </c>
      <c r="O122" s="111" t="s">
        <v>106</v>
      </c>
      <c r="P122" s="111" t="s">
        <v>107</v>
      </c>
      <c r="Q122" s="110" t="s">
        <v>108</v>
      </c>
      <c r="R122" s="110" t="s">
        <v>109</v>
      </c>
      <c r="S122" s="111" t="s">
        <v>110</v>
      </c>
      <c r="T122" s="111" t="s">
        <v>111</v>
      </c>
      <c r="U122" s="111" t="s">
        <v>103</v>
      </c>
      <c r="V122" s="118">
        <f t="shared" si="5"/>
        <v>6.3559322033898309E-3</v>
      </c>
      <c r="W122" s="114" t="str">
        <f>IFERROR(I122-AVERAGEIFS(I$6:I121,J$6:J121,"ICIS / Platts",B$6:B121,B122),"")</f>
        <v/>
      </c>
      <c r="X122" s="110" t="s">
        <v>113</v>
      </c>
      <c r="Y122" s="117" t="str">
        <f t="shared" si="4"/>
        <v>OK</v>
      </c>
      <c r="Z122" s="111" t="s">
        <v>116</v>
      </c>
      <c r="AA122" s="111" t="s">
        <v>115</v>
      </c>
      <c r="AB122" s="111" t="s">
        <v>116</v>
      </c>
      <c r="AC122" s="111" t="s">
        <v>116</v>
      </c>
      <c r="AD122" s="111"/>
    </row>
    <row r="123" spans="2:30" ht="27.75" customHeight="1" x14ac:dyDescent="0.25">
      <c r="B123" s="115">
        <v>45132</v>
      </c>
      <c r="C123" s="116" t="s">
        <v>117</v>
      </c>
      <c r="D123" s="116">
        <v>30</v>
      </c>
      <c r="E123" s="110" t="str">
        <f t="shared" si="3"/>
        <v>20230725-118</v>
      </c>
      <c r="F123" s="111" t="s">
        <v>98</v>
      </c>
      <c r="G123" s="111" t="s">
        <v>99</v>
      </c>
      <c r="H123" s="112" t="s">
        <v>283</v>
      </c>
      <c r="I123" s="113">
        <v>474.48</v>
      </c>
      <c r="J123" s="111" t="s">
        <v>118</v>
      </c>
      <c r="K123" s="111" t="s">
        <v>285</v>
      </c>
      <c r="L123" s="111" t="s">
        <v>103</v>
      </c>
      <c r="M123" s="111" t="s">
        <v>104</v>
      </c>
      <c r="N123" s="111" t="s">
        <v>120</v>
      </c>
      <c r="O123" s="111" t="s">
        <v>121</v>
      </c>
      <c r="P123" s="111" t="s">
        <v>122</v>
      </c>
      <c r="Q123" s="110" t="s">
        <v>123</v>
      </c>
      <c r="R123" s="110" t="s">
        <v>124</v>
      </c>
      <c r="S123" s="111" t="s">
        <v>110</v>
      </c>
      <c r="T123" s="111" t="s">
        <v>111</v>
      </c>
      <c r="U123" s="111" t="s">
        <v>103</v>
      </c>
      <c r="V123" s="118">
        <f t="shared" si="5"/>
        <v>1.404116176187727E-2</v>
      </c>
      <c r="W123" s="114" t="str">
        <f>IFERROR(I123-AVERAGEIFS(I$6:I122,J$6:J122,"ICIS / Platts",B$6:B122,B123),"")</f>
        <v/>
      </c>
      <c r="X123" s="110" t="s">
        <v>125</v>
      </c>
      <c r="Y123" s="117" t="str">
        <f t="shared" si="4"/>
        <v>OK</v>
      </c>
      <c r="Z123" s="111" t="s">
        <v>116</v>
      </c>
      <c r="AA123" s="111" t="s">
        <v>115</v>
      </c>
      <c r="AB123" s="111" t="s">
        <v>116</v>
      </c>
      <c r="AC123" s="111" t="s">
        <v>116</v>
      </c>
      <c r="AD123" s="111"/>
    </row>
    <row r="124" spans="2:30" ht="27.75" customHeight="1" x14ac:dyDescent="0.25">
      <c r="B124" s="108">
        <v>45133</v>
      </c>
      <c r="C124" s="109" t="s">
        <v>126</v>
      </c>
      <c r="D124" s="109">
        <v>30</v>
      </c>
      <c r="E124" s="110" t="str">
        <f t="shared" si="3"/>
        <v>20230726-119</v>
      </c>
      <c r="F124" s="111" t="s">
        <v>98</v>
      </c>
      <c r="G124" s="111" t="s">
        <v>99</v>
      </c>
      <c r="H124" s="112" t="s">
        <v>283</v>
      </c>
      <c r="I124" s="113">
        <v>486.68</v>
      </c>
      <c r="J124" s="111" t="s">
        <v>127</v>
      </c>
      <c r="K124" s="111" t="s">
        <v>286</v>
      </c>
      <c r="L124" s="111" t="s">
        <v>129</v>
      </c>
      <c r="M124" s="111" t="s">
        <v>104</v>
      </c>
      <c r="N124" s="111" t="s">
        <v>130</v>
      </c>
      <c r="O124" s="111" t="s">
        <v>131</v>
      </c>
      <c r="P124" s="111" t="s">
        <v>132</v>
      </c>
      <c r="Q124" s="110" t="s">
        <v>133</v>
      </c>
      <c r="R124" s="110" t="s">
        <v>134</v>
      </c>
      <c r="S124" s="111" t="s">
        <v>135</v>
      </c>
      <c r="T124" s="111" t="s">
        <v>136</v>
      </c>
      <c r="U124" s="111" t="s">
        <v>129</v>
      </c>
      <c r="V124" s="118">
        <f t="shared" si="5"/>
        <v>1.5503390714658335E-2</v>
      </c>
      <c r="W124" s="114" t="str">
        <f>IFERROR(I124-AVERAGEIFS(I$6:I123,J$6:J123,"ICIS / Platts",B$6:B123,B124),"")</f>
        <v/>
      </c>
      <c r="X124" s="110" t="s">
        <v>137</v>
      </c>
      <c r="Y124" s="117" t="str">
        <f t="shared" si="4"/>
        <v>OK</v>
      </c>
      <c r="Z124" s="111" t="s">
        <v>116</v>
      </c>
      <c r="AA124" s="111" t="s">
        <v>115</v>
      </c>
      <c r="AB124" s="111" t="s">
        <v>116</v>
      </c>
      <c r="AC124" s="111" t="s">
        <v>116</v>
      </c>
      <c r="AD124" s="111"/>
    </row>
    <row r="125" spans="2:30" ht="27.75" customHeight="1" x14ac:dyDescent="0.25">
      <c r="B125" s="115">
        <v>45135</v>
      </c>
      <c r="C125" s="116" t="s">
        <v>138</v>
      </c>
      <c r="D125" s="116">
        <v>30</v>
      </c>
      <c r="E125" s="110" t="str">
        <f t="shared" si="3"/>
        <v>20230728-120</v>
      </c>
      <c r="F125" s="111" t="s">
        <v>98</v>
      </c>
      <c r="G125" s="111" t="s">
        <v>99</v>
      </c>
      <c r="H125" s="112" t="s">
        <v>283</v>
      </c>
      <c r="I125" s="113">
        <v>476.37</v>
      </c>
      <c r="J125" s="111" t="s">
        <v>139</v>
      </c>
      <c r="K125" s="111" t="s">
        <v>287</v>
      </c>
      <c r="L125" s="111" t="s">
        <v>103</v>
      </c>
      <c r="M125" s="111" t="s">
        <v>104</v>
      </c>
      <c r="N125" s="111" t="s">
        <v>105</v>
      </c>
      <c r="O125" s="111" t="s">
        <v>106</v>
      </c>
      <c r="P125" s="111" t="s">
        <v>141</v>
      </c>
      <c r="Q125" s="110" t="s">
        <v>133</v>
      </c>
      <c r="R125" s="110" t="s">
        <v>142</v>
      </c>
      <c r="S125" s="111" t="s">
        <v>110</v>
      </c>
      <c r="T125" s="111" t="s">
        <v>111</v>
      </c>
      <c r="U125" s="111" t="s">
        <v>103</v>
      </c>
      <c r="V125" s="118">
        <f t="shared" si="5"/>
        <v>1.5779260933535145E-2</v>
      </c>
      <c r="W125" s="114" t="str">
        <f>IFERROR(I125-AVERAGEIFS(I$6:I124,J$6:J124,"ICIS / Platts",B$6:B124,B125),"")</f>
        <v/>
      </c>
      <c r="X125" s="110" t="s">
        <v>125</v>
      </c>
      <c r="Y125" s="117" t="str">
        <f t="shared" si="4"/>
        <v>OK</v>
      </c>
      <c r="Z125" s="111" t="s">
        <v>116</v>
      </c>
      <c r="AA125" s="111" t="s">
        <v>115</v>
      </c>
      <c r="AB125" s="111" t="s">
        <v>116</v>
      </c>
      <c r="AC125" s="111" t="s">
        <v>116</v>
      </c>
      <c r="AD125" s="111"/>
    </row>
    <row r="126" spans="2:30" ht="27.75" customHeight="1" x14ac:dyDescent="0.25">
      <c r="B126" s="108">
        <v>45138</v>
      </c>
      <c r="C126" s="109" t="s">
        <v>97</v>
      </c>
      <c r="D126" s="109">
        <v>31</v>
      </c>
      <c r="E126" s="110" t="str">
        <f t="shared" si="3"/>
        <v>20230731-121</v>
      </c>
      <c r="F126" s="111" t="s">
        <v>98</v>
      </c>
      <c r="G126" s="111" t="s">
        <v>99</v>
      </c>
      <c r="H126" s="112" t="s">
        <v>288</v>
      </c>
      <c r="I126" s="113">
        <v>478</v>
      </c>
      <c r="J126" s="111" t="s">
        <v>101</v>
      </c>
      <c r="K126" s="111" t="s">
        <v>289</v>
      </c>
      <c r="L126" s="111" t="s">
        <v>103</v>
      </c>
      <c r="M126" s="111" t="s">
        <v>104</v>
      </c>
      <c r="N126" s="111" t="s">
        <v>105</v>
      </c>
      <c r="O126" s="111" t="s">
        <v>106</v>
      </c>
      <c r="P126" s="111" t="s">
        <v>107</v>
      </c>
      <c r="Q126" s="110" t="s">
        <v>108</v>
      </c>
      <c r="R126" s="110" t="s">
        <v>109</v>
      </c>
      <c r="S126" s="111" t="s">
        <v>110</v>
      </c>
      <c r="T126" s="111" t="s">
        <v>111</v>
      </c>
      <c r="U126" s="111" t="s">
        <v>103</v>
      </c>
      <c r="V126" s="118">
        <f t="shared" si="5"/>
        <v>6.3157894736842104E-3</v>
      </c>
      <c r="W126" s="114" t="str">
        <f>IFERROR(I126-AVERAGEIFS(I$6:I125,J$6:J125,"ICIS / Platts",B$6:B125,B126),"")</f>
        <v/>
      </c>
      <c r="X126" s="110" t="s">
        <v>113</v>
      </c>
      <c r="Y126" s="117" t="str">
        <f t="shared" si="4"/>
        <v>OK</v>
      </c>
      <c r="Z126" s="111" t="s">
        <v>116</v>
      </c>
      <c r="AA126" s="111" t="s">
        <v>115</v>
      </c>
      <c r="AB126" s="111" t="s">
        <v>116</v>
      </c>
      <c r="AC126" s="111" t="s">
        <v>115</v>
      </c>
      <c r="AD126" s="111"/>
    </row>
    <row r="127" spans="2:30" ht="27.75" customHeight="1" x14ac:dyDescent="0.25">
      <c r="B127" s="115">
        <v>45139</v>
      </c>
      <c r="C127" s="116" t="s">
        <v>117</v>
      </c>
      <c r="D127" s="116">
        <v>31</v>
      </c>
      <c r="E127" s="110" t="str">
        <f t="shared" si="3"/>
        <v>20230801-122</v>
      </c>
      <c r="F127" s="111" t="s">
        <v>98</v>
      </c>
      <c r="G127" s="111" t="s">
        <v>99</v>
      </c>
      <c r="H127" s="112" t="s">
        <v>288</v>
      </c>
      <c r="I127" s="113">
        <v>488.95</v>
      </c>
      <c r="J127" s="111" t="s">
        <v>118</v>
      </c>
      <c r="K127" s="111" t="s">
        <v>290</v>
      </c>
      <c r="L127" s="111" t="s">
        <v>103</v>
      </c>
      <c r="M127" s="111" t="s">
        <v>104</v>
      </c>
      <c r="N127" s="111" t="s">
        <v>120</v>
      </c>
      <c r="O127" s="111" t="s">
        <v>121</v>
      </c>
      <c r="P127" s="111" t="s">
        <v>122</v>
      </c>
      <c r="Q127" s="110" t="s">
        <v>123</v>
      </c>
      <c r="R127" s="110" t="s">
        <v>124</v>
      </c>
      <c r="S127" s="111" t="s">
        <v>110</v>
      </c>
      <c r="T127" s="111" t="s">
        <v>111</v>
      </c>
      <c r="U127" s="111" t="s">
        <v>103</v>
      </c>
      <c r="V127" s="118">
        <f t="shared" si="5"/>
        <v>3.0496543584555662E-2</v>
      </c>
      <c r="W127" s="114" t="str">
        <f>IFERROR(I127-AVERAGEIFS(I$6:I126,J$6:J126,"ICIS / Platts",B$6:B126,B127),"")</f>
        <v/>
      </c>
      <c r="X127" s="110" t="s">
        <v>125</v>
      </c>
      <c r="Y127" s="117" t="str">
        <f t="shared" si="4"/>
        <v>OK</v>
      </c>
      <c r="Z127" s="111" t="s">
        <v>116</v>
      </c>
      <c r="AA127" s="111" t="s">
        <v>115</v>
      </c>
      <c r="AB127" s="111" t="s">
        <v>116</v>
      </c>
      <c r="AC127" s="111" t="s">
        <v>115</v>
      </c>
      <c r="AD127" s="111"/>
    </row>
    <row r="128" spans="2:30" ht="27.75" customHeight="1" x14ac:dyDescent="0.25">
      <c r="B128" s="108">
        <v>45140</v>
      </c>
      <c r="C128" s="109" t="s">
        <v>126</v>
      </c>
      <c r="D128" s="109">
        <v>31</v>
      </c>
      <c r="E128" s="110" t="str">
        <f t="shared" si="3"/>
        <v>20230802-123</v>
      </c>
      <c r="F128" s="111" t="s">
        <v>98</v>
      </c>
      <c r="G128" s="111" t="s">
        <v>99</v>
      </c>
      <c r="H128" s="112" t="s">
        <v>288</v>
      </c>
      <c r="I128" s="113">
        <v>472.11</v>
      </c>
      <c r="J128" s="111" t="s">
        <v>127</v>
      </c>
      <c r="K128" s="111" t="s">
        <v>291</v>
      </c>
      <c r="L128" s="111" t="s">
        <v>129</v>
      </c>
      <c r="M128" s="111" t="s">
        <v>104</v>
      </c>
      <c r="N128" s="111" t="s">
        <v>130</v>
      </c>
      <c r="O128" s="111" t="s">
        <v>131</v>
      </c>
      <c r="P128" s="111" t="s">
        <v>132</v>
      </c>
      <c r="Q128" s="110" t="s">
        <v>133</v>
      </c>
      <c r="R128" s="110" t="s">
        <v>134</v>
      </c>
      <c r="S128" s="111" t="s">
        <v>135</v>
      </c>
      <c r="T128" s="111" t="s">
        <v>136</v>
      </c>
      <c r="U128" s="111" t="s">
        <v>129</v>
      </c>
      <c r="V128" s="118">
        <f t="shared" si="5"/>
        <v>-2.9937535957918947E-2</v>
      </c>
      <c r="W128" s="114" t="str">
        <f>IFERROR(I128-AVERAGEIFS(I$6:I127,J$6:J127,"ICIS / Platts",B$6:B127,B128),"")</f>
        <v/>
      </c>
      <c r="X128" s="110" t="s">
        <v>137</v>
      </c>
      <c r="Y128" s="117" t="str">
        <f t="shared" si="4"/>
        <v>OK</v>
      </c>
      <c r="Z128" s="111" t="s">
        <v>116</v>
      </c>
      <c r="AA128" s="111" t="s">
        <v>115</v>
      </c>
      <c r="AB128" s="111" t="s">
        <v>116</v>
      </c>
      <c r="AC128" s="111" t="s">
        <v>115</v>
      </c>
      <c r="AD128" s="111"/>
    </row>
    <row r="129" spans="2:30" ht="27.75" customHeight="1" x14ac:dyDescent="0.25">
      <c r="B129" s="115">
        <v>45142</v>
      </c>
      <c r="C129" s="116" t="s">
        <v>138</v>
      </c>
      <c r="D129" s="116">
        <v>31</v>
      </c>
      <c r="E129" s="110" t="str">
        <f t="shared" si="3"/>
        <v>20230804-124</v>
      </c>
      <c r="F129" s="111" t="s">
        <v>98</v>
      </c>
      <c r="G129" s="111" t="s">
        <v>99</v>
      </c>
      <c r="H129" s="112" t="s">
        <v>288</v>
      </c>
      <c r="I129" s="113">
        <v>478.67</v>
      </c>
      <c r="J129" s="111" t="s">
        <v>139</v>
      </c>
      <c r="K129" s="111" t="s">
        <v>292</v>
      </c>
      <c r="L129" s="111" t="s">
        <v>103</v>
      </c>
      <c r="M129" s="111" t="s">
        <v>104</v>
      </c>
      <c r="N129" s="111" t="s">
        <v>105</v>
      </c>
      <c r="O129" s="111" t="s">
        <v>106</v>
      </c>
      <c r="P129" s="111" t="s">
        <v>141</v>
      </c>
      <c r="Q129" s="110" t="s">
        <v>133</v>
      </c>
      <c r="R129" s="110" t="s">
        <v>142</v>
      </c>
      <c r="S129" s="111" t="s">
        <v>110</v>
      </c>
      <c r="T129" s="111" t="s">
        <v>111</v>
      </c>
      <c r="U129" s="111" t="s">
        <v>103</v>
      </c>
      <c r="V129" s="118">
        <f t="shared" si="5"/>
        <v>4.828179776224387E-3</v>
      </c>
      <c r="W129" s="114" t="str">
        <f>IFERROR(I129-AVERAGEIFS(I$6:I128,J$6:J128,"ICIS / Platts",B$6:B128,B129),"")</f>
        <v/>
      </c>
      <c r="X129" s="110" t="s">
        <v>125</v>
      </c>
      <c r="Y129" s="117" t="str">
        <f t="shared" si="4"/>
        <v>OK</v>
      </c>
      <c r="Z129" s="111" t="s">
        <v>116</v>
      </c>
      <c r="AA129" s="111" t="s">
        <v>115</v>
      </c>
      <c r="AB129" s="111" t="s">
        <v>116</v>
      </c>
      <c r="AC129" s="111" t="s">
        <v>115</v>
      </c>
      <c r="AD129" s="111"/>
    </row>
    <row r="130" spans="2:30" ht="27.75" customHeight="1" x14ac:dyDescent="0.25">
      <c r="B130" s="108">
        <v>45145</v>
      </c>
      <c r="C130" s="109" t="s">
        <v>97</v>
      </c>
      <c r="D130" s="109">
        <v>32</v>
      </c>
      <c r="E130" s="110" t="str">
        <f t="shared" si="3"/>
        <v>20230807-125</v>
      </c>
      <c r="F130" s="111" t="s">
        <v>98</v>
      </c>
      <c r="G130" s="111" t="s">
        <v>99</v>
      </c>
      <c r="H130" s="112" t="s">
        <v>293</v>
      </c>
      <c r="I130" s="113">
        <v>480</v>
      </c>
      <c r="J130" s="111" t="s">
        <v>101</v>
      </c>
      <c r="K130" s="111" t="s">
        <v>294</v>
      </c>
      <c r="L130" s="111" t="s">
        <v>103</v>
      </c>
      <c r="M130" s="111" t="s">
        <v>104</v>
      </c>
      <c r="N130" s="111" t="s">
        <v>105</v>
      </c>
      <c r="O130" s="111" t="s">
        <v>106</v>
      </c>
      <c r="P130" s="111" t="s">
        <v>107</v>
      </c>
      <c r="Q130" s="110" t="s">
        <v>108</v>
      </c>
      <c r="R130" s="110" t="s">
        <v>109</v>
      </c>
      <c r="S130" s="111" t="s">
        <v>110</v>
      </c>
      <c r="T130" s="111" t="s">
        <v>111</v>
      </c>
      <c r="U130" s="111" t="s">
        <v>103</v>
      </c>
      <c r="V130" s="118">
        <f t="shared" si="5"/>
        <v>4.1841004184100415E-3</v>
      </c>
      <c r="W130" s="114" t="str">
        <f>IFERROR(I130-AVERAGEIFS(I$6:I129,J$6:J129,"ICIS / Platts",B$6:B129,B130),"")</f>
        <v/>
      </c>
      <c r="X130" s="110" t="s">
        <v>113</v>
      </c>
      <c r="Y130" s="117" t="str">
        <f t="shared" si="4"/>
        <v>OK</v>
      </c>
      <c r="Z130" s="111" t="s">
        <v>116</v>
      </c>
      <c r="AA130" s="111" t="s">
        <v>115</v>
      </c>
      <c r="AB130" s="111" t="s">
        <v>116</v>
      </c>
      <c r="AC130" s="111" t="s">
        <v>115</v>
      </c>
      <c r="AD130" s="111"/>
    </row>
    <row r="131" spans="2:30" ht="27.75" customHeight="1" x14ac:dyDescent="0.25">
      <c r="B131" s="115">
        <v>45146</v>
      </c>
      <c r="C131" s="116" t="s">
        <v>117</v>
      </c>
      <c r="D131" s="116">
        <v>32</v>
      </c>
      <c r="E131" s="110" t="str">
        <f t="shared" si="3"/>
        <v>20230808-126</v>
      </c>
      <c r="F131" s="111" t="s">
        <v>98</v>
      </c>
      <c r="G131" s="111" t="s">
        <v>99</v>
      </c>
      <c r="H131" s="112" t="s">
        <v>293</v>
      </c>
      <c r="I131" s="113">
        <v>477.65</v>
      </c>
      <c r="J131" s="111" t="s">
        <v>118</v>
      </c>
      <c r="K131" s="111" t="s">
        <v>295</v>
      </c>
      <c r="L131" s="111" t="s">
        <v>103</v>
      </c>
      <c r="M131" s="111" t="s">
        <v>104</v>
      </c>
      <c r="N131" s="111" t="s">
        <v>120</v>
      </c>
      <c r="O131" s="111" t="s">
        <v>121</v>
      </c>
      <c r="P131" s="111" t="s">
        <v>122</v>
      </c>
      <c r="Q131" s="110" t="s">
        <v>123</v>
      </c>
      <c r="R131" s="110" t="s">
        <v>124</v>
      </c>
      <c r="S131" s="111" t="s">
        <v>110</v>
      </c>
      <c r="T131" s="111" t="s">
        <v>111</v>
      </c>
      <c r="U131" s="111" t="s">
        <v>103</v>
      </c>
      <c r="V131" s="118">
        <f t="shared" si="5"/>
        <v>-2.3110747520196363E-2</v>
      </c>
      <c r="W131" s="114" t="str">
        <f>IFERROR(I131-AVERAGEIFS(I$6:I130,J$6:J130,"ICIS / Platts",B$6:B130,B131),"")</f>
        <v/>
      </c>
      <c r="X131" s="110" t="s">
        <v>125</v>
      </c>
      <c r="Y131" s="117" t="str">
        <f t="shared" si="4"/>
        <v>OK</v>
      </c>
      <c r="Z131" s="111" t="s">
        <v>116</v>
      </c>
      <c r="AA131" s="111" t="s">
        <v>115</v>
      </c>
      <c r="AB131" s="111" t="s">
        <v>116</v>
      </c>
      <c r="AC131" s="111" t="s">
        <v>115</v>
      </c>
      <c r="AD131" s="111"/>
    </row>
    <row r="132" spans="2:30" ht="27.75" customHeight="1" x14ac:dyDescent="0.25">
      <c r="B132" s="108">
        <v>45147</v>
      </c>
      <c r="C132" s="109" t="s">
        <v>126</v>
      </c>
      <c r="D132" s="109">
        <v>32</v>
      </c>
      <c r="E132" s="110" t="str">
        <f t="shared" si="3"/>
        <v>20230809-127</v>
      </c>
      <c r="F132" s="111" t="s">
        <v>98</v>
      </c>
      <c r="G132" s="111" t="s">
        <v>99</v>
      </c>
      <c r="H132" s="112" t="s">
        <v>293</v>
      </c>
      <c r="I132" s="113">
        <v>471.7</v>
      </c>
      <c r="J132" s="111" t="s">
        <v>127</v>
      </c>
      <c r="K132" s="111" t="s">
        <v>296</v>
      </c>
      <c r="L132" s="111" t="s">
        <v>129</v>
      </c>
      <c r="M132" s="111" t="s">
        <v>104</v>
      </c>
      <c r="N132" s="111" t="s">
        <v>130</v>
      </c>
      <c r="O132" s="111" t="s">
        <v>131</v>
      </c>
      <c r="P132" s="111" t="s">
        <v>132</v>
      </c>
      <c r="Q132" s="110" t="s">
        <v>133</v>
      </c>
      <c r="R132" s="110" t="s">
        <v>134</v>
      </c>
      <c r="S132" s="111" t="s">
        <v>135</v>
      </c>
      <c r="T132" s="111" t="s">
        <v>136</v>
      </c>
      <c r="U132" s="111" t="s">
        <v>129</v>
      </c>
      <c r="V132" s="118">
        <f t="shared" si="5"/>
        <v>-8.6844167672793418E-4</v>
      </c>
      <c r="W132" s="114" t="str">
        <f>IFERROR(I132-AVERAGEIFS(I$6:I131,J$6:J131,"ICIS / Platts",B$6:B131,B132),"")</f>
        <v/>
      </c>
      <c r="X132" s="110" t="s">
        <v>137</v>
      </c>
      <c r="Y132" s="117" t="str">
        <f t="shared" si="4"/>
        <v>OK</v>
      </c>
      <c r="Z132" s="111" t="s">
        <v>116</v>
      </c>
      <c r="AA132" s="111" t="s">
        <v>115</v>
      </c>
      <c r="AB132" s="111" t="s">
        <v>116</v>
      </c>
      <c r="AC132" s="111" t="s">
        <v>115</v>
      </c>
      <c r="AD132" s="111"/>
    </row>
    <row r="133" spans="2:30" ht="27.75" customHeight="1" x14ac:dyDescent="0.25">
      <c r="B133" s="115">
        <v>45149</v>
      </c>
      <c r="C133" s="116" t="s">
        <v>138</v>
      </c>
      <c r="D133" s="116">
        <v>32</v>
      </c>
      <c r="E133" s="110" t="str">
        <f t="shared" si="3"/>
        <v>20230811-128</v>
      </c>
      <c r="F133" s="111" t="s">
        <v>98</v>
      </c>
      <c r="G133" s="111" t="s">
        <v>99</v>
      </c>
      <c r="H133" s="112" t="s">
        <v>293</v>
      </c>
      <c r="I133" s="113">
        <v>474.78</v>
      </c>
      <c r="J133" s="111" t="s">
        <v>139</v>
      </c>
      <c r="K133" s="111" t="s">
        <v>297</v>
      </c>
      <c r="L133" s="111" t="s">
        <v>103</v>
      </c>
      <c r="M133" s="111" t="s">
        <v>104</v>
      </c>
      <c r="N133" s="111" t="s">
        <v>105</v>
      </c>
      <c r="O133" s="111" t="s">
        <v>106</v>
      </c>
      <c r="P133" s="111" t="s">
        <v>141</v>
      </c>
      <c r="Q133" s="110" t="s">
        <v>133</v>
      </c>
      <c r="R133" s="110" t="s">
        <v>142</v>
      </c>
      <c r="S133" s="111" t="s">
        <v>110</v>
      </c>
      <c r="T133" s="111" t="s">
        <v>111</v>
      </c>
      <c r="U133" s="111" t="s">
        <v>103</v>
      </c>
      <c r="V133" s="118">
        <f t="shared" si="5"/>
        <v>-8.1266843545658666E-3</v>
      </c>
      <c r="W133" s="114" t="str">
        <f>IFERROR(I133-AVERAGEIFS(I$6:I132,J$6:J132,"ICIS / Platts",B$6:B132,B133),"")</f>
        <v/>
      </c>
      <c r="X133" s="110" t="s">
        <v>125</v>
      </c>
      <c r="Y133" s="117" t="str">
        <f t="shared" si="4"/>
        <v>OK</v>
      </c>
      <c r="Z133" s="111" t="s">
        <v>116</v>
      </c>
      <c r="AA133" s="111" t="s">
        <v>115</v>
      </c>
      <c r="AB133" s="111" t="s">
        <v>116</v>
      </c>
      <c r="AC133" s="111" t="s">
        <v>115</v>
      </c>
      <c r="AD133" s="111"/>
    </row>
    <row r="134" spans="2:30" ht="27.75" customHeight="1" x14ac:dyDescent="0.25">
      <c r="B134" s="108">
        <v>45152</v>
      </c>
      <c r="C134" s="109" t="s">
        <v>97</v>
      </c>
      <c r="D134" s="109">
        <v>33</v>
      </c>
      <c r="E134" s="110" t="str">
        <f t="shared" ref="E134:E197" si="6">TEXT(B134,"YYYYMMDD")&amp;"-"&amp;TEXT(ROW()-5,"000")</f>
        <v>20230814-129</v>
      </c>
      <c r="F134" s="111" t="s">
        <v>98</v>
      </c>
      <c r="G134" s="111" t="s">
        <v>99</v>
      </c>
      <c r="H134" s="112" t="s">
        <v>298</v>
      </c>
      <c r="I134" s="113">
        <v>483</v>
      </c>
      <c r="J134" s="111" t="s">
        <v>101</v>
      </c>
      <c r="K134" s="111" t="s">
        <v>299</v>
      </c>
      <c r="L134" s="111" t="s">
        <v>103</v>
      </c>
      <c r="M134" s="111" t="s">
        <v>104</v>
      </c>
      <c r="N134" s="111" t="s">
        <v>105</v>
      </c>
      <c r="O134" s="111" t="s">
        <v>106</v>
      </c>
      <c r="P134" s="111" t="s">
        <v>107</v>
      </c>
      <c r="Q134" s="110" t="s">
        <v>108</v>
      </c>
      <c r="R134" s="110" t="s">
        <v>109</v>
      </c>
      <c r="S134" s="111" t="s">
        <v>110</v>
      </c>
      <c r="T134" s="111" t="s">
        <v>111</v>
      </c>
      <c r="U134" s="111" t="s">
        <v>103</v>
      </c>
      <c r="V134" s="118">
        <f t="shared" si="5"/>
        <v>6.2500000000000003E-3</v>
      </c>
      <c r="W134" s="114" t="str">
        <f>IFERROR(I134-AVERAGEIFS(I$6:I133,J$6:J133,"ICIS / Platts",B$6:B133,B134),"")</f>
        <v/>
      </c>
      <c r="X134" s="110" t="s">
        <v>113</v>
      </c>
      <c r="Y134" s="117" t="str">
        <f t="shared" si="4"/>
        <v>OK</v>
      </c>
      <c r="Z134" s="111" t="s">
        <v>116</v>
      </c>
      <c r="AA134" s="111" t="s">
        <v>115</v>
      </c>
      <c r="AB134" s="111" t="s">
        <v>116</v>
      </c>
      <c r="AC134" s="111" t="s">
        <v>115</v>
      </c>
      <c r="AD134" s="111"/>
    </row>
    <row r="135" spans="2:30" ht="27.75" customHeight="1" x14ac:dyDescent="0.25">
      <c r="B135" s="115">
        <v>45153</v>
      </c>
      <c r="C135" s="116" t="s">
        <v>117</v>
      </c>
      <c r="D135" s="116">
        <v>33</v>
      </c>
      <c r="E135" s="110" t="str">
        <f t="shared" si="6"/>
        <v>20230815-130</v>
      </c>
      <c r="F135" s="111" t="s">
        <v>98</v>
      </c>
      <c r="G135" s="111" t="s">
        <v>99</v>
      </c>
      <c r="H135" s="112" t="s">
        <v>298</v>
      </c>
      <c r="I135" s="113">
        <v>481.91</v>
      </c>
      <c r="J135" s="111" t="s">
        <v>118</v>
      </c>
      <c r="K135" s="111" t="s">
        <v>300</v>
      </c>
      <c r="L135" s="111" t="s">
        <v>103</v>
      </c>
      <c r="M135" s="111" t="s">
        <v>104</v>
      </c>
      <c r="N135" s="111" t="s">
        <v>120</v>
      </c>
      <c r="O135" s="111" t="s">
        <v>121</v>
      </c>
      <c r="P135" s="111" t="s">
        <v>122</v>
      </c>
      <c r="Q135" s="110" t="s">
        <v>123</v>
      </c>
      <c r="R135" s="110" t="s">
        <v>124</v>
      </c>
      <c r="S135" s="111" t="s">
        <v>110</v>
      </c>
      <c r="T135" s="111" t="s">
        <v>111</v>
      </c>
      <c r="U135" s="111" t="s">
        <v>103</v>
      </c>
      <c r="V135" s="118">
        <f t="shared" si="5"/>
        <v>8.9186642939391766E-3</v>
      </c>
      <c r="W135" s="114" t="str">
        <f>IFERROR(I135-AVERAGEIFS(I$6:I134,J$6:J134,"ICIS / Platts",B$6:B134,B135),"")</f>
        <v/>
      </c>
      <c r="X135" s="110" t="s">
        <v>125</v>
      </c>
      <c r="Y135" s="117" t="str">
        <f t="shared" si="4"/>
        <v>OK</v>
      </c>
      <c r="Z135" s="111" t="s">
        <v>116</v>
      </c>
      <c r="AA135" s="111" t="s">
        <v>115</v>
      </c>
      <c r="AB135" s="111" t="s">
        <v>116</v>
      </c>
      <c r="AC135" s="111" t="s">
        <v>115</v>
      </c>
      <c r="AD135" s="111"/>
    </row>
    <row r="136" spans="2:30" ht="27.75" customHeight="1" x14ac:dyDescent="0.25">
      <c r="B136" s="108">
        <v>45154</v>
      </c>
      <c r="C136" s="109" t="s">
        <v>126</v>
      </c>
      <c r="D136" s="109">
        <v>33</v>
      </c>
      <c r="E136" s="110" t="str">
        <f t="shared" si="6"/>
        <v>20230816-131</v>
      </c>
      <c r="F136" s="111" t="s">
        <v>98</v>
      </c>
      <c r="G136" s="111" t="s">
        <v>99</v>
      </c>
      <c r="H136" s="112" t="s">
        <v>298</v>
      </c>
      <c r="I136" s="113">
        <v>478.77</v>
      </c>
      <c r="J136" s="111" t="s">
        <v>127</v>
      </c>
      <c r="K136" s="111" t="s">
        <v>301</v>
      </c>
      <c r="L136" s="111" t="s">
        <v>129</v>
      </c>
      <c r="M136" s="111" t="s">
        <v>104</v>
      </c>
      <c r="N136" s="111" t="s">
        <v>130</v>
      </c>
      <c r="O136" s="111" t="s">
        <v>131</v>
      </c>
      <c r="P136" s="111" t="s">
        <v>132</v>
      </c>
      <c r="Q136" s="110" t="s">
        <v>133</v>
      </c>
      <c r="R136" s="110" t="s">
        <v>134</v>
      </c>
      <c r="S136" s="111" t="s">
        <v>135</v>
      </c>
      <c r="T136" s="111" t="s">
        <v>136</v>
      </c>
      <c r="U136" s="111" t="s">
        <v>129</v>
      </c>
      <c r="V136" s="118">
        <f t="shared" si="5"/>
        <v>1.4988340046639799E-2</v>
      </c>
      <c r="W136" s="114" t="str">
        <f>IFERROR(I136-AVERAGEIFS(I$6:I135,J$6:J135,"ICIS / Platts",B$6:B135,B136),"")</f>
        <v/>
      </c>
      <c r="X136" s="110" t="s">
        <v>137</v>
      </c>
      <c r="Y136" s="117" t="str">
        <f t="shared" si="4"/>
        <v>OK</v>
      </c>
      <c r="Z136" s="111" t="s">
        <v>116</v>
      </c>
      <c r="AA136" s="111" t="s">
        <v>115</v>
      </c>
      <c r="AB136" s="111" t="s">
        <v>116</v>
      </c>
      <c r="AC136" s="111" t="s">
        <v>115</v>
      </c>
      <c r="AD136" s="111"/>
    </row>
    <row r="137" spans="2:30" ht="27.75" customHeight="1" x14ac:dyDescent="0.25">
      <c r="B137" s="115">
        <v>45156</v>
      </c>
      <c r="C137" s="116" t="s">
        <v>138</v>
      </c>
      <c r="D137" s="116">
        <v>33</v>
      </c>
      <c r="E137" s="110" t="str">
        <f t="shared" si="6"/>
        <v>20230818-132</v>
      </c>
      <c r="F137" s="111" t="s">
        <v>98</v>
      </c>
      <c r="G137" s="111" t="s">
        <v>99</v>
      </c>
      <c r="H137" s="112" t="s">
        <v>298</v>
      </c>
      <c r="I137" s="113">
        <v>485.96</v>
      </c>
      <c r="J137" s="111" t="s">
        <v>139</v>
      </c>
      <c r="K137" s="111" t="s">
        <v>302</v>
      </c>
      <c r="L137" s="111" t="s">
        <v>103</v>
      </c>
      <c r="M137" s="111" t="s">
        <v>104</v>
      </c>
      <c r="N137" s="111" t="s">
        <v>105</v>
      </c>
      <c r="O137" s="111" t="s">
        <v>106</v>
      </c>
      <c r="P137" s="111" t="s">
        <v>141</v>
      </c>
      <c r="Q137" s="110" t="s">
        <v>133</v>
      </c>
      <c r="R137" s="110" t="s">
        <v>142</v>
      </c>
      <c r="S137" s="111" t="s">
        <v>110</v>
      </c>
      <c r="T137" s="111" t="s">
        <v>111</v>
      </c>
      <c r="U137" s="111" t="s">
        <v>103</v>
      </c>
      <c r="V137" s="118">
        <f t="shared" si="5"/>
        <v>2.3547748430852201E-2</v>
      </c>
      <c r="W137" s="114" t="str">
        <f>IFERROR(I137-AVERAGEIFS(I$6:I136,J$6:J136,"ICIS / Platts",B$6:B136,B137),"")</f>
        <v/>
      </c>
      <c r="X137" s="110" t="s">
        <v>125</v>
      </c>
      <c r="Y137" s="117" t="str">
        <f t="shared" si="4"/>
        <v>OK</v>
      </c>
      <c r="Z137" s="111" t="s">
        <v>116</v>
      </c>
      <c r="AA137" s="111" t="s">
        <v>115</v>
      </c>
      <c r="AB137" s="111" t="s">
        <v>116</v>
      </c>
      <c r="AC137" s="111" t="s">
        <v>115</v>
      </c>
      <c r="AD137" s="111"/>
    </row>
    <row r="138" spans="2:30" ht="27.75" customHeight="1" x14ac:dyDescent="0.25">
      <c r="B138" s="108">
        <v>45159</v>
      </c>
      <c r="C138" s="109" t="s">
        <v>97</v>
      </c>
      <c r="D138" s="109">
        <v>34</v>
      </c>
      <c r="E138" s="110" t="str">
        <f t="shared" si="6"/>
        <v>20230821-133</v>
      </c>
      <c r="F138" s="111" t="s">
        <v>98</v>
      </c>
      <c r="G138" s="111" t="s">
        <v>99</v>
      </c>
      <c r="H138" s="112" t="s">
        <v>303</v>
      </c>
      <c r="I138" s="113">
        <v>485</v>
      </c>
      <c r="J138" s="111" t="s">
        <v>101</v>
      </c>
      <c r="K138" s="111" t="s">
        <v>304</v>
      </c>
      <c r="L138" s="111" t="s">
        <v>103</v>
      </c>
      <c r="M138" s="111" t="s">
        <v>104</v>
      </c>
      <c r="N138" s="111" t="s">
        <v>105</v>
      </c>
      <c r="O138" s="111" t="s">
        <v>106</v>
      </c>
      <c r="P138" s="111" t="s">
        <v>107</v>
      </c>
      <c r="Q138" s="110" t="s">
        <v>108</v>
      </c>
      <c r="R138" s="110" t="s">
        <v>109</v>
      </c>
      <c r="S138" s="111" t="s">
        <v>110</v>
      </c>
      <c r="T138" s="111" t="s">
        <v>111</v>
      </c>
      <c r="U138" s="111" t="s">
        <v>103</v>
      </c>
      <c r="V138" s="118">
        <f t="shared" si="5"/>
        <v>4.140786749482402E-3</v>
      </c>
      <c r="W138" s="114" t="str">
        <f>IFERROR(I138-AVERAGEIFS(I$6:I137,J$6:J137,"ICIS / Platts",B$6:B137,B138),"")</f>
        <v/>
      </c>
      <c r="X138" s="110" t="s">
        <v>113</v>
      </c>
      <c r="Y138" s="117" t="str">
        <f t="shared" si="4"/>
        <v>OK</v>
      </c>
      <c r="Z138" s="111" t="s">
        <v>116</v>
      </c>
      <c r="AA138" s="111" t="s">
        <v>115</v>
      </c>
      <c r="AB138" s="111" t="s">
        <v>116</v>
      </c>
      <c r="AC138" s="111" t="s">
        <v>116</v>
      </c>
      <c r="AD138" s="111"/>
    </row>
    <row r="139" spans="2:30" ht="27.75" customHeight="1" x14ac:dyDescent="0.25">
      <c r="B139" s="115">
        <v>45160</v>
      </c>
      <c r="C139" s="116" t="s">
        <v>117</v>
      </c>
      <c r="D139" s="116">
        <v>34</v>
      </c>
      <c r="E139" s="110" t="str">
        <f t="shared" si="6"/>
        <v>20230822-134</v>
      </c>
      <c r="F139" s="111" t="s">
        <v>98</v>
      </c>
      <c r="G139" s="111" t="s">
        <v>99</v>
      </c>
      <c r="H139" s="112" t="s">
        <v>303</v>
      </c>
      <c r="I139" s="113">
        <v>498.59</v>
      </c>
      <c r="J139" s="111" t="s">
        <v>118</v>
      </c>
      <c r="K139" s="111" t="s">
        <v>305</v>
      </c>
      <c r="L139" s="111" t="s">
        <v>103</v>
      </c>
      <c r="M139" s="111" t="s">
        <v>104</v>
      </c>
      <c r="N139" s="111" t="s">
        <v>120</v>
      </c>
      <c r="O139" s="111" t="s">
        <v>121</v>
      </c>
      <c r="P139" s="111" t="s">
        <v>122</v>
      </c>
      <c r="Q139" s="110" t="s">
        <v>123</v>
      </c>
      <c r="R139" s="110" t="s">
        <v>124</v>
      </c>
      <c r="S139" s="111" t="s">
        <v>110</v>
      </c>
      <c r="T139" s="111" t="s">
        <v>111</v>
      </c>
      <c r="U139" s="111" t="s">
        <v>103</v>
      </c>
      <c r="V139" s="118">
        <f t="shared" si="5"/>
        <v>3.4612272000995932E-2</v>
      </c>
      <c r="W139" s="114" t="str">
        <f>IFERROR(I139-AVERAGEIFS(I$6:I138,J$6:J138,"ICIS / Platts",B$6:B138,B139),"")</f>
        <v/>
      </c>
      <c r="X139" s="110" t="s">
        <v>125</v>
      </c>
      <c r="Y139" s="117" t="str">
        <f t="shared" si="4"/>
        <v>OK</v>
      </c>
      <c r="Z139" s="111" t="s">
        <v>116</v>
      </c>
      <c r="AA139" s="111" t="s">
        <v>115</v>
      </c>
      <c r="AB139" s="111" t="s">
        <v>116</v>
      </c>
      <c r="AC139" s="111" t="s">
        <v>116</v>
      </c>
      <c r="AD139" s="111"/>
    </row>
    <row r="140" spans="2:30" ht="27.75" customHeight="1" x14ac:dyDescent="0.25">
      <c r="B140" s="108">
        <v>45161</v>
      </c>
      <c r="C140" s="109" t="s">
        <v>126</v>
      </c>
      <c r="D140" s="109">
        <v>34</v>
      </c>
      <c r="E140" s="110" t="str">
        <f t="shared" si="6"/>
        <v>20230823-135</v>
      </c>
      <c r="F140" s="111" t="s">
        <v>98</v>
      </c>
      <c r="G140" s="111" t="s">
        <v>99</v>
      </c>
      <c r="H140" s="112" t="s">
        <v>303</v>
      </c>
      <c r="I140" s="113">
        <v>482.14</v>
      </c>
      <c r="J140" s="111" t="s">
        <v>127</v>
      </c>
      <c r="K140" s="111" t="s">
        <v>306</v>
      </c>
      <c r="L140" s="111" t="s">
        <v>129</v>
      </c>
      <c r="M140" s="111" t="s">
        <v>104</v>
      </c>
      <c r="N140" s="111" t="s">
        <v>130</v>
      </c>
      <c r="O140" s="111" t="s">
        <v>131</v>
      </c>
      <c r="P140" s="111" t="s">
        <v>132</v>
      </c>
      <c r="Q140" s="110" t="s">
        <v>133</v>
      </c>
      <c r="R140" s="110" t="s">
        <v>134</v>
      </c>
      <c r="S140" s="111" t="s">
        <v>135</v>
      </c>
      <c r="T140" s="111" t="s">
        <v>136</v>
      </c>
      <c r="U140" s="111" t="s">
        <v>129</v>
      </c>
      <c r="V140" s="118">
        <f t="shared" si="5"/>
        <v>7.038870438832852E-3</v>
      </c>
      <c r="W140" s="114" t="str">
        <f>IFERROR(I140-AVERAGEIFS(I$6:I139,J$6:J139,"ICIS / Platts",B$6:B139,B140),"")</f>
        <v/>
      </c>
      <c r="X140" s="110" t="s">
        <v>137</v>
      </c>
      <c r="Y140" s="117" t="str">
        <f t="shared" si="4"/>
        <v>OK</v>
      </c>
      <c r="Z140" s="111" t="s">
        <v>116</v>
      </c>
      <c r="AA140" s="111" t="s">
        <v>115</v>
      </c>
      <c r="AB140" s="111" t="s">
        <v>116</v>
      </c>
      <c r="AC140" s="111" t="s">
        <v>116</v>
      </c>
      <c r="AD140" s="111"/>
    </row>
    <row r="141" spans="2:30" ht="27.75" customHeight="1" x14ac:dyDescent="0.25">
      <c r="B141" s="115">
        <v>45163</v>
      </c>
      <c r="C141" s="116" t="s">
        <v>138</v>
      </c>
      <c r="D141" s="116">
        <v>34</v>
      </c>
      <c r="E141" s="110" t="str">
        <f t="shared" si="6"/>
        <v>20230825-136</v>
      </c>
      <c r="F141" s="111" t="s">
        <v>98</v>
      </c>
      <c r="G141" s="111" t="s">
        <v>99</v>
      </c>
      <c r="H141" s="112" t="s">
        <v>303</v>
      </c>
      <c r="I141" s="113">
        <v>486.98</v>
      </c>
      <c r="J141" s="111" t="s">
        <v>139</v>
      </c>
      <c r="K141" s="111" t="s">
        <v>307</v>
      </c>
      <c r="L141" s="111" t="s">
        <v>103</v>
      </c>
      <c r="M141" s="111" t="s">
        <v>104</v>
      </c>
      <c r="N141" s="111" t="s">
        <v>105</v>
      </c>
      <c r="O141" s="111" t="s">
        <v>106</v>
      </c>
      <c r="P141" s="111" t="s">
        <v>141</v>
      </c>
      <c r="Q141" s="110" t="s">
        <v>133</v>
      </c>
      <c r="R141" s="110" t="s">
        <v>142</v>
      </c>
      <c r="S141" s="111" t="s">
        <v>110</v>
      </c>
      <c r="T141" s="111" t="s">
        <v>111</v>
      </c>
      <c r="U141" s="111" t="s">
        <v>103</v>
      </c>
      <c r="V141" s="118">
        <f t="shared" si="5"/>
        <v>2.0989381842127721E-3</v>
      </c>
      <c r="W141" s="114" t="str">
        <f>IFERROR(I141-AVERAGEIFS(I$6:I140,J$6:J140,"ICIS / Platts",B$6:B140,B141),"")</f>
        <v/>
      </c>
      <c r="X141" s="110" t="s">
        <v>125</v>
      </c>
      <c r="Y141" s="117" t="str">
        <f t="shared" si="4"/>
        <v>OK</v>
      </c>
      <c r="Z141" s="111" t="s">
        <v>116</v>
      </c>
      <c r="AA141" s="111" t="s">
        <v>115</v>
      </c>
      <c r="AB141" s="111" t="s">
        <v>116</v>
      </c>
      <c r="AC141" s="111" t="s">
        <v>116</v>
      </c>
      <c r="AD141" s="111"/>
    </row>
    <row r="142" spans="2:30" ht="27.75" customHeight="1" x14ac:dyDescent="0.25">
      <c r="B142" s="108">
        <v>45166</v>
      </c>
      <c r="C142" s="109" t="s">
        <v>97</v>
      </c>
      <c r="D142" s="109">
        <v>35</v>
      </c>
      <c r="E142" s="110" t="str">
        <f t="shared" si="6"/>
        <v>20230828-137</v>
      </c>
      <c r="F142" s="111" t="s">
        <v>98</v>
      </c>
      <c r="G142" s="111" t="s">
        <v>99</v>
      </c>
      <c r="H142" s="112" t="s">
        <v>308</v>
      </c>
      <c r="I142" s="113">
        <v>488</v>
      </c>
      <c r="J142" s="111" t="s">
        <v>101</v>
      </c>
      <c r="K142" s="111" t="s">
        <v>309</v>
      </c>
      <c r="L142" s="111" t="s">
        <v>103</v>
      </c>
      <c r="M142" s="111" t="s">
        <v>104</v>
      </c>
      <c r="N142" s="111" t="s">
        <v>105</v>
      </c>
      <c r="O142" s="111" t="s">
        <v>106</v>
      </c>
      <c r="P142" s="111" t="s">
        <v>107</v>
      </c>
      <c r="Q142" s="110" t="s">
        <v>108</v>
      </c>
      <c r="R142" s="110" t="s">
        <v>109</v>
      </c>
      <c r="S142" s="111" t="s">
        <v>110</v>
      </c>
      <c r="T142" s="111" t="s">
        <v>111</v>
      </c>
      <c r="U142" s="111" t="s">
        <v>103</v>
      </c>
      <c r="V142" s="118">
        <f t="shared" si="5"/>
        <v>6.1855670103092781E-3</v>
      </c>
      <c r="W142" s="114" t="str">
        <f>IFERROR(I142-AVERAGEIFS(I$6:I141,J$6:J141,"ICIS / Platts",B$6:B141,B142),"")</f>
        <v/>
      </c>
      <c r="X142" s="110" t="s">
        <v>113</v>
      </c>
      <c r="Y142" s="117" t="str">
        <f t="shared" si="4"/>
        <v>OK</v>
      </c>
      <c r="Z142" s="111" t="s">
        <v>116</v>
      </c>
      <c r="AA142" s="111" t="s">
        <v>115</v>
      </c>
      <c r="AB142" s="111" t="s">
        <v>116</v>
      </c>
      <c r="AC142" s="111" t="s">
        <v>116</v>
      </c>
      <c r="AD142" s="111"/>
    </row>
    <row r="143" spans="2:30" ht="27.75" customHeight="1" x14ac:dyDescent="0.25">
      <c r="B143" s="115">
        <v>45167</v>
      </c>
      <c r="C143" s="116" t="s">
        <v>117</v>
      </c>
      <c r="D143" s="116">
        <v>35</v>
      </c>
      <c r="E143" s="110" t="str">
        <f t="shared" si="6"/>
        <v>20230829-138</v>
      </c>
      <c r="F143" s="111" t="s">
        <v>98</v>
      </c>
      <c r="G143" s="111" t="s">
        <v>99</v>
      </c>
      <c r="H143" s="112" t="s">
        <v>308</v>
      </c>
      <c r="I143" s="113">
        <v>488.86</v>
      </c>
      <c r="J143" s="111" t="s">
        <v>118</v>
      </c>
      <c r="K143" s="111" t="s">
        <v>310</v>
      </c>
      <c r="L143" s="111" t="s">
        <v>103</v>
      </c>
      <c r="M143" s="111" t="s">
        <v>104</v>
      </c>
      <c r="N143" s="111" t="s">
        <v>120</v>
      </c>
      <c r="O143" s="111" t="s">
        <v>121</v>
      </c>
      <c r="P143" s="111" t="s">
        <v>122</v>
      </c>
      <c r="Q143" s="110" t="s">
        <v>123</v>
      </c>
      <c r="R143" s="110" t="s">
        <v>124</v>
      </c>
      <c r="S143" s="111" t="s">
        <v>110</v>
      </c>
      <c r="T143" s="111" t="s">
        <v>111</v>
      </c>
      <c r="U143" s="111" t="s">
        <v>103</v>
      </c>
      <c r="V143" s="118">
        <f t="shared" si="5"/>
        <v>-1.9515032391343511E-2</v>
      </c>
      <c r="W143" s="114" t="str">
        <f>IFERROR(I143-AVERAGEIFS(I$6:I142,J$6:J142,"ICIS / Platts",B$6:B142,B143),"")</f>
        <v/>
      </c>
      <c r="X143" s="110" t="s">
        <v>125</v>
      </c>
      <c r="Y143" s="117" t="str">
        <f t="shared" si="4"/>
        <v>OK</v>
      </c>
      <c r="Z143" s="111" t="s">
        <v>116</v>
      </c>
      <c r="AA143" s="111" t="s">
        <v>115</v>
      </c>
      <c r="AB143" s="111" t="s">
        <v>116</v>
      </c>
      <c r="AC143" s="111" t="s">
        <v>116</v>
      </c>
      <c r="AD143" s="111"/>
    </row>
    <row r="144" spans="2:30" ht="27.75" customHeight="1" x14ac:dyDescent="0.25">
      <c r="B144" s="108">
        <v>45168</v>
      </c>
      <c r="C144" s="109" t="s">
        <v>126</v>
      </c>
      <c r="D144" s="109">
        <v>35</v>
      </c>
      <c r="E144" s="110" t="str">
        <f t="shared" si="6"/>
        <v>20230830-139</v>
      </c>
      <c r="F144" s="111" t="s">
        <v>98</v>
      </c>
      <c r="G144" s="111" t="s">
        <v>99</v>
      </c>
      <c r="H144" s="112" t="s">
        <v>308</v>
      </c>
      <c r="I144" s="113">
        <v>480.82</v>
      </c>
      <c r="J144" s="111" t="s">
        <v>127</v>
      </c>
      <c r="K144" s="111" t="s">
        <v>311</v>
      </c>
      <c r="L144" s="111" t="s">
        <v>129</v>
      </c>
      <c r="M144" s="111" t="s">
        <v>104</v>
      </c>
      <c r="N144" s="111" t="s">
        <v>130</v>
      </c>
      <c r="O144" s="111" t="s">
        <v>131</v>
      </c>
      <c r="P144" s="111" t="s">
        <v>132</v>
      </c>
      <c r="Q144" s="110" t="s">
        <v>133</v>
      </c>
      <c r="R144" s="110" t="s">
        <v>134</v>
      </c>
      <c r="S144" s="111" t="s">
        <v>135</v>
      </c>
      <c r="T144" s="111" t="s">
        <v>136</v>
      </c>
      <c r="U144" s="111" t="s">
        <v>129</v>
      </c>
      <c r="V144" s="118">
        <f t="shared" si="5"/>
        <v>-2.7377940017422183E-3</v>
      </c>
      <c r="W144" s="114" t="str">
        <f>IFERROR(I144-AVERAGEIFS(I$6:I143,J$6:J143,"ICIS / Platts",B$6:B143,B144),"")</f>
        <v/>
      </c>
      <c r="X144" s="110" t="s">
        <v>137</v>
      </c>
      <c r="Y144" s="117" t="str">
        <f t="shared" si="4"/>
        <v>OK</v>
      </c>
      <c r="Z144" s="111" t="s">
        <v>116</v>
      </c>
      <c r="AA144" s="111" t="s">
        <v>115</v>
      </c>
      <c r="AB144" s="111" t="s">
        <v>116</v>
      </c>
      <c r="AC144" s="111" t="s">
        <v>116</v>
      </c>
      <c r="AD144" s="111"/>
    </row>
    <row r="145" spans="2:30" ht="27.75" customHeight="1" x14ac:dyDescent="0.25">
      <c r="B145" s="115">
        <v>45170</v>
      </c>
      <c r="C145" s="116" t="s">
        <v>138</v>
      </c>
      <c r="D145" s="116">
        <v>35</v>
      </c>
      <c r="E145" s="110" t="str">
        <f t="shared" si="6"/>
        <v>20230901-140</v>
      </c>
      <c r="F145" s="111" t="s">
        <v>98</v>
      </c>
      <c r="G145" s="111" t="s">
        <v>99</v>
      </c>
      <c r="H145" s="112" t="s">
        <v>308</v>
      </c>
      <c r="I145" s="113">
        <v>480.94</v>
      </c>
      <c r="J145" s="111" t="s">
        <v>139</v>
      </c>
      <c r="K145" s="111" t="s">
        <v>312</v>
      </c>
      <c r="L145" s="111" t="s">
        <v>103</v>
      </c>
      <c r="M145" s="111" t="s">
        <v>104</v>
      </c>
      <c r="N145" s="111" t="s">
        <v>105</v>
      </c>
      <c r="O145" s="111" t="s">
        <v>106</v>
      </c>
      <c r="P145" s="111" t="s">
        <v>141</v>
      </c>
      <c r="Q145" s="110" t="s">
        <v>133</v>
      </c>
      <c r="R145" s="110" t="s">
        <v>142</v>
      </c>
      <c r="S145" s="111" t="s">
        <v>110</v>
      </c>
      <c r="T145" s="111" t="s">
        <v>111</v>
      </c>
      <c r="U145" s="111" t="s">
        <v>103</v>
      </c>
      <c r="V145" s="118">
        <f t="shared" si="5"/>
        <v>-1.2402973428066903E-2</v>
      </c>
      <c r="W145" s="114" t="str">
        <f>IFERROR(I145-AVERAGEIFS(I$6:I144,J$6:J144,"ICIS / Platts",B$6:B144,B145),"")</f>
        <v/>
      </c>
      <c r="X145" s="110" t="s">
        <v>125</v>
      </c>
      <c r="Y145" s="117" t="str">
        <f t="shared" si="4"/>
        <v>OK</v>
      </c>
      <c r="Z145" s="111" t="s">
        <v>116</v>
      </c>
      <c r="AA145" s="111" t="s">
        <v>115</v>
      </c>
      <c r="AB145" s="111" t="s">
        <v>116</v>
      </c>
      <c r="AC145" s="111" t="s">
        <v>116</v>
      </c>
      <c r="AD145" s="111"/>
    </row>
    <row r="146" spans="2:30" ht="27.75" customHeight="1" x14ac:dyDescent="0.25">
      <c r="B146" s="108">
        <v>45173</v>
      </c>
      <c r="C146" s="109" t="s">
        <v>97</v>
      </c>
      <c r="D146" s="109">
        <v>36</v>
      </c>
      <c r="E146" s="110" t="str">
        <f t="shared" si="6"/>
        <v>20230904-141</v>
      </c>
      <c r="F146" s="111" t="s">
        <v>98</v>
      </c>
      <c r="G146" s="111" t="s">
        <v>99</v>
      </c>
      <c r="H146" s="112" t="s">
        <v>313</v>
      </c>
      <c r="I146" s="113">
        <v>492</v>
      </c>
      <c r="J146" s="111" t="s">
        <v>101</v>
      </c>
      <c r="K146" s="111" t="s">
        <v>314</v>
      </c>
      <c r="L146" s="111" t="s">
        <v>103</v>
      </c>
      <c r="M146" s="111" t="s">
        <v>104</v>
      </c>
      <c r="N146" s="111" t="s">
        <v>105</v>
      </c>
      <c r="O146" s="111" t="s">
        <v>106</v>
      </c>
      <c r="P146" s="111" t="s">
        <v>107</v>
      </c>
      <c r="Q146" s="110" t="s">
        <v>108</v>
      </c>
      <c r="R146" s="110" t="s">
        <v>109</v>
      </c>
      <c r="S146" s="111" t="s">
        <v>110</v>
      </c>
      <c r="T146" s="111" t="s">
        <v>111</v>
      </c>
      <c r="U146" s="111" t="s">
        <v>103</v>
      </c>
      <c r="V146" s="118">
        <f t="shared" si="5"/>
        <v>8.1967213114754103E-3</v>
      </c>
      <c r="W146" s="114" t="str">
        <f>IFERROR(I146-AVERAGEIFS(I$6:I145,J$6:J145,"ICIS / Platts",B$6:B145,B146),"")</f>
        <v/>
      </c>
      <c r="X146" s="110" t="s">
        <v>113</v>
      </c>
      <c r="Y146" s="117" t="str">
        <f t="shared" si="4"/>
        <v>OK</v>
      </c>
      <c r="Z146" s="111" t="s">
        <v>116</v>
      </c>
      <c r="AA146" s="111" t="s">
        <v>115</v>
      </c>
      <c r="AB146" s="111" t="s">
        <v>116</v>
      </c>
      <c r="AC146" s="111" t="s">
        <v>115</v>
      </c>
      <c r="AD146" s="111"/>
    </row>
    <row r="147" spans="2:30" ht="27.75" customHeight="1" x14ac:dyDescent="0.25">
      <c r="B147" s="115">
        <v>45174</v>
      </c>
      <c r="C147" s="116" t="s">
        <v>117</v>
      </c>
      <c r="D147" s="116">
        <v>36</v>
      </c>
      <c r="E147" s="110" t="str">
        <f t="shared" si="6"/>
        <v>20230905-142</v>
      </c>
      <c r="F147" s="111" t="s">
        <v>98</v>
      </c>
      <c r="G147" s="111" t="s">
        <v>99</v>
      </c>
      <c r="H147" s="112" t="s">
        <v>313</v>
      </c>
      <c r="I147" s="113">
        <v>495.84</v>
      </c>
      <c r="J147" s="111" t="s">
        <v>118</v>
      </c>
      <c r="K147" s="111" t="s">
        <v>315</v>
      </c>
      <c r="L147" s="111" t="s">
        <v>103</v>
      </c>
      <c r="M147" s="111" t="s">
        <v>104</v>
      </c>
      <c r="N147" s="111" t="s">
        <v>120</v>
      </c>
      <c r="O147" s="111" t="s">
        <v>121</v>
      </c>
      <c r="P147" s="111" t="s">
        <v>122</v>
      </c>
      <c r="Q147" s="110" t="s">
        <v>123</v>
      </c>
      <c r="R147" s="110" t="s">
        <v>124</v>
      </c>
      <c r="S147" s="111" t="s">
        <v>110</v>
      </c>
      <c r="T147" s="111" t="s">
        <v>111</v>
      </c>
      <c r="U147" s="111" t="s">
        <v>103</v>
      </c>
      <c r="V147" s="118">
        <f t="shared" si="5"/>
        <v>1.4278116434152848E-2</v>
      </c>
      <c r="W147" s="114" t="str">
        <f>IFERROR(I147-AVERAGEIFS(I$6:I146,J$6:J146,"ICIS / Platts",B$6:B146,B147),"")</f>
        <v/>
      </c>
      <c r="X147" s="110" t="s">
        <v>125</v>
      </c>
      <c r="Y147" s="117" t="str">
        <f t="shared" si="4"/>
        <v>OK</v>
      </c>
      <c r="Z147" s="111" t="s">
        <v>116</v>
      </c>
      <c r="AA147" s="111" t="s">
        <v>115</v>
      </c>
      <c r="AB147" s="111" t="s">
        <v>116</v>
      </c>
      <c r="AC147" s="111" t="s">
        <v>115</v>
      </c>
      <c r="AD147" s="111"/>
    </row>
    <row r="148" spans="2:30" ht="27.75" customHeight="1" x14ac:dyDescent="0.25">
      <c r="B148" s="108">
        <v>45175</v>
      </c>
      <c r="C148" s="109" t="s">
        <v>126</v>
      </c>
      <c r="D148" s="109">
        <v>36</v>
      </c>
      <c r="E148" s="110" t="str">
        <f t="shared" si="6"/>
        <v>20230906-143</v>
      </c>
      <c r="F148" s="111" t="s">
        <v>98</v>
      </c>
      <c r="G148" s="111" t="s">
        <v>99</v>
      </c>
      <c r="H148" s="112" t="s">
        <v>313</v>
      </c>
      <c r="I148" s="113">
        <v>488.94</v>
      </c>
      <c r="J148" s="111" t="s">
        <v>127</v>
      </c>
      <c r="K148" s="111" t="s">
        <v>316</v>
      </c>
      <c r="L148" s="111" t="s">
        <v>129</v>
      </c>
      <c r="M148" s="111" t="s">
        <v>104</v>
      </c>
      <c r="N148" s="111" t="s">
        <v>130</v>
      </c>
      <c r="O148" s="111" t="s">
        <v>131</v>
      </c>
      <c r="P148" s="111" t="s">
        <v>132</v>
      </c>
      <c r="Q148" s="110" t="s">
        <v>133</v>
      </c>
      <c r="R148" s="110" t="s">
        <v>134</v>
      </c>
      <c r="S148" s="111" t="s">
        <v>135</v>
      </c>
      <c r="T148" s="111" t="s">
        <v>136</v>
      </c>
      <c r="U148" s="111" t="s">
        <v>129</v>
      </c>
      <c r="V148" s="118">
        <f t="shared" si="5"/>
        <v>1.6887816646562134E-2</v>
      </c>
      <c r="W148" s="114" t="str">
        <f>IFERROR(I148-AVERAGEIFS(I$6:I147,J$6:J147,"ICIS / Platts",B$6:B147,B148),"")</f>
        <v/>
      </c>
      <c r="X148" s="110" t="s">
        <v>137</v>
      </c>
      <c r="Y148" s="117" t="str">
        <f t="shared" si="4"/>
        <v>OK</v>
      </c>
      <c r="Z148" s="111" t="s">
        <v>116</v>
      </c>
      <c r="AA148" s="111" t="s">
        <v>115</v>
      </c>
      <c r="AB148" s="111" t="s">
        <v>116</v>
      </c>
      <c r="AC148" s="111" t="s">
        <v>115</v>
      </c>
      <c r="AD148" s="111"/>
    </row>
    <row r="149" spans="2:30" ht="27.75" customHeight="1" x14ac:dyDescent="0.25">
      <c r="B149" s="115">
        <v>45177</v>
      </c>
      <c r="C149" s="116" t="s">
        <v>138</v>
      </c>
      <c r="D149" s="116">
        <v>36</v>
      </c>
      <c r="E149" s="110" t="str">
        <f t="shared" si="6"/>
        <v>20230908-144</v>
      </c>
      <c r="F149" s="111" t="s">
        <v>98</v>
      </c>
      <c r="G149" s="111" t="s">
        <v>99</v>
      </c>
      <c r="H149" s="112" t="s">
        <v>313</v>
      </c>
      <c r="I149" s="113">
        <v>497.54</v>
      </c>
      <c r="J149" s="111" t="s">
        <v>139</v>
      </c>
      <c r="K149" s="111" t="s">
        <v>317</v>
      </c>
      <c r="L149" s="111" t="s">
        <v>103</v>
      </c>
      <c r="M149" s="111" t="s">
        <v>104</v>
      </c>
      <c r="N149" s="111" t="s">
        <v>105</v>
      </c>
      <c r="O149" s="111" t="s">
        <v>106</v>
      </c>
      <c r="P149" s="111" t="s">
        <v>141</v>
      </c>
      <c r="Q149" s="110" t="s">
        <v>133</v>
      </c>
      <c r="R149" s="110" t="s">
        <v>142</v>
      </c>
      <c r="S149" s="111" t="s">
        <v>110</v>
      </c>
      <c r="T149" s="111" t="s">
        <v>111</v>
      </c>
      <c r="U149" s="111" t="s">
        <v>103</v>
      </c>
      <c r="V149" s="118">
        <f t="shared" si="5"/>
        <v>3.4515740009148796E-2</v>
      </c>
      <c r="W149" s="114" t="str">
        <f>IFERROR(I149-AVERAGEIFS(I$6:I148,J$6:J148,"ICIS / Platts",B$6:B148,B149),"")</f>
        <v/>
      </c>
      <c r="X149" s="110" t="s">
        <v>125</v>
      </c>
      <c r="Y149" s="117" t="str">
        <f t="shared" ref="Y149:Y212" si="7">IFERROR(IF(ABS(I149-AVERAGE(I141:I148))/AVERAGE(I141:I148)&gt;0.1,"⚠ CHECK","OK"),"OK")</f>
        <v>OK</v>
      </c>
      <c r="Z149" s="111" t="s">
        <v>116</v>
      </c>
      <c r="AA149" s="111" t="s">
        <v>115</v>
      </c>
      <c r="AB149" s="111" t="s">
        <v>116</v>
      </c>
      <c r="AC149" s="111" t="s">
        <v>115</v>
      </c>
      <c r="AD149" s="111"/>
    </row>
    <row r="150" spans="2:30" ht="27.75" customHeight="1" x14ac:dyDescent="0.25">
      <c r="B150" s="108">
        <v>45180</v>
      </c>
      <c r="C150" s="109" t="s">
        <v>97</v>
      </c>
      <c r="D150" s="109">
        <v>37</v>
      </c>
      <c r="E150" s="110" t="str">
        <f t="shared" si="6"/>
        <v>20230911-145</v>
      </c>
      <c r="F150" s="111" t="s">
        <v>98</v>
      </c>
      <c r="G150" s="111" t="s">
        <v>99</v>
      </c>
      <c r="H150" s="112" t="s">
        <v>318</v>
      </c>
      <c r="I150" s="113">
        <v>495</v>
      </c>
      <c r="J150" s="111" t="s">
        <v>101</v>
      </c>
      <c r="K150" s="111" t="s">
        <v>319</v>
      </c>
      <c r="L150" s="111" t="s">
        <v>103</v>
      </c>
      <c r="M150" s="111" t="s">
        <v>104</v>
      </c>
      <c r="N150" s="111" t="s">
        <v>105</v>
      </c>
      <c r="O150" s="111" t="s">
        <v>106</v>
      </c>
      <c r="P150" s="111" t="s">
        <v>107</v>
      </c>
      <c r="Q150" s="110" t="s">
        <v>108</v>
      </c>
      <c r="R150" s="110" t="s">
        <v>109</v>
      </c>
      <c r="S150" s="111" t="s">
        <v>110</v>
      </c>
      <c r="T150" s="111" t="s">
        <v>111</v>
      </c>
      <c r="U150" s="111" t="s">
        <v>103</v>
      </c>
      <c r="V150" s="118">
        <f t="shared" si="5"/>
        <v>6.0975609756097563E-3</v>
      </c>
      <c r="W150" s="114" t="str">
        <f>IFERROR(I150-AVERAGEIFS(I$6:I149,J$6:J149,"ICIS / Platts",B$6:B149,B150),"")</f>
        <v/>
      </c>
      <c r="X150" s="110" t="s">
        <v>113</v>
      </c>
      <c r="Y150" s="117" t="str">
        <f t="shared" si="7"/>
        <v>OK</v>
      </c>
      <c r="Z150" s="111" t="s">
        <v>116</v>
      </c>
      <c r="AA150" s="111" t="s">
        <v>115</v>
      </c>
      <c r="AB150" s="111" t="s">
        <v>116</v>
      </c>
      <c r="AC150" s="111" t="s">
        <v>115</v>
      </c>
      <c r="AD150" s="111"/>
    </row>
    <row r="151" spans="2:30" ht="27.75" customHeight="1" x14ac:dyDescent="0.25">
      <c r="B151" s="115">
        <v>45181</v>
      </c>
      <c r="C151" s="116" t="s">
        <v>117</v>
      </c>
      <c r="D151" s="116">
        <v>37</v>
      </c>
      <c r="E151" s="110" t="str">
        <f t="shared" si="6"/>
        <v>20230912-146</v>
      </c>
      <c r="F151" s="111" t="s">
        <v>98</v>
      </c>
      <c r="G151" s="111" t="s">
        <v>99</v>
      </c>
      <c r="H151" s="112" t="s">
        <v>318</v>
      </c>
      <c r="I151" s="113">
        <v>509.76</v>
      </c>
      <c r="J151" s="111" t="s">
        <v>118</v>
      </c>
      <c r="K151" s="111" t="s">
        <v>320</v>
      </c>
      <c r="L151" s="111" t="s">
        <v>103</v>
      </c>
      <c r="M151" s="111" t="s">
        <v>104</v>
      </c>
      <c r="N151" s="111" t="s">
        <v>120</v>
      </c>
      <c r="O151" s="111" t="s">
        <v>121</v>
      </c>
      <c r="P151" s="111" t="s">
        <v>122</v>
      </c>
      <c r="Q151" s="110" t="s">
        <v>123</v>
      </c>
      <c r="R151" s="110" t="s">
        <v>124</v>
      </c>
      <c r="S151" s="111" t="s">
        <v>110</v>
      </c>
      <c r="T151" s="111" t="s">
        <v>111</v>
      </c>
      <c r="U151" s="111" t="s">
        <v>103</v>
      </c>
      <c r="V151" s="118">
        <f t="shared" si="5"/>
        <v>2.8073572120038755E-2</v>
      </c>
      <c r="W151" s="114" t="str">
        <f>IFERROR(I151-AVERAGEIFS(I$6:I150,J$6:J150,"ICIS / Platts",B$6:B150,B151),"")</f>
        <v/>
      </c>
      <c r="X151" s="110" t="s">
        <v>125</v>
      </c>
      <c r="Y151" s="117" t="str">
        <f t="shared" si="7"/>
        <v>OK</v>
      </c>
      <c r="Z151" s="111" t="s">
        <v>116</v>
      </c>
      <c r="AA151" s="111" t="s">
        <v>115</v>
      </c>
      <c r="AB151" s="111" t="s">
        <v>116</v>
      </c>
      <c r="AC151" s="111" t="s">
        <v>115</v>
      </c>
      <c r="AD151" s="111"/>
    </row>
    <row r="152" spans="2:30" ht="27.75" customHeight="1" x14ac:dyDescent="0.25">
      <c r="B152" s="108">
        <v>45182</v>
      </c>
      <c r="C152" s="109" t="s">
        <v>126</v>
      </c>
      <c r="D152" s="109">
        <v>37</v>
      </c>
      <c r="E152" s="110" t="str">
        <f t="shared" si="6"/>
        <v>20230913-147</v>
      </c>
      <c r="F152" s="111" t="s">
        <v>98</v>
      </c>
      <c r="G152" s="111" t="s">
        <v>99</v>
      </c>
      <c r="H152" s="112" t="s">
        <v>318</v>
      </c>
      <c r="I152" s="113">
        <v>485.73</v>
      </c>
      <c r="J152" s="111" t="s">
        <v>127</v>
      </c>
      <c r="K152" s="111" t="s">
        <v>321</v>
      </c>
      <c r="L152" s="111" t="s">
        <v>129</v>
      </c>
      <c r="M152" s="111" t="s">
        <v>104</v>
      </c>
      <c r="N152" s="111" t="s">
        <v>130</v>
      </c>
      <c r="O152" s="111" t="s">
        <v>131</v>
      </c>
      <c r="P152" s="111" t="s">
        <v>132</v>
      </c>
      <c r="Q152" s="110" t="s">
        <v>133</v>
      </c>
      <c r="R152" s="110" t="s">
        <v>134</v>
      </c>
      <c r="S152" s="111" t="s">
        <v>135</v>
      </c>
      <c r="T152" s="111" t="s">
        <v>136</v>
      </c>
      <c r="U152" s="111" t="s">
        <v>129</v>
      </c>
      <c r="V152" s="118">
        <f t="shared" si="5"/>
        <v>-6.5652227267148922E-3</v>
      </c>
      <c r="W152" s="114" t="str">
        <f>IFERROR(I152-AVERAGEIFS(I$6:I151,J$6:J151,"ICIS / Platts",B$6:B151,B152),"")</f>
        <v/>
      </c>
      <c r="X152" s="110" t="s">
        <v>137</v>
      </c>
      <c r="Y152" s="117" t="str">
        <f t="shared" si="7"/>
        <v>OK</v>
      </c>
      <c r="Z152" s="111" t="s">
        <v>116</v>
      </c>
      <c r="AA152" s="111" t="s">
        <v>115</v>
      </c>
      <c r="AB152" s="111" t="s">
        <v>116</v>
      </c>
      <c r="AC152" s="111" t="s">
        <v>115</v>
      </c>
      <c r="AD152" s="111"/>
    </row>
    <row r="153" spans="2:30" ht="27.75" customHeight="1" x14ac:dyDescent="0.25">
      <c r="B153" s="115">
        <v>45184</v>
      </c>
      <c r="C153" s="116" t="s">
        <v>138</v>
      </c>
      <c r="D153" s="116">
        <v>37</v>
      </c>
      <c r="E153" s="110" t="str">
        <f t="shared" si="6"/>
        <v>20230915-148</v>
      </c>
      <c r="F153" s="111" t="s">
        <v>98</v>
      </c>
      <c r="G153" s="111" t="s">
        <v>99</v>
      </c>
      <c r="H153" s="112" t="s">
        <v>318</v>
      </c>
      <c r="I153" s="113">
        <v>487.59</v>
      </c>
      <c r="J153" s="111" t="s">
        <v>139</v>
      </c>
      <c r="K153" s="111" t="s">
        <v>322</v>
      </c>
      <c r="L153" s="111" t="s">
        <v>103</v>
      </c>
      <c r="M153" s="111" t="s">
        <v>104</v>
      </c>
      <c r="N153" s="111" t="s">
        <v>105</v>
      </c>
      <c r="O153" s="111" t="s">
        <v>106</v>
      </c>
      <c r="P153" s="111" t="s">
        <v>141</v>
      </c>
      <c r="Q153" s="110" t="s">
        <v>133</v>
      </c>
      <c r="R153" s="110" t="s">
        <v>142</v>
      </c>
      <c r="S153" s="111" t="s">
        <v>110</v>
      </c>
      <c r="T153" s="111" t="s">
        <v>111</v>
      </c>
      <c r="U153" s="111" t="s">
        <v>103</v>
      </c>
      <c r="V153" s="118">
        <f t="shared" si="5"/>
        <v>-1.9998392089078356E-2</v>
      </c>
      <c r="W153" s="114" t="str">
        <f>IFERROR(I153-AVERAGEIFS(I$6:I152,J$6:J152,"ICIS / Platts",B$6:B152,B153),"")</f>
        <v/>
      </c>
      <c r="X153" s="110" t="s">
        <v>125</v>
      </c>
      <c r="Y153" s="117" t="str">
        <f t="shared" si="7"/>
        <v>OK</v>
      </c>
      <c r="Z153" s="111" t="s">
        <v>116</v>
      </c>
      <c r="AA153" s="111" t="s">
        <v>115</v>
      </c>
      <c r="AB153" s="111" t="s">
        <v>116</v>
      </c>
      <c r="AC153" s="111" t="s">
        <v>115</v>
      </c>
      <c r="AD153" s="111"/>
    </row>
    <row r="154" spans="2:30" ht="27.75" customHeight="1" x14ac:dyDescent="0.25">
      <c r="B154" s="108">
        <v>45187</v>
      </c>
      <c r="C154" s="109" t="s">
        <v>97</v>
      </c>
      <c r="D154" s="109">
        <v>38</v>
      </c>
      <c r="E154" s="110" t="str">
        <f t="shared" si="6"/>
        <v>20230918-149</v>
      </c>
      <c r="F154" s="111" t="s">
        <v>98</v>
      </c>
      <c r="G154" s="111" t="s">
        <v>99</v>
      </c>
      <c r="H154" s="112" t="s">
        <v>323</v>
      </c>
      <c r="I154" s="113">
        <v>498</v>
      </c>
      <c r="J154" s="111" t="s">
        <v>101</v>
      </c>
      <c r="K154" s="111" t="s">
        <v>324</v>
      </c>
      <c r="L154" s="111" t="s">
        <v>103</v>
      </c>
      <c r="M154" s="111" t="s">
        <v>104</v>
      </c>
      <c r="N154" s="111" t="s">
        <v>105</v>
      </c>
      <c r="O154" s="111" t="s">
        <v>106</v>
      </c>
      <c r="P154" s="111" t="s">
        <v>107</v>
      </c>
      <c r="Q154" s="110" t="s">
        <v>108</v>
      </c>
      <c r="R154" s="110" t="s">
        <v>109</v>
      </c>
      <c r="S154" s="111" t="s">
        <v>110</v>
      </c>
      <c r="T154" s="111" t="s">
        <v>111</v>
      </c>
      <c r="U154" s="111" t="s">
        <v>103</v>
      </c>
      <c r="V154" s="118">
        <f t="shared" si="5"/>
        <v>6.0606060606060606E-3</v>
      </c>
      <c r="W154" s="114" t="str">
        <f>IFERROR(I154-AVERAGEIFS(I$6:I153,J$6:J153,"ICIS / Platts",B$6:B153,B154),"")</f>
        <v/>
      </c>
      <c r="X154" s="110" t="s">
        <v>113</v>
      </c>
      <c r="Y154" s="117" t="str">
        <f t="shared" si="7"/>
        <v>OK</v>
      </c>
      <c r="Z154" s="111" t="s">
        <v>116</v>
      </c>
      <c r="AA154" s="111" t="s">
        <v>115</v>
      </c>
      <c r="AB154" s="111" t="s">
        <v>116</v>
      </c>
      <c r="AC154" s="111" t="s">
        <v>115</v>
      </c>
      <c r="AD154" s="111"/>
    </row>
    <row r="155" spans="2:30" ht="27.75" customHeight="1" x14ac:dyDescent="0.25">
      <c r="B155" s="115">
        <v>45188</v>
      </c>
      <c r="C155" s="116" t="s">
        <v>117</v>
      </c>
      <c r="D155" s="116">
        <v>38</v>
      </c>
      <c r="E155" s="110" t="str">
        <f t="shared" si="6"/>
        <v>20230919-150</v>
      </c>
      <c r="F155" s="111" t="s">
        <v>98</v>
      </c>
      <c r="G155" s="111" t="s">
        <v>99</v>
      </c>
      <c r="H155" s="112" t="s">
        <v>323</v>
      </c>
      <c r="I155" s="113">
        <v>497.01</v>
      </c>
      <c r="J155" s="111" t="s">
        <v>118</v>
      </c>
      <c r="K155" s="111" t="s">
        <v>325</v>
      </c>
      <c r="L155" s="111" t="s">
        <v>103</v>
      </c>
      <c r="M155" s="111" t="s">
        <v>104</v>
      </c>
      <c r="N155" s="111" t="s">
        <v>120</v>
      </c>
      <c r="O155" s="111" t="s">
        <v>121</v>
      </c>
      <c r="P155" s="111" t="s">
        <v>122</v>
      </c>
      <c r="Q155" s="110" t="s">
        <v>123</v>
      </c>
      <c r="R155" s="110" t="s">
        <v>124</v>
      </c>
      <c r="S155" s="111" t="s">
        <v>110</v>
      </c>
      <c r="T155" s="111" t="s">
        <v>111</v>
      </c>
      <c r="U155" s="111" t="s">
        <v>103</v>
      </c>
      <c r="V155" s="118">
        <f t="shared" si="5"/>
        <v>-2.5011770244821093E-2</v>
      </c>
      <c r="W155" s="114" t="str">
        <f>IFERROR(I155-AVERAGEIFS(I$6:I154,J$6:J154,"ICIS / Platts",B$6:B154,B155),"")</f>
        <v/>
      </c>
      <c r="X155" s="110" t="s">
        <v>125</v>
      </c>
      <c r="Y155" s="117" t="str">
        <f t="shared" si="7"/>
        <v>OK</v>
      </c>
      <c r="Z155" s="111" t="s">
        <v>116</v>
      </c>
      <c r="AA155" s="111" t="s">
        <v>115</v>
      </c>
      <c r="AB155" s="111" t="s">
        <v>116</v>
      </c>
      <c r="AC155" s="111" t="s">
        <v>115</v>
      </c>
      <c r="AD155" s="111"/>
    </row>
    <row r="156" spans="2:30" ht="27.75" customHeight="1" x14ac:dyDescent="0.25">
      <c r="B156" s="108">
        <v>45189</v>
      </c>
      <c r="C156" s="109" t="s">
        <v>126</v>
      </c>
      <c r="D156" s="109">
        <v>38</v>
      </c>
      <c r="E156" s="110" t="str">
        <f t="shared" si="6"/>
        <v>20230920-151</v>
      </c>
      <c r="F156" s="111" t="s">
        <v>98</v>
      </c>
      <c r="G156" s="111" t="s">
        <v>99</v>
      </c>
      <c r="H156" s="112" t="s">
        <v>323</v>
      </c>
      <c r="I156" s="113">
        <v>501.76</v>
      </c>
      <c r="J156" s="111" t="s">
        <v>127</v>
      </c>
      <c r="K156" s="111" t="s">
        <v>326</v>
      </c>
      <c r="L156" s="111" t="s">
        <v>129</v>
      </c>
      <c r="M156" s="111" t="s">
        <v>104</v>
      </c>
      <c r="N156" s="111" t="s">
        <v>130</v>
      </c>
      <c r="O156" s="111" t="s">
        <v>131</v>
      </c>
      <c r="P156" s="111" t="s">
        <v>132</v>
      </c>
      <c r="Q156" s="110" t="s">
        <v>133</v>
      </c>
      <c r="R156" s="110" t="s">
        <v>134</v>
      </c>
      <c r="S156" s="111" t="s">
        <v>135</v>
      </c>
      <c r="T156" s="111" t="s">
        <v>136</v>
      </c>
      <c r="U156" s="111" t="s">
        <v>129</v>
      </c>
      <c r="V156" s="118">
        <f t="shared" si="5"/>
        <v>3.3001873468799479E-2</v>
      </c>
      <c r="W156" s="114" t="str">
        <f>IFERROR(I156-AVERAGEIFS(I$6:I155,J$6:J155,"ICIS / Platts",B$6:B155,B156),"")</f>
        <v/>
      </c>
      <c r="X156" s="110" t="s">
        <v>137</v>
      </c>
      <c r="Y156" s="117" t="str">
        <f t="shared" si="7"/>
        <v>OK</v>
      </c>
      <c r="Z156" s="111" t="s">
        <v>116</v>
      </c>
      <c r="AA156" s="111" t="s">
        <v>115</v>
      </c>
      <c r="AB156" s="111" t="s">
        <v>116</v>
      </c>
      <c r="AC156" s="111" t="s">
        <v>115</v>
      </c>
      <c r="AD156" s="111"/>
    </row>
    <row r="157" spans="2:30" ht="27.75" customHeight="1" x14ac:dyDescent="0.25">
      <c r="B157" s="115">
        <v>45191</v>
      </c>
      <c r="C157" s="116" t="s">
        <v>138</v>
      </c>
      <c r="D157" s="116">
        <v>38</v>
      </c>
      <c r="E157" s="110" t="str">
        <f t="shared" si="6"/>
        <v>20230922-152</v>
      </c>
      <c r="F157" s="111" t="s">
        <v>98</v>
      </c>
      <c r="G157" s="111" t="s">
        <v>99</v>
      </c>
      <c r="H157" s="112" t="s">
        <v>323</v>
      </c>
      <c r="I157" s="113">
        <v>497.64</v>
      </c>
      <c r="J157" s="111" t="s">
        <v>139</v>
      </c>
      <c r="K157" s="111" t="s">
        <v>327</v>
      </c>
      <c r="L157" s="111" t="s">
        <v>103</v>
      </c>
      <c r="M157" s="111" t="s">
        <v>104</v>
      </c>
      <c r="N157" s="111" t="s">
        <v>105</v>
      </c>
      <c r="O157" s="111" t="s">
        <v>106</v>
      </c>
      <c r="P157" s="111" t="s">
        <v>141</v>
      </c>
      <c r="Q157" s="110" t="s">
        <v>133</v>
      </c>
      <c r="R157" s="110" t="s">
        <v>142</v>
      </c>
      <c r="S157" s="111" t="s">
        <v>110</v>
      </c>
      <c r="T157" s="111" t="s">
        <v>111</v>
      </c>
      <c r="U157" s="111" t="s">
        <v>103</v>
      </c>
      <c r="V157" s="118">
        <f t="shared" si="5"/>
        <v>2.0611579400726044E-2</v>
      </c>
      <c r="W157" s="114" t="str">
        <f>IFERROR(I157-AVERAGEIFS(I$6:I156,J$6:J156,"ICIS / Platts",B$6:B156,B157),"")</f>
        <v/>
      </c>
      <c r="X157" s="110" t="s">
        <v>125</v>
      </c>
      <c r="Y157" s="117" t="str">
        <f t="shared" si="7"/>
        <v>OK</v>
      </c>
      <c r="Z157" s="111" t="s">
        <v>116</v>
      </c>
      <c r="AA157" s="111" t="s">
        <v>115</v>
      </c>
      <c r="AB157" s="111" t="s">
        <v>116</v>
      </c>
      <c r="AC157" s="111" t="s">
        <v>115</v>
      </c>
      <c r="AD157" s="111"/>
    </row>
    <row r="158" spans="2:30" ht="27.75" customHeight="1" x14ac:dyDescent="0.25">
      <c r="B158" s="108">
        <v>45194</v>
      </c>
      <c r="C158" s="109" t="s">
        <v>97</v>
      </c>
      <c r="D158" s="109">
        <v>39</v>
      </c>
      <c r="E158" s="110" t="str">
        <f t="shared" si="6"/>
        <v>20230925-153</v>
      </c>
      <c r="F158" s="111" t="s">
        <v>98</v>
      </c>
      <c r="G158" s="111" t="s">
        <v>99</v>
      </c>
      <c r="H158" s="112" t="s">
        <v>328</v>
      </c>
      <c r="I158" s="113">
        <v>500</v>
      </c>
      <c r="J158" s="111" t="s">
        <v>101</v>
      </c>
      <c r="K158" s="111" t="s">
        <v>329</v>
      </c>
      <c r="L158" s="111" t="s">
        <v>103</v>
      </c>
      <c r="M158" s="111" t="s">
        <v>104</v>
      </c>
      <c r="N158" s="111" t="s">
        <v>105</v>
      </c>
      <c r="O158" s="111" t="s">
        <v>106</v>
      </c>
      <c r="P158" s="111" t="s">
        <v>107</v>
      </c>
      <c r="Q158" s="110" t="s">
        <v>108</v>
      </c>
      <c r="R158" s="110" t="s">
        <v>109</v>
      </c>
      <c r="S158" s="111" t="s">
        <v>110</v>
      </c>
      <c r="T158" s="111" t="s">
        <v>111</v>
      </c>
      <c r="U158" s="111" t="s">
        <v>103</v>
      </c>
      <c r="V158" s="118">
        <f t="shared" si="5"/>
        <v>4.0160642570281121E-3</v>
      </c>
      <c r="W158" s="114" t="str">
        <f>IFERROR(I158-AVERAGEIFS(I$6:I157,J$6:J157,"ICIS / Platts",B$6:B157,B158),"")</f>
        <v/>
      </c>
      <c r="X158" s="110" t="s">
        <v>113</v>
      </c>
      <c r="Y158" s="117" t="str">
        <f t="shared" si="7"/>
        <v>OK</v>
      </c>
      <c r="Z158" s="111" t="s">
        <v>116</v>
      </c>
      <c r="AA158" s="111" t="s">
        <v>115</v>
      </c>
      <c r="AB158" s="111" t="s">
        <v>116</v>
      </c>
      <c r="AC158" s="111" t="s">
        <v>115</v>
      </c>
      <c r="AD158" s="111"/>
    </row>
    <row r="159" spans="2:30" ht="27.75" customHeight="1" x14ac:dyDescent="0.25">
      <c r="B159" s="115">
        <v>45195</v>
      </c>
      <c r="C159" s="116" t="s">
        <v>117</v>
      </c>
      <c r="D159" s="116">
        <v>39</v>
      </c>
      <c r="E159" s="110" t="str">
        <f t="shared" si="6"/>
        <v>20230926-154</v>
      </c>
      <c r="F159" s="111" t="s">
        <v>98</v>
      </c>
      <c r="G159" s="111" t="s">
        <v>99</v>
      </c>
      <c r="H159" s="112" t="s">
        <v>328</v>
      </c>
      <c r="I159" s="113">
        <v>507.36</v>
      </c>
      <c r="J159" s="111" t="s">
        <v>118</v>
      </c>
      <c r="K159" s="111" t="s">
        <v>330</v>
      </c>
      <c r="L159" s="111" t="s">
        <v>103</v>
      </c>
      <c r="M159" s="111" t="s">
        <v>104</v>
      </c>
      <c r="N159" s="111" t="s">
        <v>120</v>
      </c>
      <c r="O159" s="111" t="s">
        <v>121</v>
      </c>
      <c r="P159" s="111" t="s">
        <v>122</v>
      </c>
      <c r="Q159" s="110" t="s">
        <v>123</v>
      </c>
      <c r="R159" s="110" t="s">
        <v>124</v>
      </c>
      <c r="S159" s="111" t="s">
        <v>110</v>
      </c>
      <c r="T159" s="111" t="s">
        <v>111</v>
      </c>
      <c r="U159" s="111" t="s">
        <v>103</v>
      </c>
      <c r="V159" s="118">
        <f t="shared" ref="V159:V222" si="8">IFERROR((I159-I155)/I155,"")</f>
        <v>2.082453069354746E-2</v>
      </c>
      <c r="W159" s="114" t="str">
        <f>IFERROR(I159-AVERAGEIFS(I$6:I158,J$6:J158,"ICIS / Platts",B$6:B158,B159),"")</f>
        <v/>
      </c>
      <c r="X159" s="110" t="s">
        <v>125</v>
      </c>
      <c r="Y159" s="117" t="str">
        <f t="shared" si="7"/>
        <v>OK</v>
      </c>
      <c r="Z159" s="111" t="s">
        <v>116</v>
      </c>
      <c r="AA159" s="111" t="s">
        <v>115</v>
      </c>
      <c r="AB159" s="111" t="s">
        <v>116</v>
      </c>
      <c r="AC159" s="111" t="s">
        <v>115</v>
      </c>
      <c r="AD159" s="111"/>
    </row>
    <row r="160" spans="2:30" ht="27.75" customHeight="1" x14ac:dyDescent="0.25">
      <c r="B160" s="108">
        <v>45196</v>
      </c>
      <c r="C160" s="109" t="s">
        <v>126</v>
      </c>
      <c r="D160" s="109">
        <v>39</v>
      </c>
      <c r="E160" s="110" t="str">
        <f t="shared" si="6"/>
        <v>20230927-155</v>
      </c>
      <c r="F160" s="111" t="s">
        <v>98</v>
      </c>
      <c r="G160" s="111" t="s">
        <v>99</v>
      </c>
      <c r="H160" s="112" t="s">
        <v>328</v>
      </c>
      <c r="I160" s="113">
        <v>511.39</v>
      </c>
      <c r="J160" s="111" t="s">
        <v>127</v>
      </c>
      <c r="K160" s="111" t="s">
        <v>331</v>
      </c>
      <c r="L160" s="111" t="s">
        <v>129</v>
      </c>
      <c r="M160" s="111" t="s">
        <v>104</v>
      </c>
      <c r="N160" s="111" t="s">
        <v>130</v>
      </c>
      <c r="O160" s="111" t="s">
        <v>131</v>
      </c>
      <c r="P160" s="111" t="s">
        <v>132</v>
      </c>
      <c r="Q160" s="110" t="s">
        <v>133</v>
      </c>
      <c r="R160" s="110" t="s">
        <v>134</v>
      </c>
      <c r="S160" s="111" t="s">
        <v>135</v>
      </c>
      <c r="T160" s="111" t="s">
        <v>136</v>
      </c>
      <c r="U160" s="111" t="s">
        <v>129</v>
      </c>
      <c r="V160" s="118">
        <f t="shared" si="8"/>
        <v>1.9192442602040807E-2</v>
      </c>
      <c r="W160" s="114" t="str">
        <f>IFERROR(I160-AVERAGEIFS(I$6:I159,J$6:J159,"ICIS / Platts",B$6:B159,B160),"")</f>
        <v/>
      </c>
      <c r="X160" s="110" t="s">
        <v>137</v>
      </c>
      <c r="Y160" s="117" t="str">
        <f t="shared" si="7"/>
        <v>OK</v>
      </c>
      <c r="Z160" s="111" t="s">
        <v>116</v>
      </c>
      <c r="AA160" s="111" t="s">
        <v>115</v>
      </c>
      <c r="AB160" s="111" t="s">
        <v>116</v>
      </c>
      <c r="AC160" s="111" t="s">
        <v>115</v>
      </c>
      <c r="AD160" s="111"/>
    </row>
    <row r="161" spans="2:30" ht="27.75" customHeight="1" x14ac:dyDescent="0.25">
      <c r="B161" s="115">
        <v>45198</v>
      </c>
      <c r="C161" s="116" t="s">
        <v>138</v>
      </c>
      <c r="D161" s="116">
        <v>39</v>
      </c>
      <c r="E161" s="110" t="str">
        <f t="shared" si="6"/>
        <v>20230929-156</v>
      </c>
      <c r="F161" s="111" t="s">
        <v>98</v>
      </c>
      <c r="G161" s="111" t="s">
        <v>99</v>
      </c>
      <c r="H161" s="112" t="s">
        <v>328</v>
      </c>
      <c r="I161" s="113">
        <v>509.57</v>
      </c>
      <c r="J161" s="111" t="s">
        <v>139</v>
      </c>
      <c r="K161" s="111" t="s">
        <v>332</v>
      </c>
      <c r="L161" s="111" t="s">
        <v>103</v>
      </c>
      <c r="M161" s="111" t="s">
        <v>104</v>
      </c>
      <c r="N161" s="111" t="s">
        <v>105</v>
      </c>
      <c r="O161" s="111" t="s">
        <v>106</v>
      </c>
      <c r="P161" s="111" t="s">
        <v>141</v>
      </c>
      <c r="Q161" s="110" t="s">
        <v>133</v>
      </c>
      <c r="R161" s="110" t="s">
        <v>142</v>
      </c>
      <c r="S161" s="111" t="s">
        <v>110</v>
      </c>
      <c r="T161" s="111" t="s">
        <v>111</v>
      </c>
      <c r="U161" s="111" t="s">
        <v>103</v>
      </c>
      <c r="V161" s="118">
        <f t="shared" si="8"/>
        <v>2.3973153283498125E-2</v>
      </c>
      <c r="W161" s="114" t="str">
        <f>IFERROR(I161-AVERAGEIFS(I$6:I160,J$6:J160,"ICIS / Platts",B$6:B160,B161),"")</f>
        <v/>
      </c>
      <c r="X161" s="110" t="s">
        <v>125</v>
      </c>
      <c r="Y161" s="117" t="str">
        <f t="shared" si="7"/>
        <v>OK</v>
      </c>
      <c r="Z161" s="111" t="s">
        <v>116</v>
      </c>
      <c r="AA161" s="111" t="s">
        <v>115</v>
      </c>
      <c r="AB161" s="111" t="s">
        <v>116</v>
      </c>
      <c r="AC161" s="111" t="s">
        <v>115</v>
      </c>
      <c r="AD161" s="111"/>
    </row>
    <row r="162" spans="2:30" ht="27.75" customHeight="1" x14ac:dyDescent="0.25">
      <c r="B162" s="108">
        <v>45201</v>
      </c>
      <c r="C162" s="109" t="s">
        <v>97</v>
      </c>
      <c r="D162" s="109">
        <v>40</v>
      </c>
      <c r="E162" s="110" t="str">
        <f t="shared" si="6"/>
        <v>20231002-157</v>
      </c>
      <c r="F162" s="111" t="s">
        <v>98</v>
      </c>
      <c r="G162" s="111" t="s">
        <v>99</v>
      </c>
      <c r="H162" s="112" t="s">
        <v>333</v>
      </c>
      <c r="I162" s="113">
        <v>505</v>
      </c>
      <c r="J162" s="111" t="s">
        <v>101</v>
      </c>
      <c r="K162" s="111" t="s">
        <v>334</v>
      </c>
      <c r="L162" s="111" t="s">
        <v>103</v>
      </c>
      <c r="M162" s="111" t="s">
        <v>104</v>
      </c>
      <c r="N162" s="111" t="s">
        <v>105</v>
      </c>
      <c r="O162" s="111" t="s">
        <v>106</v>
      </c>
      <c r="P162" s="111" t="s">
        <v>107</v>
      </c>
      <c r="Q162" s="110" t="s">
        <v>108</v>
      </c>
      <c r="R162" s="110" t="s">
        <v>109</v>
      </c>
      <c r="S162" s="111" t="s">
        <v>110</v>
      </c>
      <c r="T162" s="111" t="s">
        <v>111</v>
      </c>
      <c r="U162" s="111" t="s">
        <v>103</v>
      </c>
      <c r="V162" s="118">
        <f t="shared" si="8"/>
        <v>0.01</v>
      </c>
      <c r="W162" s="114" t="str">
        <f>IFERROR(I162-AVERAGEIFS(I$6:I161,J$6:J161,"ICIS / Platts",B$6:B161,B162),"")</f>
        <v/>
      </c>
      <c r="X162" s="110" t="s">
        <v>113</v>
      </c>
      <c r="Y162" s="117" t="str">
        <f t="shared" si="7"/>
        <v>OK</v>
      </c>
      <c r="Z162" s="111" t="s">
        <v>116</v>
      </c>
      <c r="AA162" s="111" t="s">
        <v>115</v>
      </c>
      <c r="AB162" s="111" t="s">
        <v>116</v>
      </c>
      <c r="AC162" s="111" t="s">
        <v>116</v>
      </c>
      <c r="AD162" s="111"/>
    </row>
    <row r="163" spans="2:30" ht="27.75" customHeight="1" x14ac:dyDescent="0.25">
      <c r="B163" s="115">
        <v>45202</v>
      </c>
      <c r="C163" s="116" t="s">
        <v>117</v>
      </c>
      <c r="D163" s="116">
        <v>40</v>
      </c>
      <c r="E163" s="110" t="str">
        <f t="shared" si="6"/>
        <v>20231003-158</v>
      </c>
      <c r="F163" s="111" t="s">
        <v>98</v>
      </c>
      <c r="G163" s="111" t="s">
        <v>99</v>
      </c>
      <c r="H163" s="112" t="s">
        <v>333</v>
      </c>
      <c r="I163" s="113">
        <v>514.52</v>
      </c>
      <c r="J163" s="111" t="s">
        <v>118</v>
      </c>
      <c r="K163" s="111" t="s">
        <v>335</v>
      </c>
      <c r="L163" s="111" t="s">
        <v>103</v>
      </c>
      <c r="M163" s="111" t="s">
        <v>104</v>
      </c>
      <c r="N163" s="111" t="s">
        <v>120</v>
      </c>
      <c r="O163" s="111" t="s">
        <v>121</v>
      </c>
      <c r="P163" s="111" t="s">
        <v>122</v>
      </c>
      <c r="Q163" s="110" t="s">
        <v>123</v>
      </c>
      <c r="R163" s="110" t="s">
        <v>124</v>
      </c>
      <c r="S163" s="111" t="s">
        <v>110</v>
      </c>
      <c r="T163" s="111" t="s">
        <v>111</v>
      </c>
      <c r="U163" s="111" t="s">
        <v>103</v>
      </c>
      <c r="V163" s="118">
        <f t="shared" si="8"/>
        <v>1.4112267423525638E-2</v>
      </c>
      <c r="W163" s="114" t="str">
        <f>IFERROR(I163-AVERAGEIFS(I$6:I162,J$6:J162,"ICIS / Platts",B$6:B162,B163),"")</f>
        <v/>
      </c>
      <c r="X163" s="110" t="s">
        <v>125</v>
      </c>
      <c r="Y163" s="117" t="str">
        <f t="shared" si="7"/>
        <v>OK</v>
      </c>
      <c r="Z163" s="111" t="s">
        <v>116</v>
      </c>
      <c r="AA163" s="111" t="s">
        <v>115</v>
      </c>
      <c r="AB163" s="111" t="s">
        <v>116</v>
      </c>
      <c r="AC163" s="111" t="s">
        <v>116</v>
      </c>
      <c r="AD163" s="111"/>
    </row>
    <row r="164" spans="2:30" ht="27.75" customHeight="1" x14ac:dyDescent="0.25">
      <c r="B164" s="108">
        <v>45203</v>
      </c>
      <c r="C164" s="109" t="s">
        <v>126</v>
      </c>
      <c r="D164" s="109">
        <v>40</v>
      </c>
      <c r="E164" s="110" t="str">
        <f t="shared" si="6"/>
        <v>20231004-159</v>
      </c>
      <c r="F164" s="111" t="s">
        <v>98</v>
      </c>
      <c r="G164" s="111" t="s">
        <v>99</v>
      </c>
      <c r="H164" s="112" t="s">
        <v>333</v>
      </c>
      <c r="I164" s="113">
        <v>509.55</v>
      </c>
      <c r="J164" s="111" t="s">
        <v>127</v>
      </c>
      <c r="K164" s="111" t="s">
        <v>336</v>
      </c>
      <c r="L164" s="111" t="s">
        <v>129</v>
      </c>
      <c r="M164" s="111" t="s">
        <v>104</v>
      </c>
      <c r="N164" s="111" t="s">
        <v>130</v>
      </c>
      <c r="O164" s="111" t="s">
        <v>131</v>
      </c>
      <c r="P164" s="111" t="s">
        <v>132</v>
      </c>
      <c r="Q164" s="110" t="s">
        <v>133</v>
      </c>
      <c r="R164" s="110" t="s">
        <v>134</v>
      </c>
      <c r="S164" s="111" t="s">
        <v>135</v>
      </c>
      <c r="T164" s="111" t="s">
        <v>136</v>
      </c>
      <c r="U164" s="111" t="s">
        <v>129</v>
      </c>
      <c r="V164" s="118">
        <f t="shared" si="8"/>
        <v>-3.5980367234399874E-3</v>
      </c>
      <c r="W164" s="114" t="str">
        <f>IFERROR(I164-AVERAGEIFS(I$6:I163,J$6:J163,"ICIS / Platts",B$6:B163,B164),"")</f>
        <v/>
      </c>
      <c r="X164" s="110" t="s">
        <v>137</v>
      </c>
      <c r="Y164" s="117" t="str">
        <f t="shared" si="7"/>
        <v>OK</v>
      </c>
      <c r="Z164" s="111" t="s">
        <v>116</v>
      </c>
      <c r="AA164" s="111" t="s">
        <v>115</v>
      </c>
      <c r="AB164" s="111" t="s">
        <v>116</v>
      </c>
      <c r="AC164" s="111" t="s">
        <v>116</v>
      </c>
      <c r="AD164" s="111"/>
    </row>
    <row r="165" spans="2:30" ht="27.75" customHeight="1" x14ac:dyDescent="0.25">
      <c r="B165" s="115">
        <v>45205</v>
      </c>
      <c r="C165" s="116" t="s">
        <v>138</v>
      </c>
      <c r="D165" s="116">
        <v>40</v>
      </c>
      <c r="E165" s="110" t="str">
        <f t="shared" si="6"/>
        <v>20231006-160</v>
      </c>
      <c r="F165" s="111" t="s">
        <v>98</v>
      </c>
      <c r="G165" s="111" t="s">
        <v>99</v>
      </c>
      <c r="H165" s="112" t="s">
        <v>333</v>
      </c>
      <c r="I165" s="113">
        <v>502.67</v>
      </c>
      <c r="J165" s="111" t="s">
        <v>139</v>
      </c>
      <c r="K165" s="111" t="s">
        <v>337</v>
      </c>
      <c r="L165" s="111" t="s">
        <v>103</v>
      </c>
      <c r="M165" s="111" t="s">
        <v>104</v>
      </c>
      <c r="N165" s="111" t="s">
        <v>105</v>
      </c>
      <c r="O165" s="111" t="s">
        <v>106</v>
      </c>
      <c r="P165" s="111" t="s">
        <v>141</v>
      </c>
      <c r="Q165" s="110" t="s">
        <v>133</v>
      </c>
      <c r="R165" s="110" t="s">
        <v>142</v>
      </c>
      <c r="S165" s="111" t="s">
        <v>110</v>
      </c>
      <c r="T165" s="111" t="s">
        <v>111</v>
      </c>
      <c r="U165" s="111" t="s">
        <v>103</v>
      </c>
      <c r="V165" s="118">
        <f t="shared" si="8"/>
        <v>-1.3540828541711595E-2</v>
      </c>
      <c r="W165" s="114" t="str">
        <f>IFERROR(I165-AVERAGEIFS(I$6:I164,J$6:J164,"ICIS / Platts",B$6:B164,B165),"")</f>
        <v/>
      </c>
      <c r="X165" s="110" t="s">
        <v>125</v>
      </c>
      <c r="Y165" s="117" t="str">
        <f t="shared" si="7"/>
        <v>OK</v>
      </c>
      <c r="Z165" s="111" t="s">
        <v>116</v>
      </c>
      <c r="AA165" s="111" t="s">
        <v>115</v>
      </c>
      <c r="AB165" s="111" t="s">
        <v>116</v>
      </c>
      <c r="AC165" s="111" t="s">
        <v>116</v>
      </c>
      <c r="AD165" s="111"/>
    </row>
    <row r="166" spans="2:30" ht="27.75" customHeight="1" x14ac:dyDescent="0.25">
      <c r="B166" s="108">
        <v>45208</v>
      </c>
      <c r="C166" s="109" t="s">
        <v>97</v>
      </c>
      <c r="D166" s="109">
        <v>41</v>
      </c>
      <c r="E166" s="110" t="str">
        <f t="shared" si="6"/>
        <v>20231009-161</v>
      </c>
      <c r="F166" s="111" t="s">
        <v>98</v>
      </c>
      <c r="G166" s="111" t="s">
        <v>99</v>
      </c>
      <c r="H166" s="112" t="s">
        <v>338</v>
      </c>
      <c r="I166" s="113">
        <v>510</v>
      </c>
      <c r="J166" s="111" t="s">
        <v>101</v>
      </c>
      <c r="K166" s="111" t="s">
        <v>339</v>
      </c>
      <c r="L166" s="111" t="s">
        <v>103</v>
      </c>
      <c r="M166" s="111" t="s">
        <v>104</v>
      </c>
      <c r="N166" s="111" t="s">
        <v>105</v>
      </c>
      <c r="O166" s="111" t="s">
        <v>106</v>
      </c>
      <c r="P166" s="111" t="s">
        <v>107</v>
      </c>
      <c r="Q166" s="110" t="s">
        <v>108</v>
      </c>
      <c r="R166" s="110" t="s">
        <v>109</v>
      </c>
      <c r="S166" s="111" t="s">
        <v>110</v>
      </c>
      <c r="T166" s="111" t="s">
        <v>111</v>
      </c>
      <c r="U166" s="111" t="s">
        <v>103</v>
      </c>
      <c r="V166" s="118">
        <f t="shared" si="8"/>
        <v>9.9009900990099011E-3</v>
      </c>
      <c r="W166" s="114" t="str">
        <f>IFERROR(I166-AVERAGEIFS(I$6:I165,J$6:J165,"ICIS / Platts",B$6:B165,B166),"")</f>
        <v/>
      </c>
      <c r="X166" s="110" t="s">
        <v>113</v>
      </c>
      <c r="Y166" s="117" t="str">
        <f t="shared" si="7"/>
        <v>OK</v>
      </c>
      <c r="Z166" s="111" t="s">
        <v>116</v>
      </c>
      <c r="AA166" s="111" t="s">
        <v>116</v>
      </c>
      <c r="AB166" s="111" t="s">
        <v>116</v>
      </c>
      <c r="AC166" s="111" t="s">
        <v>116</v>
      </c>
      <c r="AD166" s="111"/>
    </row>
    <row r="167" spans="2:30" ht="27.75" customHeight="1" x14ac:dyDescent="0.25">
      <c r="B167" s="115">
        <v>45209</v>
      </c>
      <c r="C167" s="116" t="s">
        <v>117</v>
      </c>
      <c r="D167" s="116">
        <v>41</v>
      </c>
      <c r="E167" s="110" t="str">
        <f t="shared" si="6"/>
        <v>20231010-162</v>
      </c>
      <c r="F167" s="111" t="s">
        <v>98</v>
      </c>
      <c r="G167" s="111" t="s">
        <v>99</v>
      </c>
      <c r="H167" s="112" t="s">
        <v>338</v>
      </c>
      <c r="I167" s="113">
        <v>520.88</v>
      </c>
      <c r="J167" s="111" t="s">
        <v>118</v>
      </c>
      <c r="K167" s="111" t="s">
        <v>340</v>
      </c>
      <c r="L167" s="111" t="s">
        <v>103</v>
      </c>
      <c r="M167" s="111" t="s">
        <v>104</v>
      </c>
      <c r="N167" s="111" t="s">
        <v>120</v>
      </c>
      <c r="O167" s="111" t="s">
        <v>121</v>
      </c>
      <c r="P167" s="111" t="s">
        <v>122</v>
      </c>
      <c r="Q167" s="110" t="s">
        <v>123</v>
      </c>
      <c r="R167" s="110" t="s">
        <v>124</v>
      </c>
      <c r="S167" s="111" t="s">
        <v>110</v>
      </c>
      <c r="T167" s="111" t="s">
        <v>111</v>
      </c>
      <c r="U167" s="111" t="s">
        <v>103</v>
      </c>
      <c r="V167" s="118">
        <f t="shared" si="8"/>
        <v>1.2361035528259375E-2</v>
      </c>
      <c r="W167" s="114" t="str">
        <f>IFERROR(I167-AVERAGEIFS(I$6:I166,J$6:J166,"ICIS / Platts",B$6:B166,B167),"")</f>
        <v/>
      </c>
      <c r="X167" s="110" t="s">
        <v>125</v>
      </c>
      <c r="Y167" s="117" t="str">
        <f t="shared" si="7"/>
        <v>OK</v>
      </c>
      <c r="Z167" s="111" t="s">
        <v>116</v>
      </c>
      <c r="AA167" s="111" t="s">
        <v>116</v>
      </c>
      <c r="AB167" s="111" t="s">
        <v>116</v>
      </c>
      <c r="AC167" s="111" t="s">
        <v>116</v>
      </c>
      <c r="AD167" s="111"/>
    </row>
    <row r="168" spans="2:30" ht="27.75" customHeight="1" x14ac:dyDescent="0.25">
      <c r="B168" s="108">
        <v>45210</v>
      </c>
      <c r="C168" s="109" t="s">
        <v>126</v>
      </c>
      <c r="D168" s="109">
        <v>41</v>
      </c>
      <c r="E168" s="110" t="str">
        <f t="shared" si="6"/>
        <v>20231011-163</v>
      </c>
      <c r="F168" s="111" t="s">
        <v>98</v>
      </c>
      <c r="G168" s="111" t="s">
        <v>99</v>
      </c>
      <c r="H168" s="112" t="s">
        <v>338</v>
      </c>
      <c r="I168" s="113">
        <v>504.42</v>
      </c>
      <c r="J168" s="111" t="s">
        <v>127</v>
      </c>
      <c r="K168" s="111" t="s">
        <v>341</v>
      </c>
      <c r="L168" s="111" t="s">
        <v>129</v>
      </c>
      <c r="M168" s="111" t="s">
        <v>104</v>
      </c>
      <c r="N168" s="111" t="s">
        <v>130</v>
      </c>
      <c r="O168" s="111" t="s">
        <v>131</v>
      </c>
      <c r="P168" s="111" t="s">
        <v>132</v>
      </c>
      <c r="Q168" s="110" t="s">
        <v>133</v>
      </c>
      <c r="R168" s="110" t="s">
        <v>134</v>
      </c>
      <c r="S168" s="111" t="s">
        <v>135</v>
      </c>
      <c r="T168" s="111" t="s">
        <v>136</v>
      </c>
      <c r="U168" s="111" t="s">
        <v>129</v>
      </c>
      <c r="V168" s="118">
        <f t="shared" si="8"/>
        <v>-1.0067706800117742E-2</v>
      </c>
      <c r="W168" s="114" t="str">
        <f>IFERROR(I168-AVERAGEIFS(I$6:I167,J$6:J167,"ICIS / Platts",B$6:B167,B168),"")</f>
        <v/>
      </c>
      <c r="X168" s="110" t="s">
        <v>137</v>
      </c>
      <c r="Y168" s="117" t="str">
        <f t="shared" si="7"/>
        <v>OK</v>
      </c>
      <c r="Z168" s="111" t="s">
        <v>116</v>
      </c>
      <c r="AA168" s="111" t="s">
        <v>116</v>
      </c>
      <c r="AB168" s="111" t="s">
        <v>116</v>
      </c>
      <c r="AC168" s="111" t="s">
        <v>116</v>
      </c>
      <c r="AD168" s="111"/>
    </row>
    <row r="169" spans="2:30" ht="27.75" customHeight="1" x14ac:dyDescent="0.25">
      <c r="B169" s="115">
        <v>45212</v>
      </c>
      <c r="C169" s="116" t="s">
        <v>138</v>
      </c>
      <c r="D169" s="116">
        <v>41</v>
      </c>
      <c r="E169" s="110" t="str">
        <f t="shared" si="6"/>
        <v>20231013-164</v>
      </c>
      <c r="F169" s="111" t="s">
        <v>98</v>
      </c>
      <c r="G169" s="111" t="s">
        <v>99</v>
      </c>
      <c r="H169" s="112" t="s">
        <v>338</v>
      </c>
      <c r="I169" s="113">
        <v>507.7</v>
      </c>
      <c r="J169" s="111" t="s">
        <v>139</v>
      </c>
      <c r="K169" s="111" t="s">
        <v>232</v>
      </c>
      <c r="L169" s="111" t="s">
        <v>103</v>
      </c>
      <c r="M169" s="111" t="s">
        <v>104</v>
      </c>
      <c r="N169" s="111" t="s">
        <v>105</v>
      </c>
      <c r="O169" s="111" t="s">
        <v>106</v>
      </c>
      <c r="P169" s="111" t="s">
        <v>141</v>
      </c>
      <c r="Q169" s="110" t="s">
        <v>133</v>
      </c>
      <c r="R169" s="110" t="s">
        <v>142</v>
      </c>
      <c r="S169" s="111" t="s">
        <v>110</v>
      </c>
      <c r="T169" s="111" t="s">
        <v>111</v>
      </c>
      <c r="U169" s="111" t="s">
        <v>103</v>
      </c>
      <c r="V169" s="118">
        <f t="shared" si="8"/>
        <v>1.000656494320324E-2</v>
      </c>
      <c r="W169" s="114" t="str">
        <f>IFERROR(I169-AVERAGEIFS(I$6:I168,J$6:J168,"ICIS / Platts",B$6:B168,B169),"")</f>
        <v/>
      </c>
      <c r="X169" s="110" t="s">
        <v>125</v>
      </c>
      <c r="Y169" s="117" t="str">
        <f t="shared" si="7"/>
        <v>OK</v>
      </c>
      <c r="Z169" s="111" t="s">
        <v>116</v>
      </c>
      <c r="AA169" s="111" t="s">
        <v>116</v>
      </c>
      <c r="AB169" s="111" t="s">
        <v>116</v>
      </c>
      <c r="AC169" s="111" t="s">
        <v>116</v>
      </c>
      <c r="AD169" s="111"/>
    </row>
    <row r="170" spans="2:30" ht="27.75" customHeight="1" x14ac:dyDescent="0.25">
      <c r="B170" s="108">
        <v>45215</v>
      </c>
      <c r="C170" s="109" t="s">
        <v>97</v>
      </c>
      <c r="D170" s="109">
        <v>42</v>
      </c>
      <c r="E170" s="110" t="str">
        <f t="shared" si="6"/>
        <v>20231016-165</v>
      </c>
      <c r="F170" s="111" t="s">
        <v>98</v>
      </c>
      <c r="G170" s="111" t="s">
        <v>99</v>
      </c>
      <c r="H170" s="112" t="s">
        <v>342</v>
      </c>
      <c r="I170" s="113">
        <v>515</v>
      </c>
      <c r="J170" s="111" t="s">
        <v>101</v>
      </c>
      <c r="K170" s="111" t="s">
        <v>343</v>
      </c>
      <c r="L170" s="111" t="s">
        <v>103</v>
      </c>
      <c r="M170" s="111" t="s">
        <v>104</v>
      </c>
      <c r="N170" s="111" t="s">
        <v>105</v>
      </c>
      <c r="O170" s="111" t="s">
        <v>106</v>
      </c>
      <c r="P170" s="111" t="s">
        <v>107</v>
      </c>
      <c r="Q170" s="110" t="s">
        <v>108</v>
      </c>
      <c r="R170" s="110" t="s">
        <v>109</v>
      </c>
      <c r="S170" s="111" t="s">
        <v>110</v>
      </c>
      <c r="T170" s="111" t="s">
        <v>111</v>
      </c>
      <c r="U170" s="111" t="s">
        <v>103</v>
      </c>
      <c r="V170" s="118">
        <f t="shared" si="8"/>
        <v>9.8039215686274508E-3</v>
      </c>
      <c r="W170" s="114" t="str">
        <f>IFERROR(I170-AVERAGEIFS(I$6:I169,J$6:J169,"ICIS / Platts",B$6:B169,B170),"")</f>
        <v/>
      </c>
      <c r="X170" s="110" t="s">
        <v>113</v>
      </c>
      <c r="Y170" s="117" t="str">
        <f t="shared" si="7"/>
        <v>OK</v>
      </c>
      <c r="Z170" s="111" t="s">
        <v>116</v>
      </c>
      <c r="AA170" s="111" t="s">
        <v>116</v>
      </c>
      <c r="AB170" s="111" t="s">
        <v>116</v>
      </c>
      <c r="AC170" s="111" t="s">
        <v>116</v>
      </c>
      <c r="AD170" s="111"/>
    </row>
    <row r="171" spans="2:30" ht="27.75" customHeight="1" x14ac:dyDescent="0.25">
      <c r="B171" s="115">
        <v>45216</v>
      </c>
      <c r="C171" s="116" t="s">
        <v>117</v>
      </c>
      <c r="D171" s="116">
        <v>42</v>
      </c>
      <c r="E171" s="110" t="str">
        <f t="shared" si="6"/>
        <v>20231017-166</v>
      </c>
      <c r="F171" s="111" t="s">
        <v>98</v>
      </c>
      <c r="G171" s="111" t="s">
        <v>99</v>
      </c>
      <c r="H171" s="112" t="s">
        <v>342</v>
      </c>
      <c r="I171" s="113">
        <v>525.38</v>
      </c>
      <c r="J171" s="111" t="s">
        <v>118</v>
      </c>
      <c r="K171" s="111" t="s">
        <v>344</v>
      </c>
      <c r="L171" s="111" t="s">
        <v>103</v>
      </c>
      <c r="M171" s="111" t="s">
        <v>104</v>
      </c>
      <c r="N171" s="111" t="s">
        <v>120</v>
      </c>
      <c r="O171" s="111" t="s">
        <v>121</v>
      </c>
      <c r="P171" s="111" t="s">
        <v>122</v>
      </c>
      <c r="Q171" s="110" t="s">
        <v>123</v>
      </c>
      <c r="R171" s="110" t="s">
        <v>124</v>
      </c>
      <c r="S171" s="111" t="s">
        <v>110</v>
      </c>
      <c r="T171" s="111" t="s">
        <v>111</v>
      </c>
      <c r="U171" s="111" t="s">
        <v>103</v>
      </c>
      <c r="V171" s="118">
        <f t="shared" si="8"/>
        <v>8.6392259253570882E-3</v>
      </c>
      <c r="W171" s="114" t="str">
        <f>IFERROR(I171-AVERAGEIFS(I$6:I170,J$6:J170,"ICIS / Platts",B$6:B170,B171),"")</f>
        <v/>
      </c>
      <c r="X171" s="110" t="s">
        <v>125</v>
      </c>
      <c r="Y171" s="117" t="str">
        <f t="shared" si="7"/>
        <v>OK</v>
      </c>
      <c r="Z171" s="111" t="s">
        <v>116</v>
      </c>
      <c r="AA171" s="111" t="s">
        <v>116</v>
      </c>
      <c r="AB171" s="111" t="s">
        <v>116</v>
      </c>
      <c r="AC171" s="111" t="s">
        <v>116</v>
      </c>
      <c r="AD171" s="111"/>
    </row>
    <row r="172" spans="2:30" ht="27.75" customHeight="1" x14ac:dyDescent="0.25">
      <c r="B172" s="108">
        <v>45217</v>
      </c>
      <c r="C172" s="109" t="s">
        <v>126</v>
      </c>
      <c r="D172" s="109">
        <v>42</v>
      </c>
      <c r="E172" s="110" t="str">
        <f t="shared" si="6"/>
        <v>20231018-167</v>
      </c>
      <c r="F172" s="111" t="s">
        <v>98</v>
      </c>
      <c r="G172" s="111" t="s">
        <v>99</v>
      </c>
      <c r="H172" s="112" t="s">
        <v>342</v>
      </c>
      <c r="I172" s="113">
        <v>524.59</v>
      </c>
      <c r="J172" s="111" t="s">
        <v>127</v>
      </c>
      <c r="K172" s="111" t="s">
        <v>345</v>
      </c>
      <c r="L172" s="111" t="s">
        <v>129</v>
      </c>
      <c r="M172" s="111" t="s">
        <v>104</v>
      </c>
      <c r="N172" s="111" t="s">
        <v>130</v>
      </c>
      <c r="O172" s="111" t="s">
        <v>131</v>
      </c>
      <c r="P172" s="111" t="s">
        <v>132</v>
      </c>
      <c r="Q172" s="110" t="s">
        <v>133</v>
      </c>
      <c r="R172" s="110" t="s">
        <v>134</v>
      </c>
      <c r="S172" s="111" t="s">
        <v>135</v>
      </c>
      <c r="T172" s="111" t="s">
        <v>136</v>
      </c>
      <c r="U172" s="111" t="s">
        <v>129</v>
      </c>
      <c r="V172" s="118">
        <f t="shared" si="8"/>
        <v>3.9986519170532524E-2</v>
      </c>
      <c r="W172" s="114" t="str">
        <f>IFERROR(I172-AVERAGEIFS(I$6:I171,J$6:J171,"ICIS / Platts",B$6:B171,B172),"")</f>
        <v/>
      </c>
      <c r="X172" s="110" t="s">
        <v>137</v>
      </c>
      <c r="Y172" s="117" t="str">
        <f t="shared" si="7"/>
        <v>OK</v>
      </c>
      <c r="Z172" s="111" t="s">
        <v>116</v>
      </c>
      <c r="AA172" s="111" t="s">
        <v>116</v>
      </c>
      <c r="AB172" s="111" t="s">
        <v>116</v>
      </c>
      <c r="AC172" s="111" t="s">
        <v>116</v>
      </c>
      <c r="AD172" s="111"/>
    </row>
    <row r="173" spans="2:30" ht="27.75" customHeight="1" x14ac:dyDescent="0.25">
      <c r="B173" s="115">
        <v>45219</v>
      </c>
      <c r="C173" s="116" t="s">
        <v>138</v>
      </c>
      <c r="D173" s="116">
        <v>42</v>
      </c>
      <c r="E173" s="110" t="str">
        <f t="shared" si="6"/>
        <v>20231020-168</v>
      </c>
      <c r="F173" s="111" t="s">
        <v>98</v>
      </c>
      <c r="G173" s="111" t="s">
        <v>99</v>
      </c>
      <c r="H173" s="112" t="s">
        <v>342</v>
      </c>
      <c r="I173" s="113">
        <v>508.54</v>
      </c>
      <c r="J173" s="111" t="s">
        <v>139</v>
      </c>
      <c r="K173" s="111" t="s">
        <v>346</v>
      </c>
      <c r="L173" s="111" t="s">
        <v>103</v>
      </c>
      <c r="M173" s="111" t="s">
        <v>104</v>
      </c>
      <c r="N173" s="111" t="s">
        <v>105</v>
      </c>
      <c r="O173" s="111" t="s">
        <v>106</v>
      </c>
      <c r="P173" s="111" t="s">
        <v>141</v>
      </c>
      <c r="Q173" s="110" t="s">
        <v>133</v>
      </c>
      <c r="R173" s="110" t="s">
        <v>142</v>
      </c>
      <c r="S173" s="111" t="s">
        <v>110</v>
      </c>
      <c r="T173" s="111" t="s">
        <v>111</v>
      </c>
      <c r="U173" s="111" t="s">
        <v>103</v>
      </c>
      <c r="V173" s="118">
        <f t="shared" si="8"/>
        <v>1.6545203860548194E-3</v>
      </c>
      <c r="W173" s="114" t="str">
        <f>IFERROR(I173-AVERAGEIFS(I$6:I172,J$6:J172,"ICIS / Platts",B$6:B172,B173),"")</f>
        <v/>
      </c>
      <c r="X173" s="110" t="s">
        <v>125</v>
      </c>
      <c r="Y173" s="117" t="str">
        <f t="shared" si="7"/>
        <v>OK</v>
      </c>
      <c r="Z173" s="111" t="s">
        <v>116</v>
      </c>
      <c r="AA173" s="111" t="s">
        <v>116</v>
      </c>
      <c r="AB173" s="111" t="s">
        <v>116</v>
      </c>
      <c r="AC173" s="111" t="s">
        <v>116</v>
      </c>
      <c r="AD173" s="111"/>
    </row>
    <row r="174" spans="2:30" ht="27.75" customHeight="1" x14ac:dyDescent="0.25">
      <c r="B174" s="108">
        <v>45222</v>
      </c>
      <c r="C174" s="109" t="s">
        <v>97</v>
      </c>
      <c r="D174" s="109">
        <v>43</v>
      </c>
      <c r="E174" s="110" t="str">
        <f t="shared" si="6"/>
        <v>20231023-169</v>
      </c>
      <c r="F174" s="111" t="s">
        <v>98</v>
      </c>
      <c r="G174" s="111" t="s">
        <v>99</v>
      </c>
      <c r="H174" s="112" t="s">
        <v>347</v>
      </c>
      <c r="I174" s="113">
        <v>518</v>
      </c>
      <c r="J174" s="111" t="s">
        <v>101</v>
      </c>
      <c r="K174" s="111" t="s">
        <v>348</v>
      </c>
      <c r="L174" s="111" t="s">
        <v>103</v>
      </c>
      <c r="M174" s="111" t="s">
        <v>104</v>
      </c>
      <c r="N174" s="111" t="s">
        <v>105</v>
      </c>
      <c r="O174" s="111" t="s">
        <v>106</v>
      </c>
      <c r="P174" s="111" t="s">
        <v>107</v>
      </c>
      <c r="Q174" s="110" t="s">
        <v>108</v>
      </c>
      <c r="R174" s="110" t="s">
        <v>109</v>
      </c>
      <c r="S174" s="111" t="s">
        <v>110</v>
      </c>
      <c r="T174" s="111" t="s">
        <v>111</v>
      </c>
      <c r="U174" s="111" t="s">
        <v>103</v>
      </c>
      <c r="V174" s="118">
        <f t="shared" si="8"/>
        <v>5.8252427184466021E-3</v>
      </c>
      <c r="W174" s="114" t="str">
        <f>IFERROR(I174-AVERAGEIFS(I$6:I173,J$6:J173,"ICIS / Platts",B$6:B173,B174),"")</f>
        <v/>
      </c>
      <c r="X174" s="110" t="s">
        <v>113</v>
      </c>
      <c r="Y174" s="117" t="str">
        <f t="shared" si="7"/>
        <v>OK</v>
      </c>
      <c r="Z174" s="111" t="s">
        <v>116</v>
      </c>
      <c r="AA174" s="111" t="s">
        <v>116</v>
      </c>
      <c r="AB174" s="111" t="s">
        <v>116</v>
      </c>
      <c r="AC174" s="111" t="s">
        <v>116</v>
      </c>
      <c r="AD174" s="111"/>
    </row>
    <row r="175" spans="2:30" ht="27.75" customHeight="1" x14ac:dyDescent="0.25">
      <c r="B175" s="115">
        <v>45223</v>
      </c>
      <c r="C175" s="116" t="s">
        <v>117</v>
      </c>
      <c r="D175" s="116">
        <v>43</v>
      </c>
      <c r="E175" s="110" t="str">
        <f t="shared" si="6"/>
        <v>20231024-170</v>
      </c>
      <c r="F175" s="111" t="s">
        <v>98</v>
      </c>
      <c r="G175" s="111" t="s">
        <v>99</v>
      </c>
      <c r="H175" s="112" t="s">
        <v>347</v>
      </c>
      <c r="I175" s="113">
        <v>524.77</v>
      </c>
      <c r="J175" s="111" t="s">
        <v>118</v>
      </c>
      <c r="K175" s="111" t="s">
        <v>349</v>
      </c>
      <c r="L175" s="111" t="s">
        <v>103</v>
      </c>
      <c r="M175" s="111" t="s">
        <v>104</v>
      </c>
      <c r="N175" s="111" t="s">
        <v>120</v>
      </c>
      <c r="O175" s="111" t="s">
        <v>121</v>
      </c>
      <c r="P175" s="111" t="s">
        <v>122</v>
      </c>
      <c r="Q175" s="110" t="s">
        <v>123</v>
      </c>
      <c r="R175" s="110" t="s">
        <v>124</v>
      </c>
      <c r="S175" s="111" t="s">
        <v>110</v>
      </c>
      <c r="T175" s="111" t="s">
        <v>111</v>
      </c>
      <c r="U175" s="111" t="s">
        <v>103</v>
      </c>
      <c r="V175" s="118">
        <f t="shared" si="8"/>
        <v>-1.1610643724542496E-3</v>
      </c>
      <c r="W175" s="114" t="str">
        <f>IFERROR(I175-AVERAGEIFS(I$6:I174,J$6:J174,"ICIS / Platts",B$6:B174,B175),"")</f>
        <v/>
      </c>
      <c r="X175" s="110" t="s">
        <v>125</v>
      </c>
      <c r="Y175" s="117" t="str">
        <f t="shared" si="7"/>
        <v>OK</v>
      </c>
      <c r="Z175" s="111" t="s">
        <v>116</v>
      </c>
      <c r="AA175" s="111" t="s">
        <v>116</v>
      </c>
      <c r="AB175" s="111" t="s">
        <v>116</v>
      </c>
      <c r="AC175" s="111" t="s">
        <v>116</v>
      </c>
      <c r="AD175" s="111"/>
    </row>
    <row r="176" spans="2:30" ht="27.75" customHeight="1" x14ac:dyDescent="0.25">
      <c r="B176" s="108">
        <v>45224</v>
      </c>
      <c r="C176" s="109" t="s">
        <v>126</v>
      </c>
      <c r="D176" s="109">
        <v>43</v>
      </c>
      <c r="E176" s="110" t="str">
        <f t="shared" si="6"/>
        <v>20231025-171</v>
      </c>
      <c r="F176" s="111" t="s">
        <v>98</v>
      </c>
      <c r="G176" s="111" t="s">
        <v>99</v>
      </c>
      <c r="H176" s="112" t="s">
        <v>347</v>
      </c>
      <c r="I176" s="113">
        <v>522.03</v>
      </c>
      <c r="J176" s="111" t="s">
        <v>127</v>
      </c>
      <c r="K176" s="111" t="s">
        <v>350</v>
      </c>
      <c r="L176" s="111" t="s">
        <v>129</v>
      </c>
      <c r="M176" s="111" t="s">
        <v>104</v>
      </c>
      <c r="N176" s="111" t="s">
        <v>130</v>
      </c>
      <c r="O176" s="111" t="s">
        <v>131</v>
      </c>
      <c r="P176" s="111" t="s">
        <v>132</v>
      </c>
      <c r="Q176" s="110" t="s">
        <v>133</v>
      </c>
      <c r="R176" s="110" t="s">
        <v>134</v>
      </c>
      <c r="S176" s="111" t="s">
        <v>135</v>
      </c>
      <c r="T176" s="111" t="s">
        <v>136</v>
      </c>
      <c r="U176" s="111" t="s">
        <v>129</v>
      </c>
      <c r="V176" s="118">
        <f t="shared" si="8"/>
        <v>-4.8800015250005891E-3</v>
      </c>
      <c r="W176" s="114" t="str">
        <f>IFERROR(I176-AVERAGEIFS(I$6:I175,J$6:J175,"ICIS / Platts",B$6:B175,B176),"")</f>
        <v/>
      </c>
      <c r="X176" s="110" t="s">
        <v>137</v>
      </c>
      <c r="Y176" s="117" t="str">
        <f t="shared" si="7"/>
        <v>OK</v>
      </c>
      <c r="Z176" s="111" t="s">
        <v>116</v>
      </c>
      <c r="AA176" s="111" t="s">
        <v>116</v>
      </c>
      <c r="AB176" s="111" t="s">
        <v>116</v>
      </c>
      <c r="AC176" s="111" t="s">
        <v>116</v>
      </c>
      <c r="AD176" s="111"/>
    </row>
    <row r="177" spans="2:30" ht="27.75" customHeight="1" x14ac:dyDescent="0.25">
      <c r="B177" s="115">
        <v>45226</v>
      </c>
      <c r="C177" s="116" t="s">
        <v>138</v>
      </c>
      <c r="D177" s="116">
        <v>43</v>
      </c>
      <c r="E177" s="110" t="str">
        <f t="shared" si="6"/>
        <v>20231027-172</v>
      </c>
      <c r="F177" s="111" t="s">
        <v>98</v>
      </c>
      <c r="G177" s="111" t="s">
        <v>99</v>
      </c>
      <c r="H177" s="112" t="s">
        <v>347</v>
      </c>
      <c r="I177" s="113">
        <v>513.32000000000005</v>
      </c>
      <c r="J177" s="111" t="s">
        <v>139</v>
      </c>
      <c r="K177" s="111" t="s">
        <v>351</v>
      </c>
      <c r="L177" s="111" t="s">
        <v>103</v>
      </c>
      <c r="M177" s="111" t="s">
        <v>104</v>
      </c>
      <c r="N177" s="111" t="s">
        <v>105</v>
      </c>
      <c r="O177" s="111" t="s">
        <v>106</v>
      </c>
      <c r="P177" s="111" t="s">
        <v>141</v>
      </c>
      <c r="Q177" s="110" t="s">
        <v>133</v>
      </c>
      <c r="R177" s="110" t="s">
        <v>142</v>
      </c>
      <c r="S177" s="111" t="s">
        <v>110</v>
      </c>
      <c r="T177" s="111" t="s">
        <v>111</v>
      </c>
      <c r="U177" s="111" t="s">
        <v>103</v>
      </c>
      <c r="V177" s="118">
        <f t="shared" si="8"/>
        <v>9.3994572698313395E-3</v>
      </c>
      <c r="W177" s="114" t="str">
        <f>IFERROR(I177-AVERAGEIFS(I$6:I176,J$6:J176,"ICIS / Platts",B$6:B176,B177),"")</f>
        <v/>
      </c>
      <c r="X177" s="110" t="s">
        <v>125</v>
      </c>
      <c r="Y177" s="117" t="str">
        <f t="shared" si="7"/>
        <v>OK</v>
      </c>
      <c r="Z177" s="111" t="s">
        <v>116</v>
      </c>
      <c r="AA177" s="111" t="s">
        <v>116</v>
      </c>
      <c r="AB177" s="111" t="s">
        <v>116</v>
      </c>
      <c r="AC177" s="111" t="s">
        <v>116</v>
      </c>
      <c r="AD177" s="111"/>
    </row>
    <row r="178" spans="2:30" ht="27.75" customHeight="1" x14ac:dyDescent="0.25">
      <c r="B178" s="108">
        <v>45229</v>
      </c>
      <c r="C178" s="109" t="s">
        <v>97</v>
      </c>
      <c r="D178" s="109">
        <v>44</v>
      </c>
      <c r="E178" s="110" t="str">
        <f t="shared" si="6"/>
        <v>20231030-173</v>
      </c>
      <c r="F178" s="111" t="s">
        <v>98</v>
      </c>
      <c r="G178" s="111" t="s">
        <v>99</v>
      </c>
      <c r="H178" s="112" t="s">
        <v>352</v>
      </c>
      <c r="I178" s="113">
        <v>515</v>
      </c>
      <c r="J178" s="111" t="s">
        <v>101</v>
      </c>
      <c r="K178" s="111" t="s">
        <v>353</v>
      </c>
      <c r="L178" s="111" t="s">
        <v>103</v>
      </c>
      <c r="M178" s="111" t="s">
        <v>104</v>
      </c>
      <c r="N178" s="111" t="s">
        <v>105</v>
      </c>
      <c r="O178" s="111" t="s">
        <v>106</v>
      </c>
      <c r="P178" s="111" t="s">
        <v>107</v>
      </c>
      <c r="Q178" s="110" t="s">
        <v>108</v>
      </c>
      <c r="R178" s="110" t="s">
        <v>109</v>
      </c>
      <c r="S178" s="111" t="s">
        <v>110</v>
      </c>
      <c r="T178" s="111" t="s">
        <v>111</v>
      </c>
      <c r="U178" s="111" t="s">
        <v>103</v>
      </c>
      <c r="V178" s="118">
        <f t="shared" si="8"/>
        <v>-5.7915057915057912E-3</v>
      </c>
      <c r="W178" s="114" t="str">
        <f>IFERROR(I178-AVERAGEIFS(I$6:I177,J$6:J177,"ICIS / Platts",B$6:B177,B178),"")</f>
        <v/>
      </c>
      <c r="X178" s="110" t="s">
        <v>113</v>
      </c>
      <c r="Y178" s="117" t="str">
        <f t="shared" si="7"/>
        <v>OK</v>
      </c>
      <c r="Z178" s="111" t="s">
        <v>116</v>
      </c>
      <c r="AA178" s="111" t="s">
        <v>116</v>
      </c>
      <c r="AB178" s="111" t="s">
        <v>116</v>
      </c>
      <c r="AC178" s="111" t="s">
        <v>115</v>
      </c>
      <c r="AD178" s="111"/>
    </row>
    <row r="179" spans="2:30" ht="27.75" customHeight="1" x14ac:dyDescent="0.25">
      <c r="B179" s="115">
        <v>45230</v>
      </c>
      <c r="C179" s="116" t="s">
        <v>117</v>
      </c>
      <c r="D179" s="116">
        <v>44</v>
      </c>
      <c r="E179" s="110" t="str">
        <f t="shared" si="6"/>
        <v>20231031-174</v>
      </c>
      <c r="F179" s="111" t="s">
        <v>98</v>
      </c>
      <c r="G179" s="111" t="s">
        <v>99</v>
      </c>
      <c r="H179" s="112" t="s">
        <v>352</v>
      </c>
      <c r="I179" s="113">
        <v>514.04999999999995</v>
      </c>
      <c r="J179" s="111" t="s">
        <v>118</v>
      </c>
      <c r="K179" s="111" t="s">
        <v>354</v>
      </c>
      <c r="L179" s="111" t="s">
        <v>103</v>
      </c>
      <c r="M179" s="111" t="s">
        <v>104</v>
      </c>
      <c r="N179" s="111" t="s">
        <v>120</v>
      </c>
      <c r="O179" s="111" t="s">
        <v>121</v>
      </c>
      <c r="P179" s="111" t="s">
        <v>122</v>
      </c>
      <c r="Q179" s="110" t="s">
        <v>123</v>
      </c>
      <c r="R179" s="110" t="s">
        <v>124</v>
      </c>
      <c r="S179" s="111" t="s">
        <v>110</v>
      </c>
      <c r="T179" s="111" t="s">
        <v>111</v>
      </c>
      <c r="U179" s="111" t="s">
        <v>103</v>
      </c>
      <c r="V179" s="118">
        <f t="shared" si="8"/>
        <v>-2.0427997027269142E-2</v>
      </c>
      <c r="W179" s="114" t="str">
        <f>IFERROR(I179-AVERAGEIFS(I$6:I178,J$6:J178,"ICIS / Platts",B$6:B178,B179),"")</f>
        <v/>
      </c>
      <c r="X179" s="110" t="s">
        <v>125</v>
      </c>
      <c r="Y179" s="117" t="str">
        <f t="shared" si="7"/>
        <v>OK</v>
      </c>
      <c r="Z179" s="111" t="s">
        <v>116</v>
      </c>
      <c r="AA179" s="111" t="s">
        <v>116</v>
      </c>
      <c r="AB179" s="111" t="s">
        <v>116</v>
      </c>
      <c r="AC179" s="111" t="s">
        <v>115</v>
      </c>
      <c r="AD179" s="111"/>
    </row>
    <row r="180" spans="2:30" ht="27.75" customHeight="1" x14ac:dyDescent="0.25">
      <c r="B180" s="108">
        <v>45231</v>
      </c>
      <c r="C180" s="109" t="s">
        <v>126</v>
      </c>
      <c r="D180" s="109">
        <v>44</v>
      </c>
      <c r="E180" s="110" t="str">
        <f t="shared" si="6"/>
        <v>20231101-175</v>
      </c>
      <c r="F180" s="111" t="s">
        <v>98</v>
      </c>
      <c r="G180" s="111" t="s">
        <v>99</v>
      </c>
      <c r="H180" s="112" t="s">
        <v>352</v>
      </c>
      <c r="I180" s="113">
        <v>522.57000000000005</v>
      </c>
      <c r="J180" s="111" t="s">
        <v>127</v>
      </c>
      <c r="K180" s="111" t="s">
        <v>355</v>
      </c>
      <c r="L180" s="111" t="s">
        <v>129</v>
      </c>
      <c r="M180" s="111" t="s">
        <v>104</v>
      </c>
      <c r="N180" s="111" t="s">
        <v>130</v>
      </c>
      <c r="O180" s="111" t="s">
        <v>131</v>
      </c>
      <c r="P180" s="111" t="s">
        <v>132</v>
      </c>
      <c r="Q180" s="110" t="s">
        <v>133</v>
      </c>
      <c r="R180" s="110" t="s">
        <v>134</v>
      </c>
      <c r="S180" s="111" t="s">
        <v>135</v>
      </c>
      <c r="T180" s="111" t="s">
        <v>136</v>
      </c>
      <c r="U180" s="111" t="s">
        <v>129</v>
      </c>
      <c r="V180" s="118">
        <f t="shared" si="8"/>
        <v>1.0344233090053777E-3</v>
      </c>
      <c r="W180" s="114" t="str">
        <f>IFERROR(I180-AVERAGEIFS(I$6:I179,J$6:J179,"ICIS / Platts",B$6:B179,B180),"")</f>
        <v/>
      </c>
      <c r="X180" s="110" t="s">
        <v>137</v>
      </c>
      <c r="Y180" s="117" t="str">
        <f t="shared" si="7"/>
        <v>OK</v>
      </c>
      <c r="Z180" s="111" t="s">
        <v>116</v>
      </c>
      <c r="AA180" s="111" t="s">
        <v>116</v>
      </c>
      <c r="AB180" s="111" t="s">
        <v>116</v>
      </c>
      <c r="AC180" s="111" t="s">
        <v>115</v>
      </c>
      <c r="AD180" s="111"/>
    </row>
    <row r="181" spans="2:30" ht="27.75" customHeight="1" x14ac:dyDescent="0.25">
      <c r="B181" s="115">
        <v>45233</v>
      </c>
      <c r="C181" s="116" t="s">
        <v>138</v>
      </c>
      <c r="D181" s="116">
        <v>44</v>
      </c>
      <c r="E181" s="110" t="str">
        <f t="shared" si="6"/>
        <v>20231103-176</v>
      </c>
      <c r="F181" s="111" t="s">
        <v>98</v>
      </c>
      <c r="G181" s="111" t="s">
        <v>99</v>
      </c>
      <c r="H181" s="112" t="s">
        <v>352</v>
      </c>
      <c r="I181" s="113">
        <v>517.64</v>
      </c>
      <c r="J181" s="111" t="s">
        <v>139</v>
      </c>
      <c r="K181" s="111" t="s">
        <v>356</v>
      </c>
      <c r="L181" s="111" t="s">
        <v>103</v>
      </c>
      <c r="M181" s="111" t="s">
        <v>104</v>
      </c>
      <c r="N181" s="111" t="s">
        <v>105</v>
      </c>
      <c r="O181" s="111" t="s">
        <v>106</v>
      </c>
      <c r="P181" s="111" t="s">
        <v>141</v>
      </c>
      <c r="Q181" s="110" t="s">
        <v>133</v>
      </c>
      <c r="R181" s="110" t="s">
        <v>142</v>
      </c>
      <c r="S181" s="111" t="s">
        <v>110</v>
      </c>
      <c r="T181" s="111" t="s">
        <v>111</v>
      </c>
      <c r="U181" s="111" t="s">
        <v>103</v>
      </c>
      <c r="V181" s="118">
        <f t="shared" si="8"/>
        <v>8.4158030078702092E-3</v>
      </c>
      <c r="W181" s="114" t="str">
        <f>IFERROR(I181-AVERAGEIFS(I$6:I180,J$6:J180,"ICIS / Platts",B$6:B180,B181),"")</f>
        <v/>
      </c>
      <c r="X181" s="110" t="s">
        <v>125</v>
      </c>
      <c r="Y181" s="117" t="str">
        <f t="shared" si="7"/>
        <v>OK</v>
      </c>
      <c r="Z181" s="111" t="s">
        <v>116</v>
      </c>
      <c r="AA181" s="111" t="s">
        <v>116</v>
      </c>
      <c r="AB181" s="111" t="s">
        <v>116</v>
      </c>
      <c r="AC181" s="111" t="s">
        <v>115</v>
      </c>
      <c r="AD181" s="111"/>
    </row>
    <row r="182" spans="2:30" ht="27.75" customHeight="1" x14ac:dyDescent="0.25">
      <c r="B182" s="108">
        <v>45236</v>
      </c>
      <c r="C182" s="109" t="s">
        <v>97</v>
      </c>
      <c r="D182" s="109">
        <v>45</v>
      </c>
      <c r="E182" s="110" t="str">
        <f t="shared" si="6"/>
        <v>20231106-177</v>
      </c>
      <c r="F182" s="111" t="s">
        <v>98</v>
      </c>
      <c r="G182" s="111" t="s">
        <v>99</v>
      </c>
      <c r="H182" s="112" t="s">
        <v>357</v>
      </c>
      <c r="I182" s="113">
        <v>512</v>
      </c>
      <c r="J182" s="111" t="s">
        <v>101</v>
      </c>
      <c r="K182" s="111" t="s">
        <v>358</v>
      </c>
      <c r="L182" s="111" t="s">
        <v>103</v>
      </c>
      <c r="M182" s="111" t="s">
        <v>104</v>
      </c>
      <c r="N182" s="111" t="s">
        <v>105</v>
      </c>
      <c r="O182" s="111" t="s">
        <v>106</v>
      </c>
      <c r="P182" s="111" t="s">
        <v>107</v>
      </c>
      <c r="Q182" s="110" t="s">
        <v>108</v>
      </c>
      <c r="R182" s="110" t="s">
        <v>109</v>
      </c>
      <c r="S182" s="111" t="s">
        <v>110</v>
      </c>
      <c r="T182" s="111" t="s">
        <v>111</v>
      </c>
      <c r="U182" s="111" t="s">
        <v>103</v>
      </c>
      <c r="V182" s="118">
        <f t="shared" si="8"/>
        <v>-5.8252427184466021E-3</v>
      </c>
      <c r="W182" s="114" t="str">
        <f>IFERROR(I182-AVERAGEIFS(I$6:I181,J$6:J181,"ICIS / Platts",B$6:B181,B182),"")</f>
        <v/>
      </c>
      <c r="X182" s="110" t="s">
        <v>113</v>
      </c>
      <c r="Y182" s="117" t="str">
        <f t="shared" si="7"/>
        <v>OK</v>
      </c>
      <c r="Z182" s="111" t="s">
        <v>116</v>
      </c>
      <c r="AA182" s="111" t="s">
        <v>116</v>
      </c>
      <c r="AB182" s="111" t="s">
        <v>116</v>
      </c>
      <c r="AC182" s="111" t="s">
        <v>115</v>
      </c>
      <c r="AD182" s="111"/>
    </row>
    <row r="183" spans="2:30" ht="27.75" customHeight="1" x14ac:dyDescent="0.25">
      <c r="B183" s="115">
        <v>45237</v>
      </c>
      <c r="C183" s="116" t="s">
        <v>117</v>
      </c>
      <c r="D183" s="116">
        <v>45</v>
      </c>
      <c r="E183" s="110" t="str">
        <f t="shared" si="6"/>
        <v>20231107-178</v>
      </c>
      <c r="F183" s="111" t="s">
        <v>98</v>
      </c>
      <c r="G183" s="111" t="s">
        <v>99</v>
      </c>
      <c r="H183" s="112" t="s">
        <v>357</v>
      </c>
      <c r="I183" s="113">
        <v>516.27</v>
      </c>
      <c r="J183" s="111" t="s">
        <v>118</v>
      </c>
      <c r="K183" s="111" t="s">
        <v>359</v>
      </c>
      <c r="L183" s="111" t="s">
        <v>103</v>
      </c>
      <c r="M183" s="111" t="s">
        <v>104</v>
      </c>
      <c r="N183" s="111" t="s">
        <v>120</v>
      </c>
      <c r="O183" s="111" t="s">
        <v>121</v>
      </c>
      <c r="P183" s="111" t="s">
        <v>122</v>
      </c>
      <c r="Q183" s="110" t="s">
        <v>123</v>
      </c>
      <c r="R183" s="110" t="s">
        <v>124</v>
      </c>
      <c r="S183" s="111" t="s">
        <v>110</v>
      </c>
      <c r="T183" s="111" t="s">
        <v>111</v>
      </c>
      <c r="U183" s="111" t="s">
        <v>103</v>
      </c>
      <c r="V183" s="118">
        <f t="shared" si="8"/>
        <v>4.3186460461045184E-3</v>
      </c>
      <c r="W183" s="114" t="str">
        <f>IFERROR(I183-AVERAGEIFS(I$6:I182,J$6:J182,"ICIS / Platts",B$6:B182,B183),"")</f>
        <v/>
      </c>
      <c r="X183" s="110" t="s">
        <v>125</v>
      </c>
      <c r="Y183" s="117" t="str">
        <f t="shared" si="7"/>
        <v>OK</v>
      </c>
      <c r="Z183" s="111" t="s">
        <v>116</v>
      </c>
      <c r="AA183" s="111" t="s">
        <v>116</v>
      </c>
      <c r="AB183" s="111" t="s">
        <v>116</v>
      </c>
      <c r="AC183" s="111" t="s">
        <v>115</v>
      </c>
      <c r="AD183" s="111"/>
    </row>
    <row r="184" spans="2:30" ht="27.75" customHeight="1" x14ac:dyDescent="0.25">
      <c r="B184" s="108">
        <v>45238</v>
      </c>
      <c r="C184" s="109" t="s">
        <v>126</v>
      </c>
      <c r="D184" s="109">
        <v>45</v>
      </c>
      <c r="E184" s="110" t="str">
        <f t="shared" si="6"/>
        <v>20231108-179</v>
      </c>
      <c r="F184" s="111" t="s">
        <v>98</v>
      </c>
      <c r="G184" s="111" t="s">
        <v>99</v>
      </c>
      <c r="H184" s="112" t="s">
        <v>357</v>
      </c>
      <c r="I184" s="113">
        <v>504.05</v>
      </c>
      <c r="J184" s="111" t="s">
        <v>127</v>
      </c>
      <c r="K184" s="111" t="s">
        <v>360</v>
      </c>
      <c r="L184" s="111" t="s">
        <v>129</v>
      </c>
      <c r="M184" s="111" t="s">
        <v>104</v>
      </c>
      <c r="N184" s="111" t="s">
        <v>130</v>
      </c>
      <c r="O184" s="111" t="s">
        <v>131</v>
      </c>
      <c r="P184" s="111" t="s">
        <v>132</v>
      </c>
      <c r="Q184" s="110" t="s">
        <v>133</v>
      </c>
      <c r="R184" s="110" t="s">
        <v>134</v>
      </c>
      <c r="S184" s="111" t="s">
        <v>135</v>
      </c>
      <c r="T184" s="111" t="s">
        <v>136</v>
      </c>
      <c r="U184" s="111" t="s">
        <v>129</v>
      </c>
      <c r="V184" s="118">
        <f t="shared" si="8"/>
        <v>-3.5440228103412054E-2</v>
      </c>
      <c r="W184" s="114" t="str">
        <f>IFERROR(I184-AVERAGEIFS(I$6:I183,J$6:J183,"ICIS / Platts",B$6:B183,B184),"")</f>
        <v/>
      </c>
      <c r="X184" s="110" t="s">
        <v>137</v>
      </c>
      <c r="Y184" s="117" t="str">
        <f t="shared" si="7"/>
        <v>OK</v>
      </c>
      <c r="Z184" s="111" t="s">
        <v>116</v>
      </c>
      <c r="AA184" s="111" t="s">
        <v>116</v>
      </c>
      <c r="AB184" s="111" t="s">
        <v>116</v>
      </c>
      <c r="AC184" s="111" t="s">
        <v>115</v>
      </c>
      <c r="AD184" s="111"/>
    </row>
    <row r="185" spans="2:30" ht="27.75" customHeight="1" x14ac:dyDescent="0.25">
      <c r="B185" s="115">
        <v>45240</v>
      </c>
      <c r="C185" s="116" t="s">
        <v>138</v>
      </c>
      <c r="D185" s="116">
        <v>45</v>
      </c>
      <c r="E185" s="110" t="str">
        <f t="shared" si="6"/>
        <v>20231110-180</v>
      </c>
      <c r="F185" s="111" t="s">
        <v>98</v>
      </c>
      <c r="G185" s="111" t="s">
        <v>99</v>
      </c>
      <c r="H185" s="112" t="s">
        <v>357</v>
      </c>
      <c r="I185" s="113">
        <v>511</v>
      </c>
      <c r="J185" s="111" t="s">
        <v>139</v>
      </c>
      <c r="K185" s="111" t="s">
        <v>361</v>
      </c>
      <c r="L185" s="111" t="s">
        <v>103</v>
      </c>
      <c r="M185" s="111" t="s">
        <v>104</v>
      </c>
      <c r="N185" s="111" t="s">
        <v>105</v>
      </c>
      <c r="O185" s="111" t="s">
        <v>106</v>
      </c>
      <c r="P185" s="111" t="s">
        <v>141</v>
      </c>
      <c r="Q185" s="110" t="s">
        <v>133</v>
      </c>
      <c r="R185" s="110" t="s">
        <v>142</v>
      </c>
      <c r="S185" s="111" t="s">
        <v>110</v>
      </c>
      <c r="T185" s="111" t="s">
        <v>111</v>
      </c>
      <c r="U185" s="111" t="s">
        <v>103</v>
      </c>
      <c r="V185" s="118">
        <f t="shared" si="8"/>
        <v>-1.2827447647013343E-2</v>
      </c>
      <c r="W185" s="114" t="str">
        <f>IFERROR(I185-AVERAGEIFS(I$6:I184,J$6:J184,"ICIS / Platts",B$6:B184,B185),"")</f>
        <v/>
      </c>
      <c r="X185" s="110" t="s">
        <v>125</v>
      </c>
      <c r="Y185" s="117" t="str">
        <f t="shared" si="7"/>
        <v>OK</v>
      </c>
      <c r="Z185" s="111" t="s">
        <v>116</v>
      </c>
      <c r="AA185" s="111" t="s">
        <v>116</v>
      </c>
      <c r="AB185" s="111" t="s">
        <v>116</v>
      </c>
      <c r="AC185" s="111" t="s">
        <v>115</v>
      </c>
      <c r="AD185" s="111"/>
    </row>
    <row r="186" spans="2:30" ht="27.75" customHeight="1" x14ac:dyDescent="0.25">
      <c r="B186" s="108">
        <v>45243</v>
      </c>
      <c r="C186" s="109" t="s">
        <v>97</v>
      </c>
      <c r="D186" s="109">
        <v>46</v>
      </c>
      <c r="E186" s="110" t="str">
        <f t="shared" si="6"/>
        <v>20231113-181</v>
      </c>
      <c r="F186" s="111" t="s">
        <v>98</v>
      </c>
      <c r="G186" s="111" t="s">
        <v>99</v>
      </c>
      <c r="H186" s="112" t="s">
        <v>362</v>
      </c>
      <c r="I186" s="113">
        <v>518</v>
      </c>
      <c r="J186" s="111" t="s">
        <v>101</v>
      </c>
      <c r="K186" s="111" t="s">
        <v>363</v>
      </c>
      <c r="L186" s="111" t="s">
        <v>103</v>
      </c>
      <c r="M186" s="111" t="s">
        <v>104</v>
      </c>
      <c r="N186" s="111" t="s">
        <v>105</v>
      </c>
      <c r="O186" s="111" t="s">
        <v>106</v>
      </c>
      <c r="P186" s="111" t="s">
        <v>107</v>
      </c>
      <c r="Q186" s="110" t="s">
        <v>108</v>
      </c>
      <c r="R186" s="110" t="s">
        <v>109</v>
      </c>
      <c r="S186" s="111" t="s">
        <v>110</v>
      </c>
      <c r="T186" s="111" t="s">
        <v>111</v>
      </c>
      <c r="U186" s="111" t="s">
        <v>103</v>
      </c>
      <c r="V186" s="118">
        <f t="shared" si="8"/>
        <v>1.171875E-2</v>
      </c>
      <c r="W186" s="114" t="str">
        <f>IFERROR(I186-AVERAGEIFS(I$6:I185,J$6:J185,"ICIS / Platts",B$6:B185,B186),"")</f>
        <v/>
      </c>
      <c r="X186" s="110" t="s">
        <v>113</v>
      </c>
      <c r="Y186" s="117" t="str">
        <f t="shared" si="7"/>
        <v>OK</v>
      </c>
      <c r="Z186" s="111" t="s">
        <v>116</v>
      </c>
      <c r="AA186" s="111" t="s">
        <v>116</v>
      </c>
      <c r="AB186" s="111" t="s">
        <v>116</v>
      </c>
      <c r="AC186" s="111" t="s">
        <v>116</v>
      </c>
      <c r="AD186" s="111"/>
    </row>
    <row r="187" spans="2:30" ht="27.75" customHeight="1" x14ac:dyDescent="0.25">
      <c r="B187" s="115">
        <v>45244</v>
      </c>
      <c r="C187" s="116" t="s">
        <v>117</v>
      </c>
      <c r="D187" s="116">
        <v>46</v>
      </c>
      <c r="E187" s="110" t="str">
        <f t="shared" si="6"/>
        <v>20231114-182</v>
      </c>
      <c r="F187" s="111" t="s">
        <v>98</v>
      </c>
      <c r="G187" s="111" t="s">
        <v>99</v>
      </c>
      <c r="H187" s="112" t="s">
        <v>362</v>
      </c>
      <c r="I187" s="113">
        <v>530.35</v>
      </c>
      <c r="J187" s="111" t="s">
        <v>118</v>
      </c>
      <c r="K187" s="111" t="s">
        <v>364</v>
      </c>
      <c r="L187" s="111" t="s">
        <v>103</v>
      </c>
      <c r="M187" s="111" t="s">
        <v>104</v>
      </c>
      <c r="N187" s="111" t="s">
        <v>120</v>
      </c>
      <c r="O187" s="111" t="s">
        <v>121</v>
      </c>
      <c r="P187" s="111" t="s">
        <v>122</v>
      </c>
      <c r="Q187" s="110" t="s">
        <v>123</v>
      </c>
      <c r="R187" s="110" t="s">
        <v>124</v>
      </c>
      <c r="S187" s="111" t="s">
        <v>110</v>
      </c>
      <c r="T187" s="111" t="s">
        <v>111</v>
      </c>
      <c r="U187" s="111" t="s">
        <v>103</v>
      </c>
      <c r="V187" s="118">
        <f t="shared" si="8"/>
        <v>2.7272551184457827E-2</v>
      </c>
      <c r="W187" s="114" t="str">
        <f>IFERROR(I187-AVERAGEIFS(I$6:I186,J$6:J186,"ICIS / Platts",B$6:B186,B187),"")</f>
        <v/>
      </c>
      <c r="X187" s="110" t="s">
        <v>125</v>
      </c>
      <c r="Y187" s="117" t="str">
        <f t="shared" si="7"/>
        <v>OK</v>
      </c>
      <c r="Z187" s="111" t="s">
        <v>116</v>
      </c>
      <c r="AA187" s="111" t="s">
        <v>116</v>
      </c>
      <c r="AB187" s="111" t="s">
        <v>116</v>
      </c>
      <c r="AC187" s="111" t="s">
        <v>116</v>
      </c>
      <c r="AD187" s="111"/>
    </row>
    <row r="188" spans="2:30" ht="27.75" customHeight="1" x14ac:dyDescent="0.25">
      <c r="B188" s="108">
        <v>45245</v>
      </c>
      <c r="C188" s="109" t="s">
        <v>126</v>
      </c>
      <c r="D188" s="109">
        <v>46</v>
      </c>
      <c r="E188" s="110" t="str">
        <f t="shared" si="6"/>
        <v>20231115-183</v>
      </c>
      <c r="F188" s="111" t="s">
        <v>98</v>
      </c>
      <c r="G188" s="111" t="s">
        <v>99</v>
      </c>
      <c r="H188" s="112" t="s">
        <v>362</v>
      </c>
      <c r="I188" s="113">
        <v>526.08000000000004</v>
      </c>
      <c r="J188" s="111" t="s">
        <v>127</v>
      </c>
      <c r="K188" s="111" t="s">
        <v>365</v>
      </c>
      <c r="L188" s="111" t="s">
        <v>129</v>
      </c>
      <c r="M188" s="111" t="s">
        <v>104</v>
      </c>
      <c r="N188" s="111" t="s">
        <v>130</v>
      </c>
      <c r="O188" s="111" t="s">
        <v>131</v>
      </c>
      <c r="P188" s="111" t="s">
        <v>132</v>
      </c>
      <c r="Q188" s="110" t="s">
        <v>133</v>
      </c>
      <c r="R188" s="110" t="s">
        <v>134</v>
      </c>
      <c r="S188" s="111" t="s">
        <v>135</v>
      </c>
      <c r="T188" s="111" t="s">
        <v>136</v>
      </c>
      <c r="U188" s="111" t="s">
        <v>129</v>
      </c>
      <c r="V188" s="118">
        <f t="shared" si="8"/>
        <v>4.3705981549449519E-2</v>
      </c>
      <c r="W188" s="114" t="str">
        <f>IFERROR(I188-AVERAGEIFS(I$6:I187,J$6:J187,"ICIS / Platts",B$6:B187,B188),"")</f>
        <v/>
      </c>
      <c r="X188" s="110" t="s">
        <v>137</v>
      </c>
      <c r="Y188" s="117" t="str">
        <f t="shared" si="7"/>
        <v>OK</v>
      </c>
      <c r="Z188" s="111" t="s">
        <v>116</v>
      </c>
      <c r="AA188" s="111" t="s">
        <v>116</v>
      </c>
      <c r="AB188" s="111" t="s">
        <v>116</v>
      </c>
      <c r="AC188" s="111" t="s">
        <v>116</v>
      </c>
      <c r="AD188" s="111"/>
    </row>
    <row r="189" spans="2:30" ht="27.75" customHeight="1" x14ac:dyDescent="0.25">
      <c r="B189" s="115">
        <v>45247</v>
      </c>
      <c r="C189" s="116" t="s">
        <v>138</v>
      </c>
      <c r="D189" s="116">
        <v>46</v>
      </c>
      <c r="E189" s="110" t="str">
        <f t="shared" si="6"/>
        <v>20231117-184</v>
      </c>
      <c r="F189" s="111" t="s">
        <v>98</v>
      </c>
      <c r="G189" s="111" t="s">
        <v>99</v>
      </c>
      <c r="H189" s="112" t="s">
        <v>362</v>
      </c>
      <c r="I189" s="113">
        <v>512.11</v>
      </c>
      <c r="J189" s="111" t="s">
        <v>139</v>
      </c>
      <c r="K189" s="111" t="s">
        <v>366</v>
      </c>
      <c r="L189" s="111" t="s">
        <v>103</v>
      </c>
      <c r="M189" s="111" t="s">
        <v>104</v>
      </c>
      <c r="N189" s="111" t="s">
        <v>105</v>
      </c>
      <c r="O189" s="111" t="s">
        <v>106</v>
      </c>
      <c r="P189" s="111" t="s">
        <v>141</v>
      </c>
      <c r="Q189" s="110" t="s">
        <v>133</v>
      </c>
      <c r="R189" s="110" t="s">
        <v>142</v>
      </c>
      <c r="S189" s="111" t="s">
        <v>110</v>
      </c>
      <c r="T189" s="111" t="s">
        <v>111</v>
      </c>
      <c r="U189" s="111" t="s">
        <v>103</v>
      </c>
      <c r="V189" s="118">
        <f t="shared" si="8"/>
        <v>2.1722113502935687E-3</v>
      </c>
      <c r="W189" s="114" t="str">
        <f>IFERROR(I189-AVERAGEIFS(I$6:I188,J$6:J188,"ICIS / Platts",B$6:B188,B189),"")</f>
        <v/>
      </c>
      <c r="X189" s="110" t="s">
        <v>125</v>
      </c>
      <c r="Y189" s="117" t="str">
        <f t="shared" si="7"/>
        <v>OK</v>
      </c>
      <c r="Z189" s="111" t="s">
        <v>116</v>
      </c>
      <c r="AA189" s="111" t="s">
        <v>116</v>
      </c>
      <c r="AB189" s="111" t="s">
        <v>116</v>
      </c>
      <c r="AC189" s="111" t="s">
        <v>116</v>
      </c>
      <c r="AD189" s="111"/>
    </row>
    <row r="190" spans="2:30" ht="27.75" customHeight="1" x14ac:dyDescent="0.25">
      <c r="B190" s="108">
        <v>45250</v>
      </c>
      <c r="C190" s="109" t="s">
        <v>97</v>
      </c>
      <c r="D190" s="109">
        <v>47</v>
      </c>
      <c r="E190" s="110" t="str">
        <f t="shared" si="6"/>
        <v>20231120-185</v>
      </c>
      <c r="F190" s="111" t="s">
        <v>98</v>
      </c>
      <c r="G190" s="111" t="s">
        <v>99</v>
      </c>
      <c r="H190" s="112" t="s">
        <v>367</v>
      </c>
      <c r="I190" s="113">
        <v>522</v>
      </c>
      <c r="J190" s="111" t="s">
        <v>101</v>
      </c>
      <c r="K190" s="111" t="s">
        <v>368</v>
      </c>
      <c r="L190" s="111" t="s">
        <v>103</v>
      </c>
      <c r="M190" s="111" t="s">
        <v>104</v>
      </c>
      <c r="N190" s="111" t="s">
        <v>105</v>
      </c>
      <c r="O190" s="111" t="s">
        <v>106</v>
      </c>
      <c r="P190" s="111" t="s">
        <v>107</v>
      </c>
      <c r="Q190" s="110" t="s">
        <v>108</v>
      </c>
      <c r="R190" s="110" t="s">
        <v>109</v>
      </c>
      <c r="S190" s="111" t="s">
        <v>110</v>
      </c>
      <c r="T190" s="111" t="s">
        <v>111</v>
      </c>
      <c r="U190" s="111" t="s">
        <v>103</v>
      </c>
      <c r="V190" s="118">
        <f t="shared" si="8"/>
        <v>7.7220077220077222E-3</v>
      </c>
      <c r="W190" s="114" t="str">
        <f>IFERROR(I190-AVERAGEIFS(I$6:I189,J$6:J189,"ICIS / Platts",B$6:B189,B190),"")</f>
        <v/>
      </c>
      <c r="X190" s="110" t="s">
        <v>113</v>
      </c>
      <c r="Y190" s="117" t="str">
        <f t="shared" si="7"/>
        <v>OK</v>
      </c>
      <c r="Z190" s="111" t="s">
        <v>116</v>
      </c>
      <c r="AA190" s="111" t="s">
        <v>116</v>
      </c>
      <c r="AB190" s="111" t="s">
        <v>116</v>
      </c>
      <c r="AC190" s="111" t="s">
        <v>116</v>
      </c>
      <c r="AD190" s="111"/>
    </row>
    <row r="191" spans="2:30" ht="27.75" customHeight="1" x14ac:dyDescent="0.25">
      <c r="B191" s="115">
        <v>45251</v>
      </c>
      <c r="C191" s="116" t="s">
        <v>117</v>
      </c>
      <c r="D191" s="116">
        <v>47</v>
      </c>
      <c r="E191" s="110" t="str">
        <f t="shared" si="6"/>
        <v>20231121-186</v>
      </c>
      <c r="F191" s="111" t="s">
        <v>98</v>
      </c>
      <c r="G191" s="111" t="s">
        <v>99</v>
      </c>
      <c r="H191" s="112" t="s">
        <v>367</v>
      </c>
      <c r="I191" s="113">
        <v>533.36</v>
      </c>
      <c r="J191" s="111" t="s">
        <v>118</v>
      </c>
      <c r="K191" s="111" t="s">
        <v>369</v>
      </c>
      <c r="L191" s="111" t="s">
        <v>103</v>
      </c>
      <c r="M191" s="111" t="s">
        <v>104</v>
      </c>
      <c r="N191" s="111" t="s">
        <v>120</v>
      </c>
      <c r="O191" s="111" t="s">
        <v>121</v>
      </c>
      <c r="P191" s="111" t="s">
        <v>122</v>
      </c>
      <c r="Q191" s="110" t="s">
        <v>123</v>
      </c>
      <c r="R191" s="110" t="s">
        <v>124</v>
      </c>
      <c r="S191" s="111" t="s">
        <v>110</v>
      </c>
      <c r="T191" s="111" t="s">
        <v>111</v>
      </c>
      <c r="U191" s="111" t="s">
        <v>103</v>
      </c>
      <c r="V191" s="118">
        <f t="shared" si="8"/>
        <v>5.6754973130951087E-3</v>
      </c>
      <c r="W191" s="114" t="str">
        <f>IFERROR(I191-AVERAGEIFS(I$6:I190,J$6:J190,"ICIS / Platts",B$6:B190,B191),"")</f>
        <v/>
      </c>
      <c r="X191" s="110" t="s">
        <v>125</v>
      </c>
      <c r="Y191" s="117" t="str">
        <f t="shared" si="7"/>
        <v>OK</v>
      </c>
      <c r="Z191" s="111" t="s">
        <v>116</v>
      </c>
      <c r="AA191" s="111" t="s">
        <v>116</v>
      </c>
      <c r="AB191" s="111" t="s">
        <v>116</v>
      </c>
      <c r="AC191" s="111" t="s">
        <v>116</v>
      </c>
      <c r="AD191" s="111"/>
    </row>
    <row r="192" spans="2:30" ht="27.75" customHeight="1" x14ac:dyDescent="0.25">
      <c r="B192" s="108">
        <v>45252</v>
      </c>
      <c r="C192" s="109" t="s">
        <v>126</v>
      </c>
      <c r="D192" s="109">
        <v>47</v>
      </c>
      <c r="E192" s="110" t="str">
        <f t="shared" si="6"/>
        <v>20231122-187</v>
      </c>
      <c r="F192" s="111" t="s">
        <v>98</v>
      </c>
      <c r="G192" s="111" t="s">
        <v>99</v>
      </c>
      <c r="H192" s="112" t="s">
        <v>367</v>
      </c>
      <c r="I192" s="113">
        <v>520.85</v>
      </c>
      <c r="J192" s="111" t="s">
        <v>127</v>
      </c>
      <c r="K192" s="111" t="s">
        <v>370</v>
      </c>
      <c r="L192" s="111" t="s">
        <v>129</v>
      </c>
      <c r="M192" s="111" t="s">
        <v>104</v>
      </c>
      <c r="N192" s="111" t="s">
        <v>130</v>
      </c>
      <c r="O192" s="111" t="s">
        <v>131</v>
      </c>
      <c r="P192" s="111" t="s">
        <v>132</v>
      </c>
      <c r="Q192" s="110" t="s">
        <v>133</v>
      </c>
      <c r="R192" s="110" t="s">
        <v>134</v>
      </c>
      <c r="S192" s="111" t="s">
        <v>135</v>
      </c>
      <c r="T192" s="111" t="s">
        <v>136</v>
      </c>
      <c r="U192" s="111" t="s">
        <v>129</v>
      </c>
      <c r="V192" s="118">
        <f t="shared" si="8"/>
        <v>-9.9414537712895715E-3</v>
      </c>
      <c r="W192" s="114" t="str">
        <f>IFERROR(I192-AVERAGEIFS(I$6:I191,J$6:J191,"ICIS / Platts",B$6:B191,B192),"")</f>
        <v/>
      </c>
      <c r="X192" s="110" t="s">
        <v>137</v>
      </c>
      <c r="Y192" s="117" t="str">
        <f t="shared" si="7"/>
        <v>OK</v>
      </c>
      <c r="Z192" s="111" t="s">
        <v>116</v>
      </c>
      <c r="AA192" s="111" t="s">
        <v>116</v>
      </c>
      <c r="AB192" s="111" t="s">
        <v>116</v>
      </c>
      <c r="AC192" s="111" t="s">
        <v>116</v>
      </c>
      <c r="AD192" s="111"/>
    </row>
    <row r="193" spans="2:30" ht="27.75" customHeight="1" x14ac:dyDescent="0.25">
      <c r="B193" s="115">
        <v>45254</v>
      </c>
      <c r="C193" s="116" t="s">
        <v>138</v>
      </c>
      <c r="D193" s="116">
        <v>47</v>
      </c>
      <c r="E193" s="110" t="str">
        <f t="shared" si="6"/>
        <v>20231124-188</v>
      </c>
      <c r="F193" s="111" t="s">
        <v>98</v>
      </c>
      <c r="G193" s="111" t="s">
        <v>99</v>
      </c>
      <c r="H193" s="112" t="s">
        <v>367</v>
      </c>
      <c r="I193" s="113">
        <v>520.24</v>
      </c>
      <c r="J193" s="111" t="s">
        <v>139</v>
      </c>
      <c r="K193" s="111" t="s">
        <v>371</v>
      </c>
      <c r="L193" s="111" t="s">
        <v>103</v>
      </c>
      <c r="M193" s="111" t="s">
        <v>104</v>
      </c>
      <c r="N193" s="111" t="s">
        <v>105</v>
      </c>
      <c r="O193" s="111" t="s">
        <v>106</v>
      </c>
      <c r="P193" s="111" t="s">
        <v>141</v>
      </c>
      <c r="Q193" s="110" t="s">
        <v>133</v>
      </c>
      <c r="R193" s="110" t="s">
        <v>142</v>
      </c>
      <c r="S193" s="111" t="s">
        <v>110</v>
      </c>
      <c r="T193" s="111" t="s">
        <v>111</v>
      </c>
      <c r="U193" s="111" t="s">
        <v>103</v>
      </c>
      <c r="V193" s="118">
        <f t="shared" si="8"/>
        <v>1.5875495499013875E-2</v>
      </c>
      <c r="W193" s="114" t="str">
        <f>IFERROR(I193-AVERAGEIFS(I$6:I192,J$6:J192,"ICIS / Platts",B$6:B192,B193),"")</f>
        <v/>
      </c>
      <c r="X193" s="110" t="s">
        <v>125</v>
      </c>
      <c r="Y193" s="117" t="str">
        <f t="shared" si="7"/>
        <v>OK</v>
      </c>
      <c r="Z193" s="111" t="s">
        <v>116</v>
      </c>
      <c r="AA193" s="111" t="s">
        <v>116</v>
      </c>
      <c r="AB193" s="111" t="s">
        <v>116</v>
      </c>
      <c r="AC193" s="111" t="s">
        <v>116</v>
      </c>
      <c r="AD193" s="111"/>
    </row>
    <row r="194" spans="2:30" ht="27.75" customHeight="1" x14ac:dyDescent="0.25">
      <c r="B194" s="108">
        <v>45257</v>
      </c>
      <c r="C194" s="109" t="s">
        <v>97</v>
      </c>
      <c r="D194" s="109">
        <v>48</v>
      </c>
      <c r="E194" s="110" t="str">
        <f t="shared" si="6"/>
        <v>20231127-189</v>
      </c>
      <c r="F194" s="111" t="s">
        <v>98</v>
      </c>
      <c r="G194" s="111" t="s">
        <v>99</v>
      </c>
      <c r="H194" s="112" t="s">
        <v>372</v>
      </c>
      <c r="I194" s="113">
        <v>520</v>
      </c>
      <c r="J194" s="111" t="s">
        <v>101</v>
      </c>
      <c r="K194" s="111" t="s">
        <v>373</v>
      </c>
      <c r="L194" s="111" t="s">
        <v>103</v>
      </c>
      <c r="M194" s="111" t="s">
        <v>104</v>
      </c>
      <c r="N194" s="111" t="s">
        <v>105</v>
      </c>
      <c r="O194" s="111" t="s">
        <v>106</v>
      </c>
      <c r="P194" s="111" t="s">
        <v>107</v>
      </c>
      <c r="Q194" s="110" t="s">
        <v>108</v>
      </c>
      <c r="R194" s="110" t="s">
        <v>109</v>
      </c>
      <c r="S194" s="111" t="s">
        <v>110</v>
      </c>
      <c r="T194" s="111" t="s">
        <v>111</v>
      </c>
      <c r="U194" s="111" t="s">
        <v>103</v>
      </c>
      <c r="V194" s="118">
        <f t="shared" si="8"/>
        <v>-3.8314176245210726E-3</v>
      </c>
      <c r="W194" s="114" t="str">
        <f>IFERROR(I194-AVERAGEIFS(I$6:I193,J$6:J193,"ICIS / Platts",B$6:B193,B194),"")</f>
        <v/>
      </c>
      <c r="X194" s="110" t="s">
        <v>113</v>
      </c>
      <c r="Y194" s="117" t="str">
        <f t="shared" si="7"/>
        <v>OK</v>
      </c>
      <c r="Z194" s="111" t="s">
        <v>116</v>
      </c>
      <c r="AA194" s="111" t="s">
        <v>116</v>
      </c>
      <c r="AB194" s="111" t="s">
        <v>116</v>
      </c>
      <c r="AC194" s="111" t="s">
        <v>115</v>
      </c>
      <c r="AD194" s="111"/>
    </row>
    <row r="195" spans="2:30" ht="27.75" customHeight="1" x14ac:dyDescent="0.25">
      <c r="B195" s="115">
        <v>45258</v>
      </c>
      <c r="C195" s="116" t="s">
        <v>117</v>
      </c>
      <c r="D195" s="116">
        <v>48</v>
      </c>
      <c r="E195" s="110" t="str">
        <f t="shared" si="6"/>
        <v>20231128-190</v>
      </c>
      <c r="F195" s="111" t="s">
        <v>98</v>
      </c>
      <c r="G195" s="111" t="s">
        <v>99</v>
      </c>
      <c r="H195" s="112" t="s">
        <v>372</v>
      </c>
      <c r="I195" s="113">
        <v>522.04</v>
      </c>
      <c r="J195" s="111" t="s">
        <v>118</v>
      </c>
      <c r="K195" s="111" t="s">
        <v>374</v>
      </c>
      <c r="L195" s="111" t="s">
        <v>103</v>
      </c>
      <c r="M195" s="111" t="s">
        <v>104</v>
      </c>
      <c r="N195" s="111" t="s">
        <v>120</v>
      </c>
      <c r="O195" s="111" t="s">
        <v>121</v>
      </c>
      <c r="P195" s="111" t="s">
        <v>122</v>
      </c>
      <c r="Q195" s="110" t="s">
        <v>123</v>
      </c>
      <c r="R195" s="110" t="s">
        <v>124</v>
      </c>
      <c r="S195" s="111" t="s">
        <v>110</v>
      </c>
      <c r="T195" s="111" t="s">
        <v>111</v>
      </c>
      <c r="U195" s="111" t="s">
        <v>103</v>
      </c>
      <c r="V195" s="118">
        <f t="shared" si="8"/>
        <v>-2.1223938803059939E-2</v>
      </c>
      <c r="W195" s="114" t="str">
        <f>IFERROR(I195-AVERAGEIFS(I$6:I194,J$6:J194,"ICIS / Platts",B$6:B194,B195),"")</f>
        <v/>
      </c>
      <c r="X195" s="110" t="s">
        <v>125</v>
      </c>
      <c r="Y195" s="117" t="str">
        <f t="shared" si="7"/>
        <v>OK</v>
      </c>
      <c r="Z195" s="111" t="s">
        <v>116</v>
      </c>
      <c r="AA195" s="111" t="s">
        <v>116</v>
      </c>
      <c r="AB195" s="111" t="s">
        <v>116</v>
      </c>
      <c r="AC195" s="111" t="s">
        <v>115</v>
      </c>
      <c r="AD195" s="111"/>
    </row>
    <row r="196" spans="2:30" ht="27.75" customHeight="1" x14ac:dyDescent="0.25">
      <c r="B196" s="108">
        <v>45259</v>
      </c>
      <c r="C196" s="109" t="s">
        <v>126</v>
      </c>
      <c r="D196" s="109">
        <v>48</v>
      </c>
      <c r="E196" s="110" t="str">
        <f t="shared" si="6"/>
        <v>20231129-191</v>
      </c>
      <c r="F196" s="111" t="s">
        <v>98</v>
      </c>
      <c r="G196" s="111" t="s">
        <v>99</v>
      </c>
      <c r="H196" s="112" t="s">
        <v>372</v>
      </c>
      <c r="I196" s="113">
        <v>511.47</v>
      </c>
      <c r="J196" s="111" t="s">
        <v>127</v>
      </c>
      <c r="K196" s="111" t="s">
        <v>375</v>
      </c>
      <c r="L196" s="111" t="s">
        <v>129</v>
      </c>
      <c r="M196" s="111" t="s">
        <v>104</v>
      </c>
      <c r="N196" s="111" t="s">
        <v>130</v>
      </c>
      <c r="O196" s="111" t="s">
        <v>131</v>
      </c>
      <c r="P196" s="111" t="s">
        <v>132</v>
      </c>
      <c r="Q196" s="110" t="s">
        <v>133</v>
      </c>
      <c r="R196" s="110" t="s">
        <v>134</v>
      </c>
      <c r="S196" s="111" t="s">
        <v>135</v>
      </c>
      <c r="T196" s="111" t="s">
        <v>136</v>
      </c>
      <c r="U196" s="111" t="s">
        <v>129</v>
      </c>
      <c r="V196" s="118">
        <f t="shared" si="8"/>
        <v>-1.8009023711241232E-2</v>
      </c>
      <c r="W196" s="114" t="str">
        <f>IFERROR(I196-AVERAGEIFS(I$6:I195,J$6:J195,"ICIS / Platts",B$6:B195,B196),"")</f>
        <v/>
      </c>
      <c r="X196" s="110" t="s">
        <v>137</v>
      </c>
      <c r="Y196" s="117" t="str">
        <f t="shared" si="7"/>
        <v>OK</v>
      </c>
      <c r="Z196" s="111" t="s">
        <v>116</v>
      </c>
      <c r="AA196" s="111" t="s">
        <v>116</v>
      </c>
      <c r="AB196" s="111" t="s">
        <v>116</v>
      </c>
      <c r="AC196" s="111" t="s">
        <v>115</v>
      </c>
      <c r="AD196" s="111"/>
    </row>
    <row r="197" spans="2:30" ht="27.75" customHeight="1" x14ac:dyDescent="0.25">
      <c r="B197" s="115">
        <v>45261</v>
      </c>
      <c r="C197" s="116" t="s">
        <v>138</v>
      </c>
      <c r="D197" s="116">
        <v>48</v>
      </c>
      <c r="E197" s="110" t="str">
        <f t="shared" si="6"/>
        <v>20231201-192</v>
      </c>
      <c r="F197" s="111" t="s">
        <v>98</v>
      </c>
      <c r="G197" s="111" t="s">
        <v>99</v>
      </c>
      <c r="H197" s="112" t="s">
        <v>372</v>
      </c>
      <c r="I197" s="113">
        <v>516.02</v>
      </c>
      <c r="J197" s="111" t="s">
        <v>139</v>
      </c>
      <c r="K197" s="111" t="s">
        <v>376</v>
      </c>
      <c r="L197" s="111" t="s">
        <v>103</v>
      </c>
      <c r="M197" s="111" t="s">
        <v>104</v>
      </c>
      <c r="N197" s="111" t="s">
        <v>105</v>
      </c>
      <c r="O197" s="111" t="s">
        <v>106</v>
      </c>
      <c r="P197" s="111" t="s">
        <v>141</v>
      </c>
      <c r="Q197" s="110" t="s">
        <v>133</v>
      </c>
      <c r="R197" s="110" t="s">
        <v>142</v>
      </c>
      <c r="S197" s="111" t="s">
        <v>110</v>
      </c>
      <c r="T197" s="111" t="s">
        <v>111</v>
      </c>
      <c r="U197" s="111" t="s">
        <v>103</v>
      </c>
      <c r="V197" s="118">
        <f t="shared" si="8"/>
        <v>-8.1116407811779694E-3</v>
      </c>
      <c r="W197" s="114" t="str">
        <f>IFERROR(I197-AVERAGEIFS(I$6:I196,J$6:J196,"ICIS / Platts",B$6:B196,B197),"")</f>
        <v/>
      </c>
      <c r="X197" s="110" t="s">
        <v>125</v>
      </c>
      <c r="Y197" s="117" t="str">
        <f t="shared" si="7"/>
        <v>OK</v>
      </c>
      <c r="Z197" s="111" t="s">
        <v>116</v>
      </c>
      <c r="AA197" s="111" t="s">
        <v>116</v>
      </c>
      <c r="AB197" s="111" t="s">
        <v>116</v>
      </c>
      <c r="AC197" s="111" t="s">
        <v>115</v>
      </c>
      <c r="AD197" s="111"/>
    </row>
    <row r="198" spans="2:30" ht="27.75" customHeight="1" x14ac:dyDescent="0.25">
      <c r="B198" s="108">
        <v>45264</v>
      </c>
      <c r="C198" s="109" t="s">
        <v>97</v>
      </c>
      <c r="D198" s="109">
        <v>49</v>
      </c>
      <c r="E198" s="110" t="str">
        <f t="shared" ref="E198:E261" si="9">TEXT(B198,"YYYYMMDD")&amp;"-"&amp;TEXT(ROW()-5,"000")</f>
        <v>20231204-193</v>
      </c>
      <c r="F198" s="111" t="s">
        <v>98</v>
      </c>
      <c r="G198" s="111" t="s">
        <v>99</v>
      </c>
      <c r="H198" s="112" t="s">
        <v>377</v>
      </c>
      <c r="I198" s="113">
        <v>525</v>
      </c>
      <c r="J198" s="111" t="s">
        <v>101</v>
      </c>
      <c r="K198" s="111" t="s">
        <v>378</v>
      </c>
      <c r="L198" s="111" t="s">
        <v>103</v>
      </c>
      <c r="M198" s="111" t="s">
        <v>104</v>
      </c>
      <c r="N198" s="111" t="s">
        <v>105</v>
      </c>
      <c r="O198" s="111" t="s">
        <v>106</v>
      </c>
      <c r="P198" s="111" t="s">
        <v>107</v>
      </c>
      <c r="Q198" s="110" t="s">
        <v>108</v>
      </c>
      <c r="R198" s="110" t="s">
        <v>109</v>
      </c>
      <c r="S198" s="111" t="s">
        <v>110</v>
      </c>
      <c r="T198" s="111" t="s">
        <v>111</v>
      </c>
      <c r="U198" s="111" t="s">
        <v>103</v>
      </c>
      <c r="V198" s="118">
        <f t="shared" si="8"/>
        <v>9.6153846153846159E-3</v>
      </c>
      <c r="W198" s="114" t="str">
        <f>IFERROR(I198-AVERAGEIFS(I$6:I197,J$6:J197,"ICIS / Platts",B$6:B197,B198),"")</f>
        <v/>
      </c>
      <c r="X198" s="110" t="s">
        <v>113</v>
      </c>
      <c r="Y198" s="117" t="str">
        <f t="shared" si="7"/>
        <v>OK</v>
      </c>
      <c r="Z198" s="111" t="s">
        <v>116</v>
      </c>
      <c r="AA198" s="111" t="s">
        <v>116</v>
      </c>
      <c r="AB198" s="111" t="s">
        <v>116</v>
      </c>
      <c r="AC198" s="111" t="s">
        <v>116</v>
      </c>
      <c r="AD198" s="111"/>
    </row>
    <row r="199" spans="2:30" ht="27.75" customHeight="1" x14ac:dyDescent="0.25">
      <c r="B199" s="115">
        <v>45265</v>
      </c>
      <c r="C199" s="116" t="s">
        <v>117</v>
      </c>
      <c r="D199" s="116">
        <v>49</v>
      </c>
      <c r="E199" s="110" t="str">
        <f t="shared" si="9"/>
        <v>20231205-194</v>
      </c>
      <c r="F199" s="111" t="s">
        <v>98</v>
      </c>
      <c r="G199" s="111" t="s">
        <v>99</v>
      </c>
      <c r="H199" s="112" t="s">
        <v>377</v>
      </c>
      <c r="I199" s="113">
        <v>535.76</v>
      </c>
      <c r="J199" s="111" t="s">
        <v>118</v>
      </c>
      <c r="K199" s="111" t="s">
        <v>379</v>
      </c>
      <c r="L199" s="111" t="s">
        <v>103</v>
      </c>
      <c r="M199" s="111" t="s">
        <v>104</v>
      </c>
      <c r="N199" s="111" t="s">
        <v>120</v>
      </c>
      <c r="O199" s="111" t="s">
        <v>121</v>
      </c>
      <c r="P199" s="111" t="s">
        <v>122</v>
      </c>
      <c r="Q199" s="110" t="s">
        <v>123</v>
      </c>
      <c r="R199" s="110" t="s">
        <v>124</v>
      </c>
      <c r="S199" s="111" t="s">
        <v>110</v>
      </c>
      <c r="T199" s="111" t="s">
        <v>111</v>
      </c>
      <c r="U199" s="111" t="s">
        <v>103</v>
      </c>
      <c r="V199" s="118">
        <f t="shared" si="8"/>
        <v>2.6281510995326083E-2</v>
      </c>
      <c r="W199" s="114" t="str">
        <f>IFERROR(I199-AVERAGEIFS(I$6:I198,J$6:J198,"ICIS / Platts",B$6:B198,B199),"")</f>
        <v/>
      </c>
      <c r="X199" s="110" t="s">
        <v>125</v>
      </c>
      <c r="Y199" s="117" t="str">
        <f t="shared" si="7"/>
        <v>OK</v>
      </c>
      <c r="Z199" s="111" t="s">
        <v>116</v>
      </c>
      <c r="AA199" s="111" t="s">
        <v>116</v>
      </c>
      <c r="AB199" s="111" t="s">
        <v>116</v>
      </c>
      <c r="AC199" s="111" t="s">
        <v>116</v>
      </c>
      <c r="AD199" s="111"/>
    </row>
    <row r="200" spans="2:30" ht="27.75" customHeight="1" x14ac:dyDescent="0.25">
      <c r="B200" s="108">
        <v>45266</v>
      </c>
      <c r="C200" s="109" t="s">
        <v>126</v>
      </c>
      <c r="D200" s="109">
        <v>49</v>
      </c>
      <c r="E200" s="110" t="str">
        <f t="shared" si="9"/>
        <v>20231206-195</v>
      </c>
      <c r="F200" s="111" t="s">
        <v>98</v>
      </c>
      <c r="G200" s="111" t="s">
        <v>99</v>
      </c>
      <c r="H200" s="112" t="s">
        <v>377</v>
      </c>
      <c r="I200" s="113">
        <v>536.85</v>
      </c>
      <c r="J200" s="111" t="s">
        <v>127</v>
      </c>
      <c r="K200" s="111" t="s">
        <v>380</v>
      </c>
      <c r="L200" s="111" t="s">
        <v>129</v>
      </c>
      <c r="M200" s="111" t="s">
        <v>104</v>
      </c>
      <c r="N200" s="111" t="s">
        <v>130</v>
      </c>
      <c r="O200" s="111" t="s">
        <v>131</v>
      </c>
      <c r="P200" s="111" t="s">
        <v>132</v>
      </c>
      <c r="Q200" s="110" t="s">
        <v>133</v>
      </c>
      <c r="R200" s="110" t="s">
        <v>134</v>
      </c>
      <c r="S200" s="111" t="s">
        <v>135</v>
      </c>
      <c r="T200" s="111" t="s">
        <v>136</v>
      </c>
      <c r="U200" s="111" t="s">
        <v>129</v>
      </c>
      <c r="V200" s="118">
        <f t="shared" si="8"/>
        <v>4.9621678690832297E-2</v>
      </c>
      <c r="W200" s="114" t="str">
        <f>IFERROR(I200-AVERAGEIFS(I$6:I199,J$6:J199,"ICIS / Platts",B$6:B199,B200),"")</f>
        <v/>
      </c>
      <c r="X200" s="110" t="s">
        <v>137</v>
      </c>
      <c r="Y200" s="117" t="str">
        <f t="shared" si="7"/>
        <v>OK</v>
      </c>
      <c r="Z200" s="111" t="s">
        <v>116</v>
      </c>
      <c r="AA200" s="111" t="s">
        <v>116</v>
      </c>
      <c r="AB200" s="111" t="s">
        <v>116</v>
      </c>
      <c r="AC200" s="111" t="s">
        <v>116</v>
      </c>
      <c r="AD200" s="111"/>
    </row>
    <row r="201" spans="2:30" ht="27.75" customHeight="1" x14ac:dyDescent="0.25">
      <c r="B201" s="115">
        <v>45268</v>
      </c>
      <c r="C201" s="116" t="s">
        <v>138</v>
      </c>
      <c r="D201" s="116">
        <v>49</v>
      </c>
      <c r="E201" s="110" t="str">
        <f t="shared" si="9"/>
        <v>20231208-196</v>
      </c>
      <c r="F201" s="111" t="s">
        <v>98</v>
      </c>
      <c r="G201" s="111" t="s">
        <v>99</v>
      </c>
      <c r="H201" s="112" t="s">
        <v>377</v>
      </c>
      <c r="I201" s="113">
        <v>526.51</v>
      </c>
      <c r="J201" s="111" t="s">
        <v>139</v>
      </c>
      <c r="K201" s="111" t="s">
        <v>381</v>
      </c>
      <c r="L201" s="111" t="s">
        <v>103</v>
      </c>
      <c r="M201" s="111" t="s">
        <v>104</v>
      </c>
      <c r="N201" s="111" t="s">
        <v>105</v>
      </c>
      <c r="O201" s="111" t="s">
        <v>106</v>
      </c>
      <c r="P201" s="111" t="s">
        <v>141</v>
      </c>
      <c r="Q201" s="110" t="s">
        <v>133</v>
      </c>
      <c r="R201" s="110" t="s">
        <v>142</v>
      </c>
      <c r="S201" s="111" t="s">
        <v>110</v>
      </c>
      <c r="T201" s="111" t="s">
        <v>111</v>
      </c>
      <c r="U201" s="111" t="s">
        <v>103</v>
      </c>
      <c r="V201" s="118">
        <f t="shared" si="8"/>
        <v>2.0328669431417406E-2</v>
      </c>
      <c r="W201" s="114" t="str">
        <f>IFERROR(I201-AVERAGEIFS(I$6:I200,J$6:J200,"ICIS / Platts",B$6:B200,B201),"")</f>
        <v/>
      </c>
      <c r="X201" s="110" t="s">
        <v>125</v>
      </c>
      <c r="Y201" s="117" t="str">
        <f t="shared" si="7"/>
        <v>OK</v>
      </c>
      <c r="Z201" s="111" t="s">
        <v>116</v>
      </c>
      <c r="AA201" s="111" t="s">
        <v>116</v>
      </c>
      <c r="AB201" s="111" t="s">
        <v>116</v>
      </c>
      <c r="AC201" s="111" t="s">
        <v>116</v>
      </c>
      <c r="AD201" s="111"/>
    </row>
    <row r="202" spans="2:30" ht="27.75" customHeight="1" x14ac:dyDescent="0.25">
      <c r="B202" s="108">
        <v>45271</v>
      </c>
      <c r="C202" s="109" t="s">
        <v>97</v>
      </c>
      <c r="D202" s="109">
        <v>50</v>
      </c>
      <c r="E202" s="110" t="str">
        <f t="shared" si="9"/>
        <v>20231211-197</v>
      </c>
      <c r="F202" s="111" t="s">
        <v>98</v>
      </c>
      <c r="G202" s="111" t="s">
        <v>99</v>
      </c>
      <c r="H202" s="112" t="s">
        <v>382</v>
      </c>
      <c r="I202" s="113">
        <v>530</v>
      </c>
      <c r="J202" s="111" t="s">
        <v>101</v>
      </c>
      <c r="K202" s="111" t="s">
        <v>383</v>
      </c>
      <c r="L202" s="111" t="s">
        <v>103</v>
      </c>
      <c r="M202" s="111" t="s">
        <v>104</v>
      </c>
      <c r="N202" s="111" t="s">
        <v>105</v>
      </c>
      <c r="O202" s="111" t="s">
        <v>106</v>
      </c>
      <c r="P202" s="111" t="s">
        <v>107</v>
      </c>
      <c r="Q202" s="110" t="s">
        <v>108</v>
      </c>
      <c r="R202" s="110" t="s">
        <v>109</v>
      </c>
      <c r="S202" s="111" t="s">
        <v>110</v>
      </c>
      <c r="T202" s="111" t="s">
        <v>111</v>
      </c>
      <c r="U202" s="111" t="s">
        <v>103</v>
      </c>
      <c r="V202" s="118">
        <f t="shared" si="8"/>
        <v>9.5238095238095247E-3</v>
      </c>
      <c r="W202" s="114" t="str">
        <f>IFERROR(I202-AVERAGEIFS(I$6:I201,J$6:J201,"ICIS / Platts",B$6:B201,B202),"")</f>
        <v/>
      </c>
      <c r="X202" s="110" t="s">
        <v>113</v>
      </c>
      <c r="Y202" s="117" t="str">
        <f t="shared" si="7"/>
        <v>OK</v>
      </c>
      <c r="Z202" s="111" t="s">
        <v>116</v>
      </c>
      <c r="AA202" s="111" t="s">
        <v>116</v>
      </c>
      <c r="AB202" s="111" t="s">
        <v>116</v>
      </c>
      <c r="AC202" s="111" t="s">
        <v>116</v>
      </c>
      <c r="AD202" s="111"/>
    </row>
    <row r="203" spans="2:30" ht="27.75" customHeight="1" x14ac:dyDescent="0.25">
      <c r="B203" s="115">
        <v>45272</v>
      </c>
      <c r="C203" s="116" t="s">
        <v>117</v>
      </c>
      <c r="D203" s="116">
        <v>50</v>
      </c>
      <c r="E203" s="110" t="str">
        <f t="shared" si="9"/>
        <v>20231212-198</v>
      </c>
      <c r="F203" s="111" t="s">
        <v>98</v>
      </c>
      <c r="G203" s="111" t="s">
        <v>99</v>
      </c>
      <c r="H203" s="112" t="s">
        <v>382</v>
      </c>
      <c r="I203" s="113">
        <v>547.74</v>
      </c>
      <c r="J203" s="111" t="s">
        <v>118</v>
      </c>
      <c r="K203" s="111" t="s">
        <v>384</v>
      </c>
      <c r="L203" s="111" t="s">
        <v>103</v>
      </c>
      <c r="M203" s="111" t="s">
        <v>104</v>
      </c>
      <c r="N203" s="111" t="s">
        <v>120</v>
      </c>
      <c r="O203" s="111" t="s">
        <v>121</v>
      </c>
      <c r="P203" s="111" t="s">
        <v>122</v>
      </c>
      <c r="Q203" s="110" t="s">
        <v>123</v>
      </c>
      <c r="R203" s="110" t="s">
        <v>124</v>
      </c>
      <c r="S203" s="111" t="s">
        <v>110</v>
      </c>
      <c r="T203" s="111" t="s">
        <v>111</v>
      </c>
      <c r="U203" s="111" t="s">
        <v>103</v>
      </c>
      <c r="V203" s="118">
        <f t="shared" si="8"/>
        <v>2.2360758548603886E-2</v>
      </c>
      <c r="W203" s="114" t="str">
        <f>IFERROR(I203-AVERAGEIFS(I$6:I202,J$6:J202,"ICIS / Platts",B$6:B202,B203),"")</f>
        <v/>
      </c>
      <c r="X203" s="110" t="s">
        <v>125</v>
      </c>
      <c r="Y203" s="117" t="str">
        <f t="shared" si="7"/>
        <v>OK</v>
      </c>
      <c r="Z203" s="111" t="s">
        <v>116</v>
      </c>
      <c r="AA203" s="111" t="s">
        <v>116</v>
      </c>
      <c r="AB203" s="111" t="s">
        <v>116</v>
      </c>
      <c r="AC203" s="111" t="s">
        <v>116</v>
      </c>
      <c r="AD203" s="111"/>
    </row>
    <row r="204" spans="2:30" ht="27.75" customHeight="1" x14ac:dyDescent="0.25">
      <c r="B204" s="108">
        <v>45273</v>
      </c>
      <c r="C204" s="109" t="s">
        <v>126</v>
      </c>
      <c r="D204" s="109">
        <v>50</v>
      </c>
      <c r="E204" s="110" t="str">
        <f t="shared" si="9"/>
        <v>20231213-199</v>
      </c>
      <c r="F204" s="111" t="s">
        <v>98</v>
      </c>
      <c r="G204" s="111" t="s">
        <v>99</v>
      </c>
      <c r="H204" s="112" t="s">
        <v>382</v>
      </c>
      <c r="I204" s="113">
        <v>521.80999999999995</v>
      </c>
      <c r="J204" s="111" t="s">
        <v>127</v>
      </c>
      <c r="K204" s="111" t="s">
        <v>385</v>
      </c>
      <c r="L204" s="111" t="s">
        <v>129</v>
      </c>
      <c r="M204" s="111" t="s">
        <v>104</v>
      </c>
      <c r="N204" s="111" t="s">
        <v>130</v>
      </c>
      <c r="O204" s="111" t="s">
        <v>131</v>
      </c>
      <c r="P204" s="111" t="s">
        <v>132</v>
      </c>
      <c r="Q204" s="110" t="s">
        <v>133</v>
      </c>
      <c r="R204" s="110" t="s">
        <v>134</v>
      </c>
      <c r="S204" s="111" t="s">
        <v>135</v>
      </c>
      <c r="T204" s="111" t="s">
        <v>136</v>
      </c>
      <c r="U204" s="111" t="s">
        <v>129</v>
      </c>
      <c r="V204" s="118">
        <f t="shared" si="8"/>
        <v>-2.8015274285182225E-2</v>
      </c>
      <c r="W204" s="114" t="str">
        <f>IFERROR(I204-AVERAGEIFS(I$6:I203,J$6:J203,"ICIS / Platts",B$6:B203,B204),"")</f>
        <v/>
      </c>
      <c r="X204" s="110" t="s">
        <v>137</v>
      </c>
      <c r="Y204" s="117" t="str">
        <f t="shared" si="7"/>
        <v>OK</v>
      </c>
      <c r="Z204" s="111" t="s">
        <v>116</v>
      </c>
      <c r="AA204" s="111" t="s">
        <v>116</v>
      </c>
      <c r="AB204" s="111" t="s">
        <v>116</v>
      </c>
      <c r="AC204" s="111" t="s">
        <v>116</v>
      </c>
      <c r="AD204" s="111"/>
    </row>
    <row r="205" spans="2:30" ht="27.75" customHeight="1" x14ac:dyDescent="0.25">
      <c r="B205" s="115">
        <v>45275</v>
      </c>
      <c r="C205" s="116" t="s">
        <v>138</v>
      </c>
      <c r="D205" s="116">
        <v>50</v>
      </c>
      <c r="E205" s="110" t="str">
        <f t="shared" si="9"/>
        <v>20231215-200</v>
      </c>
      <c r="F205" s="111" t="s">
        <v>98</v>
      </c>
      <c r="G205" s="111" t="s">
        <v>99</v>
      </c>
      <c r="H205" s="112" t="s">
        <v>382</v>
      </c>
      <c r="I205" s="113">
        <v>538.48</v>
      </c>
      <c r="J205" s="111" t="s">
        <v>139</v>
      </c>
      <c r="K205" s="111" t="s">
        <v>386</v>
      </c>
      <c r="L205" s="111" t="s">
        <v>103</v>
      </c>
      <c r="M205" s="111" t="s">
        <v>104</v>
      </c>
      <c r="N205" s="111" t="s">
        <v>105</v>
      </c>
      <c r="O205" s="111" t="s">
        <v>106</v>
      </c>
      <c r="P205" s="111" t="s">
        <v>141</v>
      </c>
      <c r="Q205" s="110" t="s">
        <v>133</v>
      </c>
      <c r="R205" s="110" t="s">
        <v>142</v>
      </c>
      <c r="S205" s="111" t="s">
        <v>110</v>
      </c>
      <c r="T205" s="111" t="s">
        <v>111</v>
      </c>
      <c r="U205" s="111" t="s">
        <v>103</v>
      </c>
      <c r="V205" s="118">
        <f t="shared" si="8"/>
        <v>2.2734610928567409E-2</v>
      </c>
      <c r="W205" s="114" t="str">
        <f>IFERROR(I205-AVERAGEIFS(I$6:I204,J$6:J204,"ICIS / Platts",B$6:B204,B205),"")</f>
        <v/>
      </c>
      <c r="X205" s="110" t="s">
        <v>125</v>
      </c>
      <c r="Y205" s="117" t="str">
        <f t="shared" si="7"/>
        <v>OK</v>
      </c>
      <c r="Z205" s="111" t="s">
        <v>116</v>
      </c>
      <c r="AA205" s="111" t="s">
        <v>116</v>
      </c>
      <c r="AB205" s="111" t="s">
        <v>116</v>
      </c>
      <c r="AC205" s="111" t="s">
        <v>116</v>
      </c>
      <c r="AD205" s="111"/>
    </row>
    <row r="206" spans="2:30" ht="27.75" customHeight="1" x14ac:dyDescent="0.25">
      <c r="B206" s="108">
        <v>45278</v>
      </c>
      <c r="C206" s="109" t="s">
        <v>97</v>
      </c>
      <c r="D206" s="109">
        <v>51</v>
      </c>
      <c r="E206" s="110" t="str">
        <f t="shared" si="9"/>
        <v>20231218-201</v>
      </c>
      <c r="F206" s="111" t="s">
        <v>98</v>
      </c>
      <c r="G206" s="111" t="s">
        <v>99</v>
      </c>
      <c r="H206" s="112" t="s">
        <v>387</v>
      </c>
      <c r="I206" s="113">
        <v>528</v>
      </c>
      <c r="J206" s="111" t="s">
        <v>101</v>
      </c>
      <c r="K206" s="111" t="s">
        <v>388</v>
      </c>
      <c r="L206" s="111" t="s">
        <v>103</v>
      </c>
      <c r="M206" s="111" t="s">
        <v>104</v>
      </c>
      <c r="N206" s="111" t="s">
        <v>105</v>
      </c>
      <c r="O206" s="111" t="s">
        <v>106</v>
      </c>
      <c r="P206" s="111" t="s">
        <v>107</v>
      </c>
      <c r="Q206" s="110" t="s">
        <v>108</v>
      </c>
      <c r="R206" s="110" t="s">
        <v>109</v>
      </c>
      <c r="S206" s="111" t="s">
        <v>110</v>
      </c>
      <c r="T206" s="111" t="s">
        <v>111</v>
      </c>
      <c r="U206" s="111" t="s">
        <v>103</v>
      </c>
      <c r="V206" s="118">
        <f t="shared" si="8"/>
        <v>-3.7735849056603774E-3</v>
      </c>
      <c r="W206" s="114" t="str">
        <f>IFERROR(I206-AVERAGEIFS(I$6:I205,J$6:J205,"ICIS / Platts",B$6:B205,B206),"")</f>
        <v/>
      </c>
      <c r="X206" s="110" t="s">
        <v>113</v>
      </c>
      <c r="Y206" s="117" t="str">
        <f t="shared" si="7"/>
        <v>OK</v>
      </c>
      <c r="Z206" s="111" t="s">
        <v>116</v>
      </c>
      <c r="AA206" s="111" t="s">
        <v>116</v>
      </c>
      <c r="AB206" s="111" t="s">
        <v>116</v>
      </c>
      <c r="AC206" s="111" t="s">
        <v>116</v>
      </c>
      <c r="AD206" s="111"/>
    </row>
    <row r="207" spans="2:30" ht="27.75" customHeight="1" x14ac:dyDescent="0.25">
      <c r="B207" s="115">
        <v>45279</v>
      </c>
      <c r="C207" s="116" t="s">
        <v>117</v>
      </c>
      <c r="D207" s="116">
        <v>51</v>
      </c>
      <c r="E207" s="110" t="str">
        <f t="shared" si="9"/>
        <v>20231219-202</v>
      </c>
      <c r="F207" s="111" t="s">
        <v>98</v>
      </c>
      <c r="G207" s="111" t="s">
        <v>99</v>
      </c>
      <c r="H207" s="112" t="s">
        <v>387</v>
      </c>
      <c r="I207" s="113">
        <v>535.51</v>
      </c>
      <c r="J207" s="111" t="s">
        <v>118</v>
      </c>
      <c r="K207" s="111" t="s">
        <v>389</v>
      </c>
      <c r="L207" s="111" t="s">
        <v>103</v>
      </c>
      <c r="M207" s="111" t="s">
        <v>104</v>
      </c>
      <c r="N207" s="111" t="s">
        <v>120</v>
      </c>
      <c r="O207" s="111" t="s">
        <v>121</v>
      </c>
      <c r="P207" s="111" t="s">
        <v>122</v>
      </c>
      <c r="Q207" s="110" t="s">
        <v>123</v>
      </c>
      <c r="R207" s="110" t="s">
        <v>124</v>
      </c>
      <c r="S207" s="111" t="s">
        <v>110</v>
      </c>
      <c r="T207" s="111" t="s">
        <v>111</v>
      </c>
      <c r="U207" s="111" t="s">
        <v>103</v>
      </c>
      <c r="V207" s="118">
        <f t="shared" si="8"/>
        <v>-2.2328111877898307E-2</v>
      </c>
      <c r="W207" s="114" t="str">
        <f>IFERROR(I207-AVERAGEIFS(I$6:I206,J$6:J206,"ICIS / Platts",B$6:B206,B207),"")</f>
        <v/>
      </c>
      <c r="X207" s="110" t="s">
        <v>125</v>
      </c>
      <c r="Y207" s="117" t="str">
        <f t="shared" si="7"/>
        <v>OK</v>
      </c>
      <c r="Z207" s="111" t="s">
        <v>116</v>
      </c>
      <c r="AA207" s="111" t="s">
        <v>116</v>
      </c>
      <c r="AB207" s="111" t="s">
        <v>116</v>
      </c>
      <c r="AC207" s="111" t="s">
        <v>116</v>
      </c>
      <c r="AD207" s="111"/>
    </row>
    <row r="208" spans="2:30" ht="27.75" customHeight="1" x14ac:dyDescent="0.25">
      <c r="B208" s="108">
        <v>45280</v>
      </c>
      <c r="C208" s="109" t="s">
        <v>126</v>
      </c>
      <c r="D208" s="109">
        <v>51</v>
      </c>
      <c r="E208" s="110" t="str">
        <f t="shared" si="9"/>
        <v>20231220-203</v>
      </c>
      <c r="F208" s="111" t="s">
        <v>98</v>
      </c>
      <c r="G208" s="111" t="s">
        <v>99</v>
      </c>
      <c r="H208" s="112" t="s">
        <v>387</v>
      </c>
      <c r="I208" s="113">
        <v>523.35</v>
      </c>
      <c r="J208" s="111" t="s">
        <v>127</v>
      </c>
      <c r="K208" s="111" t="s">
        <v>390</v>
      </c>
      <c r="L208" s="111" t="s">
        <v>129</v>
      </c>
      <c r="M208" s="111" t="s">
        <v>104</v>
      </c>
      <c r="N208" s="111" t="s">
        <v>130</v>
      </c>
      <c r="O208" s="111" t="s">
        <v>131</v>
      </c>
      <c r="P208" s="111" t="s">
        <v>132</v>
      </c>
      <c r="Q208" s="110" t="s">
        <v>133</v>
      </c>
      <c r="R208" s="110" t="s">
        <v>134</v>
      </c>
      <c r="S208" s="111" t="s">
        <v>135</v>
      </c>
      <c r="T208" s="111" t="s">
        <v>136</v>
      </c>
      <c r="U208" s="111" t="s">
        <v>129</v>
      </c>
      <c r="V208" s="118">
        <f t="shared" si="8"/>
        <v>2.951265786397496E-3</v>
      </c>
      <c r="W208" s="114" t="str">
        <f>IFERROR(I208-AVERAGEIFS(I$6:I207,J$6:J207,"ICIS / Platts",B$6:B207,B208),"")</f>
        <v/>
      </c>
      <c r="X208" s="110" t="s">
        <v>137</v>
      </c>
      <c r="Y208" s="117" t="str">
        <f t="shared" si="7"/>
        <v>OK</v>
      </c>
      <c r="Z208" s="111" t="s">
        <v>116</v>
      </c>
      <c r="AA208" s="111" t="s">
        <v>116</v>
      </c>
      <c r="AB208" s="111" t="s">
        <v>116</v>
      </c>
      <c r="AC208" s="111" t="s">
        <v>116</v>
      </c>
      <c r="AD208" s="111"/>
    </row>
    <row r="209" spans="2:30" ht="27.75" customHeight="1" x14ac:dyDescent="0.25">
      <c r="B209" s="115">
        <v>45282</v>
      </c>
      <c r="C209" s="116" t="s">
        <v>138</v>
      </c>
      <c r="D209" s="116">
        <v>51</v>
      </c>
      <c r="E209" s="110" t="str">
        <f t="shared" si="9"/>
        <v>20231222-204</v>
      </c>
      <c r="F209" s="111" t="s">
        <v>98</v>
      </c>
      <c r="G209" s="111" t="s">
        <v>99</v>
      </c>
      <c r="H209" s="112" t="s">
        <v>387</v>
      </c>
      <c r="I209" s="113">
        <v>537.04</v>
      </c>
      <c r="J209" s="111" t="s">
        <v>139</v>
      </c>
      <c r="K209" s="111" t="s">
        <v>391</v>
      </c>
      <c r="L209" s="111" t="s">
        <v>103</v>
      </c>
      <c r="M209" s="111" t="s">
        <v>104</v>
      </c>
      <c r="N209" s="111" t="s">
        <v>105</v>
      </c>
      <c r="O209" s="111" t="s">
        <v>106</v>
      </c>
      <c r="P209" s="111" t="s">
        <v>141</v>
      </c>
      <c r="Q209" s="110" t="s">
        <v>133</v>
      </c>
      <c r="R209" s="110" t="s">
        <v>142</v>
      </c>
      <c r="S209" s="111" t="s">
        <v>110</v>
      </c>
      <c r="T209" s="111" t="s">
        <v>111</v>
      </c>
      <c r="U209" s="111" t="s">
        <v>103</v>
      </c>
      <c r="V209" s="118">
        <f t="shared" si="8"/>
        <v>-2.6741940276334393E-3</v>
      </c>
      <c r="W209" s="114" t="str">
        <f>IFERROR(I209-AVERAGEIFS(I$6:I208,J$6:J208,"ICIS / Platts",B$6:B208,B209),"")</f>
        <v/>
      </c>
      <c r="X209" s="110" t="s">
        <v>125</v>
      </c>
      <c r="Y209" s="117" t="str">
        <f t="shared" si="7"/>
        <v>OK</v>
      </c>
      <c r="Z209" s="111" t="s">
        <v>116</v>
      </c>
      <c r="AA209" s="111" t="s">
        <v>116</v>
      </c>
      <c r="AB209" s="111" t="s">
        <v>116</v>
      </c>
      <c r="AC209" s="111" t="s">
        <v>116</v>
      </c>
      <c r="AD209" s="111"/>
    </row>
    <row r="210" spans="2:30" ht="27.75" customHeight="1" x14ac:dyDescent="0.25">
      <c r="B210" s="108">
        <v>45285</v>
      </c>
      <c r="C210" s="109" t="s">
        <v>97</v>
      </c>
      <c r="D210" s="109">
        <v>52</v>
      </c>
      <c r="E210" s="110" t="str">
        <f t="shared" si="9"/>
        <v>20231225-205</v>
      </c>
      <c r="F210" s="111" t="s">
        <v>98</v>
      </c>
      <c r="G210" s="111" t="s">
        <v>99</v>
      </c>
      <c r="H210" s="112" t="s">
        <v>392</v>
      </c>
      <c r="I210" s="113">
        <v>525</v>
      </c>
      <c r="J210" s="111" t="s">
        <v>101</v>
      </c>
      <c r="K210" s="111" t="s">
        <v>393</v>
      </c>
      <c r="L210" s="111" t="s">
        <v>103</v>
      </c>
      <c r="M210" s="111" t="s">
        <v>104</v>
      </c>
      <c r="N210" s="111" t="s">
        <v>105</v>
      </c>
      <c r="O210" s="111" t="s">
        <v>106</v>
      </c>
      <c r="P210" s="111" t="s">
        <v>107</v>
      </c>
      <c r="Q210" s="110" t="s">
        <v>108</v>
      </c>
      <c r="R210" s="110" t="s">
        <v>109</v>
      </c>
      <c r="S210" s="111" t="s">
        <v>110</v>
      </c>
      <c r="T210" s="111" t="s">
        <v>111</v>
      </c>
      <c r="U210" s="111" t="s">
        <v>103</v>
      </c>
      <c r="V210" s="118">
        <f t="shared" si="8"/>
        <v>-5.681818181818182E-3</v>
      </c>
      <c r="W210" s="114" t="str">
        <f>IFERROR(I210-AVERAGEIFS(I$6:I209,J$6:J209,"ICIS / Platts",B$6:B209,B210),"")</f>
        <v/>
      </c>
      <c r="X210" s="110" t="s">
        <v>113</v>
      </c>
      <c r="Y210" s="117" t="str">
        <f t="shared" si="7"/>
        <v>OK</v>
      </c>
      <c r="Z210" s="111" t="s">
        <v>115</v>
      </c>
      <c r="AA210" s="111" t="s">
        <v>116</v>
      </c>
      <c r="AB210" s="111" t="s">
        <v>116</v>
      </c>
      <c r="AC210" s="111" t="s">
        <v>116</v>
      </c>
      <c r="AD210" s="111"/>
    </row>
    <row r="211" spans="2:30" ht="27.75" customHeight="1" x14ac:dyDescent="0.25">
      <c r="B211" s="115">
        <v>45286</v>
      </c>
      <c r="C211" s="116" t="s">
        <v>117</v>
      </c>
      <c r="D211" s="116">
        <v>52</v>
      </c>
      <c r="E211" s="110" t="str">
        <f t="shared" si="9"/>
        <v>20231226-206</v>
      </c>
      <c r="F211" s="111" t="s">
        <v>98</v>
      </c>
      <c r="G211" s="111" t="s">
        <v>99</v>
      </c>
      <c r="H211" s="112" t="s">
        <v>392</v>
      </c>
      <c r="I211" s="113">
        <v>532.86</v>
      </c>
      <c r="J211" s="111" t="s">
        <v>118</v>
      </c>
      <c r="K211" s="111" t="s">
        <v>394</v>
      </c>
      <c r="L211" s="111" t="s">
        <v>103</v>
      </c>
      <c r="M211" s="111" t="s">
        <v>104</v>
      </c>
      <c r="N211" s="111" t="s">
        <v>120</v>
      </c>
      <c r="O211" s="111" t="s">
        <v>121</v>
      </c>
      <c r="P211" s="111" t="s">
        <v>122</v>
      </c>
      <c r="Q211" s="110" t="s">
        <v>123</v>
      </c>
      <c r="R211" s="110" t="s">
        <v>124</v>
      </c>
      <c r="S211" s="111" t="s">
        <v>110</v>
      </c>
      <c r="T211" s="111" t="s">
        <v>111</v>
      </c>
      <c r="U211" s="111" t="s">
        <v>103</v>
      </c>
      <c r="V211" s="118">
        <f t="shared" si="8"/>
        <v>-4.9485537151500014E-3</v>
      </c>
      <c r="W211" s="114" t="str">
        <f>IFERROR(I211-AVERAGEIFS(I$6:I210,J$6:J210,"ICIS / Platts",B$6:B210,B211),"")</f>
        <v/>
      </c>
      <c r="X211" s="110" t="s">
        <v>125</v>
      </c>
      <c r="Y211" s="117" t="str">
        <f t="shared" si="7"/>
        <v>OK</v>
      </c>
      <c r="Z211" s="111" t="s">
        <v>115</v>
      </c>
      <c r="AA211" s="111" t="s">
        <v>116</v>
      </c>
      <c r="AB211" s="111" t="s">
        <v>116</v>
      </c>
      <c r="AC211" s="111" t="s">
        <v>116</v>
      </c>
      <c r="AD211" s="111"/>
    </row>
    <row r="212" spans="2:30" ht="27.75" customHeight="1" x14ac:dyDescent="0.25">
      <c r="B212" s="108">
        <v>45287</v>
      </c>
      <c r="C212" s="109" t="s">
        <v>126</v>
      </c>
      <c r="D212" s="109">
        <v>52</v>
      </c>
      <c r="E212" s="110" t="str">
        <f t="shared" si="9"/>
        <v>20231227-207</v>
      </c>
      <c r="F212" s="111" t="s">
        <v>98</v>
      </c>
      <c r="G212" s="111" t="s">
        <v>99</v>
      </c>
      <c r="H212" s="112" t="s">
        <v>392</v>
      </c>
      <c r="I212" s="113">
        <v>531.17999999999995</v>
      </c>
      <c r="J212" s="111" t="s">
        <v>127</v>
      </c>
      <c r="K212" s="111" t="s">
        <v>395</v>
      </c>
      <c r="L212" s="111" t="s">
        <v>129</v>
      </c>
      <c r="M212" s="111" t="s">
        <v>104</v>
      </c>
      <c r="N212" s="111" t="s">
        <v>130</v>
      </c>
      <c r="O212" s="111" t="s">
        <v>131</v>
      </c>
      <c r="P212" s="111" t="s">
        <v>132</v>
      </c>
      <c r="Q212" s="110" t="s">
        <v>133</v>
      </c>
      <c r="R212" s="110" t="s">
        <v>134</v>
      </c>
      <c r="S212" s="111" t="s">
        <v>135</v>
      </c>
      <c r="T212" s="111" t="s">
        <v>136</v>
      </c>
      <c r="U212" s="111" t="s">
        <v>129</v>
      </c>
      <c r="V212" s="118">
        <f t="shared" si="8"/>
        <v>1.4961306964746205E-2</v>
      </c>
      <c r="W212" s="114" t="str">
        <f>IFERROR(I212-AVERAGEIFS(I$6:I211,J$6:J211,"ICIS / Platts",B$6:B211,B212),"")</f>
        <v/>
      </c>
      <c r="X212" s="110" t="s">
        <v>137</v>
      </c>
      <c r="Y212" s="117" t="str">
        <f t="shared" si="7"/>
        <v>OK</v>
      </c>
      <c r="Z212" s="111" t="s">
        <v>115</v>
      </c>
      <c r="AA212" s="111" t="s">
        <v>116</v>
      </c>
      <c r="AB212" s="111" t="s">
        <v>116</v>
      </c>
      <c r="AC212" s="111" t="s">
        <v>116</v>
      </c>
      <c r="AD212" s="111"/>
    </row>
    <row r="213" spans="2:30" ht="27.75" customHeight="1" x14ac:dyDescent="0.25">
      <c r="B213" s="115">
        <v>45289</v>
      </c>
      <c r="C213" s="116" t="s">
        <v>138</v>
      </c>
      <c r="D213" s="116">
        <v>52</v>
      </c>
      <c r="E213" s="110" t="str">
        <f t="shared" si="9"/>
        <v>20231229-208</v>
      </c>
      <c r="F213" s="111" t="s">
        <v>98</v>
      </c>
      <c r="G213" s="111" t="s">
        <v>99</v>
      </c>
      <c r="H213" s="112" t="s">
        <v>392</v>
      </c>
      <c r="I213" s="113">
        <v>524.82000000000005</v>
      </c>
      <c r="J213" s="111" t="s">
        <v>139</v>
      </c>
      <c r="K213" s="111" t="s">
        <v>396</v>
      </c>
      <c r="L213" s="111" t="s">
        <v>103</v>
      </c>
      <c r="M213" s="111" t="s">
        <v>104</v>
      </c>
      <c r="N213" s="111" t="s">
        <v>105</v>
      </c>
      <c r="O213" s="111" t="s">
        <v>106</v>
      </c>
      <c r="P213" s="111" t="s">
        <v>141</v>
      </c>
      <c r="Q213" s="110" t="s">
        <v>133</v>
      </c>
      <c r="R213" s="110" t="s">
        <v>142</v>
      </c>
      <c r="S213" s="111" t="s">
        <v>110</v>
      </c>
      <c r="T213" s="111" t="s">
        <v>111</v>
      </c>
      <c r="U213" s="111" t="s">
        <v>103</v>
      </c>
      <c r="V213" s="118">
        <f t="shared" si="8"/>
        <v>-2.275435721733933E-2</v>
      </c>
      <c r="W213" s="114" t="str">
        <f>IFERROR(I213-AVERAGEIFS(I$6:I212,J$6:J212,"ICIS / Platts",B$6:B212,B213),"")</f>
        <v/>
      </c>
      <c r="X213" s="110" t="s">
        <v>125</v>
      </c>
      <c r="Y213" s="117" t="str">
        <f t="shared" ref="Y213:Y276" si="10">IFERROR(IF(ABS(I213-AVERAGE(I205:I212))/AVERAGE(I205:I212)&gt;0.1,"⚠ CHECK","OK"),"OK")</f>
        <v>OK</v>
      </c>
      <c r="Z213" s="111" t="s">
        <v>115</v>
      </c>
      <c r="AA213" s="111" t="s">
        <v>116</v>
      </c>
      <c r="AB213" s="111" t="s">
        <v>116</v>
      </c>
      <c r="AC213" s="111" t="s">
        <v>116</v>
      </c>
      <c r="AD213" s="111"/>
    </row>
    <row r="214" spans="2:30" ht="27.75" customHeight="1" x14ac:dyDescent="0.25">
      <c r="B214" s="108">
        <v>45292</v>
      </c>
      <c r="C214" s="109" t="s">
        <v>97</v>
      </c>
      <c r="D214" s="109">
        <v>1</v>
      </c>
      <c r="E214" s="110" t="str">
        <f t="shared" si="9"/>
        <v>20240101-209</v>
      </c>
      <c r="F214" s="111" t="s">
        <v>98</v>
      </c>
      <c r="G214" s="111" t="s">
        <v>99</v>
      </c>
      <c r="H214" s="112" t="s">
        <v>397</v>
      </c>
      <c r="I214" s="113">
        <v>532</v>
      </c>
      <c r="J214" s="111" t="s">
        <v>101</v>
      </c>
      <c r="K214" s="111" t="s">
        <v>398</v>
      </c>
      <c r="L214" s="111" t="s">
        <v>103</v>
      </c>
      <c r="M214" s="111" t="s">
        <v>104</v>
      </c>
      <c r="N214" s="111" t="s">
        <v>105</v>
      </c>
      <c r="O214" s="111" t="s">
        <v>106</v>
      </c>
      <c r="P214" s="111" t="s">
        <v>107</v>
      </c>
      <c r="Q214" s="110" t="s">
        <v>108</v>
      </c>
      <c r="R214" s="110" t="s">
        <v>109</v>
      </c>
      <c r="S214" s="111" t="s">
        <v>110</v>
      </c>
      <c r="T214" s="111" t="s">
        <v>111</v>
      </c>
      <c r="U214" s="111" t="s">
        <v>103</v>
      </c>
      <c r="V214" s="118">
        <f t="shared" si="8"/>
        <v>1.3333333333333334E-2</v>
      </c>
      <c r="W214" s="114" t="str">
        <f>IFERROR(I214-AVERAGEIFS(I$6:I213,J$6:J213,"ICIS / Platts",B$6:B213,B214),"")</f>
        <v/>
      </c>
      <c r="X214" s="110" t="s">
        <v>113</v>
      </c>
      <c r="Y214" s="117" t="str">
        <f t="shared" si="10"/>
        <v>OK</v>
      </c>
      <c r="Z214" s="111" t="s">
        <v>116</v>
      </c>
      <c r="AA214" s="111" t="s">
        <v>116</v>
      </c>
      <c r="AB214" s="111" t="s">
        <v>116</v>
      </c>
      <c r="AC214" s="111" t="s">
        <v>116</v>
      </c>
      <c r="AD214" s="111"/>
    </row>
    <row r="215" spans="2:30" ht="27.75" customHeight="1" x14ac:dyDescent="0.25">
      <c r="B215" s="115">
        <v>45293</v>
      </c>
      <c r="C215" s="116" t="s">
        <v>117</v>
      </c>
      <c r="D215" s="116">
        <v>1</v>
      </c>
      <c r="E215" s="110" t="str">
        <f t="shared" si="9"/>
        <v>20240102-210</v>
      </c>
      <c r="F215" s="111" t="s">
        <v>98</v>
      </c>
      <c r="G215" s="111" t="s">
        <v>99</v>
      </c>
      <c r="H215" s="112" t="s">
        <v>397</v>
      </c>
      <c r="I215" s="113">
        <v>537.52</v>
      </c>
      <c r="J215" s="111" t="s">
        <v>118</v>
      </c>
      <c r="K215" s="111" t="s">
        <v>399</v>
      </c>
      <c r="L215" s="111" t="s">
        <v>103</v>
      </c>
      <c r="M215" s="111" t="s">
        <v>104</v>
      </c>
      <c r="N215" s="111" t="s">
        <v>120</v>
      </c>
      <c r="O215" s="111" t="s">
        <v>121</v>
      </c>
      <c r="P215" s="111" t="s">
        <v>122</v>
      </c>
      <c r="Q215" s="110" t="s">
        <v>123</v>
      </c>
      <c r="R215" s="110" t="s">
        <v>124</v>
      </c>
      <c r="S215" s="111" t="s">
        <v>110</v>
      </c>
      <c r="T215" s="111" t="s">
        <v>111</v>
      </c>
      <c r="U215" s="111" t="s">
        <v>103</v>
      </c>
      <c r="V215" s="118">
        <f t="shared" si="8"/>
        <v>8.7452614195097558E-3</v>
      </c>
      <c r="W215" s="114" t="str">
        <f>IFERROR(I215-AVERAGEIFS(I$6:I214,J$6:J214,"ICIS / Platts",B$6:B214,B215),"")</f>
        <v/>
      </c>
      <c r="X215" s="110" t="s">
        <v>125</v>
      </c>
      <c r="Y215" s="117" t="str">
        <f t="shared" si="10"/>
        <v>OK</v>
      </c>
      <c r="Z215" s="111" t="s">
        <v>116</v>
      </c>
      <c r="AA215" s="111" t="s">
        <v>116</v>
      </c>
      <c r="AB215" s="111" t="s">
        <v>116</v>
      </c>
      <c r="AC215" s="111" t="s">
        <v>116</v>
      </c>
      <c r="AD215" s="111"/>
    </row>
    <row r="216" spans="2:30" ht="27.75" customHeight="1" x14ac:dyDescent="0.25">
      <c r="B216" s="108">
        <v>45294</v>
      </c>
      <c r="C216" s="109" t="s">
        <v>126</v>
      </c>
      <c r="D216" s="109">
        <v>1</v>
      </c>
      <c r="E216" s="110" t="str">
        <f t="shared" si="9"/>
        <v>20240103-211</v>
      </c>
      <c r="F216" s="111" t="s">
        <v>98</v>
      </c>
      <c r="G216" s="111" t="s">
        <v>99</v>
      </c>
      <c r="H216" s="112" t="s">
        <v>397</v>
      </c>
      <c r="I216" s="113">
        <v>533.25</v>
      </c>
      <c r="J216" s="111" t="s">
        <v>127</v>
      </c>
      <c r="K216" s="111" t="s">
        <v>400</v>
      </c>
      <c r="L216" s="111" t="s">
        <v>129</v>
      </c>
      <c r="M216" s="111" t="s">
        <v>104</v>
      </c>
      <c r="N216" s="111" t="s">
        <v>130</v>
      </c>
      <c r="O216" s="111" t="s">
        <v>131</v>
      </c>
      <c r="P216" s="111" t="s">
        <v>132</v>
      </c>
      <c r="Q216" s="110" t="s">
        <v>133</v>
      </c>
      <c r="R216" s="110" t="s">
        <v>134</v>
      </c>
      <c r="S216" s="111" t="s">
        <v>135</v>
      </c>
      <c r="T216" s="111" t="s">
        <v>136</v>
      </c>
      <c r="U216" s="111" t="s">
        <v>129</v>
      </c>
      <c r="V216" s="118">
        <f t="shared" si="8"/>
        <v>3.8969840731956215E-3</v>
      </c>
      <c r="W216" s="114" t="str">
        <f>IFERROR(I216-AVERAGEIFS(I$6:I215,J$6:J215,"ICIS / Platts",B$6:B215,B216),"")</f>
        <v/>
      </c>
      <c r="X216" s="110" t="s">
        <v>137</v>
      </c>
      <c r="Y216" s="117" t="str">
        <f t="shared" si="10"/>
        <v>OK</v>
      </c>
      <c r="Z216" s="111" t="s">
        <v>116</v>
      </c>
      <c r="AA216" s="111" t="s">
        <v>116</v>
      </c>
      <c r="AB216" s="111" t="s">
        <v>116</v>
      </c>
      <c r="AC216" s="111" t="s">
        <v>116</v>
      </c>
      <c r="AD216" s="111"/>
    </row>
    <row r="217" spans="2:30" ht="27.75" customHeight="1" x14ac:dyDescent="0.25">
      <c r="B217" s="115">
        <v>45296</v>
      </c>
      <c r="C217" s="116" t="s">
        <v>138</v>
      </c>
      <c r="D217" s="116">
        <v>1</v>
      </c>
      <c r="E217" s="110" t="str">
        <f t="shared" si="9"/>
        <v>20240105-212</v>
      </c>
      <c r="F217" s="111" t="s">
        <v>98</v>
      </c>
      <c r="G217" s="111" t="s">
        <v>99</v>
      </c>
      <c r="H217" s="112" t="s">
        <v>397</v>
      </c>
      <c r="I217" s="113">
        <v>535.16999999999996</v>
      </c>
      <c r="J217" s="111" t="s">
        <v>139</v>
      </c>
      <c r="K217" s="111" t="s">
        <v>401</v>
      </c>
      <c r="L217" s="111" t="s">
        <v>103</v>
      </c>
      <c r="M217" s="111" t="s">
        <v>104</v>
      </c>
      <c r="N217" s="111" t="s">
        <v>105</v>
      </c>
      <c r="O217" s="111" t="s">
        <v>106</v>
      </c>
      <c r="P217" s="111" t="s">
        <v>141</v>
      </c>
      <c r="Q217" s="110" t="s">
        <v>133</v>
      </c>
      <c r="R217" s="110" t="s">
        <v>142</v>
      </c>
      <c r="S217" s="111" t="s">
        <v>110</v>
      </c>
      <c r="T217" s="111" t="s">
        <v>111</v>
      </c>
      <c r="U217" s="111" t="s">
        <v>103</v>
      </c>
      <c r="V217" s="118">
        <f t="shared" si="8"/>
        <v>1.9721047216188232E-2</v>
      </c>
      <c r="W217" s="114" t="str">
        <f>IFERROR(I217-AVERAGEIFS(I$6:I216,J$6:J216,"ICIS / Platts",B$6:B216,B217),"")</f>
        <v/>
      </c>
      <c r="X217" s="110" t="s">
        <v>125</v>
      </c>
      <c r="Y217" s="117" t="str">
        <f t="shared" si="10"/>
        <v>OK</v>
      </c>
      <c r="Z217" s="111" t="s">
        <v>116</v>
      </c>
      <c r="AA217" s="111" t="s">
        <v>116</v>
      </c>
      <c r="AB217" s="111" t="s">
        <v>116</v>
      </c>
      <c r="AC217" s="111" t="s">
        <v>116</v>
      </c>
      <c r="AD217" s="111"/>
    </row>
    <row r="218" spans="2:30" ht="27.75" customHeight="1" x14ac:dyDescent="0.25">
      <c r="B218" s="108">
        <v>45299</v>
      </c>
      <c r="C218" s="109" t="s">
        <v>97</v>
      </c>
      <c r="D218" s="109">
        <v>2</v>
      </c>
      <c r="E218" s="110" t="str">
        <f t="shared" si="9"/>
        <v>20240108-213</v>
      </c>
      <c r="F218" s="111" t="s">
        <v>98</v>
      </c>
      <c r="G218" s="111" t="s">
        <v>99</v>
      </c>
      <c r="H218" s="112" t="s">
        <v>402</v>
      </c>
      <c r="I218" s="113">
        <v>538</v>
      </c>
      <c r="J218" s="111" t="s">
        <v>101</v>
      </c>
      <c r="K218" s="111" t="s">
        <v>403</v>
      </c>
      <c r="L218" s="111" t="s">
        <v>103</v>
      </c>
      <c r="M218" s="111" t="s">
        <v>104</v>
      </c>
      <c r="N218" s="111" t="s">
        <v>105</v>
      </c>
      <c r="O218" s="111" t="s">
        <v>106</v>
      </c>
      <c r="P218" s="111" t="s">
        <v>107</v>
      </c>
      <c r="Q218" s="110" t="s">
        <v>108</v>
      </c>
      <c r="R218" s="110" t="s">
        <v>109</v>
      </c>
      <c r="S218" s="111" t="s">
        <v>110</v>
      </c>
      <c r="T218" s="111" t="s">
        <v>111</v>
      </c>
      <c r="U218" s="111" t="s">
        <v>103</v>
      </c>
      <c r="V218" s="118">
        <f t="shared" si="8"/>
        <v>1.1278195488721804E-2</v>
      </c>
      <c r="W218" s="114" t="str">
        <f>IFERROR(I218-AVERAGEIFS(I$6:I217,J$6:J217,"ICIS / Platts",B$6:B217,B218),"")</f>
        <v/>
      </c>
      <c r="X218" s="110" t="s">
        <v>113</v>
      </c>
      <c r="Y218" s="117" t="str">
        <f t="shared" si="10"/>
        <v>OK</v>
      </c>
      <c r="Z218" s="111" t="s">
        <v>116</v>
      </c>
      <c r="AA218" s="111" t="s">
        <v>116</v>
      </c>
      <c r="AB218" s="111" t="s">
        <v>116</v>
      </c>
      <c r="AC218" s="111" t="s">
        <v>116</v>
      </c>
      <c r="AD218" s="111"/>
    </row>
    <row r="219" spans="2:30" ht="27.75" customHeight="1" x14ac:dyDescent="0.25">
      <c r="B219" s="115">
        <v>45300</v>
      </c>
      <c r="C219" s="116" t="s">
        <v>117</v>
      </c>
      <c r="D219" s="116">
        <v>2</v>
      </c>
      <c r="E219" s="110" t="str">
        <f t="shared" si="9"/>
        <v>20240109-214</v>
      </c>
      <c r="F219" s="111" t="s">
        <v>98</v>
      </c>
      <c r="G219" s="111" t="s">
        <v>99</v>
      </c>
      <c r="H219" s="112" t="s">
        <v>402</v>
      </c>
      <c r="I219" s="113">
        <v>535.86</v>
      </c>
      <c r="J219" s="111" t="s">
        <v>118</v>
      </c>
      <c r="K219" s="111" t="s">
        <v>404</v>
      </c>
      <c r="L219" s="111" t="s">
        <v>103</v>
      </c>
      <c r="M219" s="111" t="s">
        <v>104</v>
      </c>
      <c r="N219" s="111" t="s">
        <v>120</v>
      </c>
      <c r="O219" s="111" t="s">
        <v>121</v>
      </c>
      <c r="P219" s="111" t="s">
        <v>122</v>
      </c>
      <c r="Q219" s="110" t="s">
        <v>123</v>
      </c>
      <c r="R219" s="110" t="s">
        <v>124</v>
      </c>
      <c r="S219" s="111" t="s">
        <v>110</v>
      </c>
      <c r="T219" s="111" t="s">
        <v>111</v>
      </c>
      <c r="U219" s="111" t="s">
        <v>103</v>
      </c>
      <c r="V219" s="118">
        <f t="shared" si="8"/>
        <v>-3.0882571811280848E-3</v>
      </c>
      <c r="W219" s="114" t="str">
        <f>IFERROR(I219-AVERAGEIFS(I$6:I218,J$6:J218,"ICIS / Platts",B$6:B218,B219),"")</f>
        <v/>
      </c>
      <c r="X219" s="110" t="s">
        <v>125</v>
      </c>
      <c r="Y219" s="117" t="str">
        <f t="shared" si="10"/>
        <v>OK</v>
      </c>
      <c r="Z219" s="111" t="s">
        <v>116</v>
      </c>
      <c r="AA219" s="111" t="s">
        <v>116</v>
      </c>
      <c r="AB219" s="111" t="s">
        <v>116</v>
      </c>
      <c r="AC219" s="111" t="s">
        <v>116</v>
      </c>
      <c r="AD219" s="111"/>
    </row>
    <row r="220" spans="2:30" ht="27.75" customHeight="1" x14ac:dyDescent="0.25">
      <c r="B220" s="108">
        <v>45301</v>
      </c>
      <c r="C220" s="109" t="s">
        <v>126</v>
      </c>
      <c r="D220" s="109">
        <v>2</v>
      </c>
      <c r="E220" s="110" t="str">
        <f t="shared" si="9"/>
        <v>20240110-215</v>
      </c>
      <c r="F220" s="111" t="s">
        <v>98</v>
      </c>
      <c r="G220" s="111" t="s">
        <v>99</v>
      </c>
      <c r="H220" s="112" t="s">
        <v>402</v>
      </c>
      <c r="I220" s="113">
        <v>539.84</v>
      </c>
      <c r="J220" s="111" t="s">
        <v>127</v>
      </c>
      <c r="K220" s="111" t="s">
        <v>405</v>
      </c>
      <c r="L220" s="111" t="s">
        <v>129</v>
      </c>
      <c r="M220" s="111" t="s">
        <v>104</v>
      </c>
      <c r="N220" s="111" t="s">
        <v>130</v>
      </c>
      <c r="O220" s="111" t="s">
        <v>131</v>
      </c>
      <c r="P220" s="111" t="s">
        <v>132</v>
      </c>
      <c r="Q220" s="110" t="s">
        <v>133</v>
      </c>
      <c r="R220" s="110" t="s">
        <v>134</v>
      </c>
      <c r="S220" s="111" t="s">
        <v>135</v>
      </c>
      <c r="T220" s="111" t="s">
        <v>136</v>
      </c>
      <c r="U220" s="111" t="s">
        <v>129</v>
      </c>
      <c r="V220" s="118">
        <f t="shared" si="8"/>
        <v>1.2358180965775963E-2</v>
      </c>
      <c r="W220" s="114" t="str">
        <f>IFERROR(I220-AVERAGEIFS(I$6:I219,J$6:J219,"ICIS / Platts",B$6:B219,B220),"")</f>
        <v/>
      </c>
      <c r="X220" s="110" t="s">
        <v>137</v>
      </c>
      <c r="Y220" s="117" t="str">
        <f t="shared" si="10"/>
        <v>OK</v>
      </c>
      <c r="Z220" s="111" t="s">
        <v>116</v>
      </c>
      <c r="AA220" s="111" t="s">
        <v>116</v>
      </c>
      <c r="AB220" s="111" t="s">
        <v>116</v>
      </c>
      <c r="AC220" s="111" t="s">
        <v>116</v>
      </c>
      <c r="AD220" s="111"/>
    </row>
    <row r="221" spans="2:30" ht="27.75" customHeight="1" x14ac:dyDescent="0.25">
      <c r="B221" s="115">
        <v>45303</v>
      </c>
      <c r="C221" s="116" t="s">
        <v>138</v>
      </c>
      <c r="D221" s="116">
        <v>2</v>
      </c>
      <c r="E221" s="110" t="str">
        <f t="shared" si="9"/>
        <v>20240112-216</v>
      </c>
      <c r="F221" s="111" t="s">
        <v>98</v>
      </c>
      <c r="G221" s="111" t="s">
        <v>99</v>
      </c>
      <c r="H221" s="112" t="s">
        <v>402</v>
      </c>
      <c r="I221" s="113">
        <v>543.44000000000005</v>
      </c>
      <c r="J221" s="111" t="s">
        <v>139</v>
      </c>
      <c r="K221" s="111" t="s">
        <v>406</v>
      </c>
      <c r="L221" s="111" t="s">
        <v>103</v>
      </c>
      <c r="M221" s="111" t="s">
        <v>104</v>
      </c>
      <c r="N221" s="111" t="s">
        <v>105</v>
      </c>
      <c r="O221" s="111" t="s">
        <v>106</v>
      </c>
      <c r="P221" s="111" t="s">
        <v>141</v>
      </c>
      <c r="Q221" s="110" t="s">
        <v>133</v>
      </c>
      <c r="R221" s="110" t="s">
        <v>142</v>
      </c>
      <c r="S221" s="111" t="s">
        <v>110</v>
      </c>
      <c r="T221" s="111" t="s">
        <v>111</v>
      </c>
      <c r="U221" s="111" t="s">
        <v>103</v>
      </c>
      <c r="V221" s="118">
        <f t="shared" si="8"/>
        <v>1.5453033615486847E-2</v>
      </c>
      <c r="W221" s="114" t="str">
        <f>IFERROR(I221-AVERAGEIFS(I$6:I220,J$6:J220,"ICIS / Platts",B$6:B220,B221),"")</f>
        <v/>
      </c>
      <c r="X221" s="110" t="s">
        <v>125</v>
      </c>
      <c r="Y221" s="117" t="str">
        <f t="shared" si="10"/>
        <v>OK</v>
      </c>
      <c r="Z221" s="111" t="s">
        <v>116</v>
      </c>
      <c r="AA221" s="111" t="s">
        <v>116</v>
      </c>
      <c r="AB221" s="111" t="s">
        <v>116</v>
      </c>
      <c r="AC221" s="111" t="s">
        <v>116</v>
      </c>
      <c r="AD221" s="111"/>
    </row>
    <row r="222" spans="2:30" ht="27.75" customHeight="1" x14ac:dyDescent="0.25">
      <c r="B222" s="108">
        <v>45306</v>
      </c>
      <c r="C222" s="109" t="s">
        <v>97</v>
      </c>
      <c r="D222" s="109">
        <v>3</v>
      </c>
      <c r="E222" s="110" t="str">
        <f t="shared" si="9"/>
        <v>20240115-217</v>
      </c>
      <c r="F222" s="111" t="s">
        <v>98</v>
      </c>
      <c r="G222" s="111" t="s">
        <v>99</v>
      </c>
      <c r="H222" s="112" t="s">
        <v>407</v>
      </c>
      <c r="I222" s="113">
        <v>542</v>
      </c>
      <c r="J222" s="111" t="s">
        <v>101</v>
      </c>
      <c r="K222" s="111" t="s">
        <v>408</v>
      </c>
      <c r="L222" s="111" t="s">
        <v>103</v>
      </c>
      <c r="M222" s="111" t="s">
        <v>104</v>
      </c>
      <c r="N222" s="111" t="s">
        <v>105</v>
      </c>
      <c r="O222" s="111" t="s">
        <v>106</v>
      </c>
      <c r="P222" s="111" t="s">
        <v>107</v>
      </c>
      <c r="Q222" s="110" t="s">
        <v>108</v>
      </c>
      <c r="R222" s="110" t="s">
        <v>109</v>
      </c>
      <c r="S222" s="111" t="s">
        <v>110</v>
      </c>
      <c r="T222" s="111" t="s">
        <v>111</v>
      </c>
      <c r="U222" s="111" t="s">
        <v>103</v>
      </c>
      <c r="V222" s="118">
        <f t="shared" si="8"/>
        <v>7.4349442379182153E-3</v>
      </c>
      <c r="W222" s="114" t="str">
        <f>IFERROR(I222-AVERAGEIFS(I$6:I221,J$6:J221,"ICIS / Platts",B$6:B221,B222),"")</f>
        <v/>
      </c>
      <c r="X222" s="110" t="s">
        <v>113</v>
      </c>
      <c r="Y222" s="117" t="str">
        <f t="shared" si="10"/>
        <v>OK</v>
      </c>
      <c r="Z222" s="111" t="s">
        <v>116</v>
      </c>
      <c r="AA222" s="111" t="s">
        <v>116</v>
      </c>
      <c r="AB222" s="111" t="s">
        <v>116</v>
      </c>
      <c r="AC222" s="111" t="s">
        <v>116</v>
      </c>
      <c r="AD222" s="111"/>
    </row>
    <row r="223" spans="2:30" ht="27.75" customHeight="1" x14ac:dyDescent="0.25">
      <c r="B223" s="115">
        <v>45307</v>
      </c>
      <c r="C223" s="116" t="s">
        <v>117</v>
      </c>
      <c r="D223" s="116">
        <v>3</v>
      </c>
      <c r="E223" s="110" t="str">
        <f t="shared" si="9"/>
        <v>20240116-218</v>
      </c>
      <c r="F223" s="111" t="s">
        <v>98</v>
      </c>
      <c r="G223" s="111" t="s">
        <v>99</v>
      </c>
      <c r="H223" s="112" t="s">
        <v>407</v>
      </c>
      <c r="I223" s="113">
        <v>537.74</v>
      </c>
      <c r="J223" s="111" t="s">
        <v>118</v>
      </c>
      <c r="K223" s="111" t="s">
        <v>409</v>
      </c>
      <c r="L223" s="111" t="s">
        <v>103</v>
      </c>
      <c r="M223" s="111" t="s">
        <v>104</v>
      </c>
      <c r="N223" s="111" t="s">
        <v>120</v>
      </c>
      <c r="O223" s="111" t="s">
        <v>121</v>
      </c>
      <c r="P223" s="111" t="s">
        <v>122</v>
      </c>
      <c r="Q223" s="110" t="s">
        <v>123</v>
      </c>
      <c r="R223" s="110" t="s">
        <v>124</v>
      </c>
      <c r="S223" s="111" t="s">
        <v>110</v>
      </c>
      <c r="T223" s="111" t="s">
        <v>111</v>
      </c>
      <c r="U223" s="111" t="s">
        <v>103</v>
      </c>
      <c r="V223" s="118">
        <f t="shared" ref="V223:V286" si="11">IFERROR((I223-I219)/I219,"")</f>
        <v>3.5083790542305739E-3</v>
      </c>
      <c r="W223" s="114" t="str">
        <f>IFERROR(I223-AVERAGEIFS(I$6:I222,J$6:J222,"ICIS / Platts",B$6:B222,B223),"")</f>
        <v/>
      </c>
      <c r="X223" s="110" t="s">
        <v>125</v>
      </c>
      <c r="Y223" s="117" t="str">
        <f t="shared" si="10"/>
        <v>OK</v>
      </c>
      <c r="Z223" s="111" t="s">
        <v>116</v>
      </c>
      <c r="AA223" s="111" t="s">
        <v>116</v>
      </c>
      <c r="AB223" s="111" t="s">
        <v>116</v>
      </c>
      <c r="AC223" s="111" t="s">
        <v>116</v>
      </c>
      <c r="AD223" s="111"/>
    </row>
    <row r="224" spans="2:30" ht="27.75" customHeight="1" x14ac:dyDescent="0.25">
      <c r="B224" s="108">
        <v>45308</v>
      </c>
      <c r="C224" s="109" t="s">
        <v>126</v>
      </c>
      <c r="D224" s="109">
        <v>3</v>
      </c>
      <c r="E224" s="110" t="str">
        <f t="shared" si="9"/>
        <v>20240117-219</v>
      </c>
      <c r="F224" s="111" t="s">
        <v>98</v>
      </c>
      <c r="G224" s="111" t="s">
        <v>99</v>
      </c>
      <c r="H224" s="112" t="s">
        <v>407</v>
      </c>
      <c r="I224" s="113">
        <v>548.12</v>
      </c>
      <c r="J224" s="111" t="s">
        <v>127</v>
      </c>
      <c r="K224" s="111" t="s">
        <v>410</v>
      </c>
      <c r="L224" s="111" t="s">
        <v>129</v>
      </c>
      <c r="M224" s="111" t="s">
        <v>104</v>
      </c>
      <c r="N224" s="111" t="s">
        <v>130</v>
      </c>
      <c r="O224" s="111" t="s">
        <v>131</v>
      </c>
      <c r="P224" s="111" t="s">
        <v>132</v>
      </c>
      <c r="Q224" s="110" t="s">
        <v>133</v>
      </c>
      <c r="R224" s="110" t="s">
        <v>134</v>
      </c>
      <c r="S224" s="111" t="s">
        <v>135</v>
      </c>
      <c r="T224" s="111" t="s">
        <v>136</v>
      </c>
      <c r="U224" s="111" t="s">
        <v>129</v>
      </c>
      <c r="V224" s="118">
        <f t="shared" si="11"/>
        <v>1.5337877889745059E-2</v>
      </c>
      <c r="W224" s="114" t="str">
        <f>IFERROR(I224-AVERAGEIFS(I$6:I223,J$6:J223,"ICIS / Platts",B$6:B223,B224),"")</f>
        <v/>
      </c>
      <c r="X224" s="110" t="s">
        <v>137</v>
      </c>
      <c r="Y224" s="117" t="str">
        <f t="shared" si="10"/>
        <v>OK</v>
      </c>
      <c r="Z224" s="111" t="s">
        <v>116</v>
      </c>
      <c r="AA224" s="111" t="s">
        <v>116</v>
      </c>
      <c r="AB224" s="111" t="s">
        <v>116</v>
      </c>
      <c r="AC224" s="111" t="s">
        <v>116</v>
      </c>
      <c r="AD224" s="111"/>
    </row>
    <row r="225" spans="2:30" ht="27.75" customHeight="1" x14ac:dyDescent="0.25">
      <c r="B225" s="115">
        <v>45310</v>
      </c>
      <c r="C225" s="116" t="s">
        <v>138</v>
      </c>
      <c r="D225" s="116">
        <v>3</v>
      </c>
      <c r="E225" s="110" t="str">
        <f t="shared" si="9"/>
        <v>20240119-220</v>
      </c>
      <c r="F225" s="111" t="s">
        <v>98</v>
      </c>
      <c r="G225" s="111" t="s">
        <v>99</v>
      </c>
      <c r="H225" s="112" t="s">
        <v>407</v>
      </c>
      <c r="I225" s="113">
        <v>544.14</v>
      </c>
      <c r="J225" s="111" t="s">
        <v>139</v>
      </c>
      <c r="K225" s="111" t="s">
        <v>411</v>
      </c>
      <c r="L225" s="111" t="s">
        <v>103</v>
      </c>
      <c r="M225" s="111" t="s">
        <v>104</v>
      </c>
      <c r="N225" s="111" t="s">
        <v>105</v>
      </c>
      <c r="O225" s="111" t="s">
        <v>106</v>
      </c>
      <c r="P225" s="111" t="s">
        <v>141</v>
      </c>
      <c r="Q225" s="110" t="s">
        <v>133</v>
      </c>
      <c r="R225" s="110" t="s">
        <v>142</v>
      </c>
      <c r="S225" s="111" t="s">
        <v>110</v>
      </c>
      <c r="T225" s="111" t="s">
        <v>111</v>
      </c>
      <c r="U225" s="111" t="s">
        <v>103</v>
      </c>
      <c r="V225" s="118">
        <f t="shared" si="11"/>
        <v>1.2880906815838579E-3</v>
      </c>
      <c r="W225" s="114" t="str">
        <f>IFERROR(I225-AVERAGEIFS(I$6:I224,J$6:J224,"ICIS / Platts",B$6:B224,B225),"")</f>
        <v/>
      </c>
      <c r="X225" s="110" t="s">
        <v>125</v>
      </c>
      <c r="Y225" s="117" t="str">
        <f t="shared" si="10"/>
        <v>OK</v>
      </c>
      <c r="Z225" s="111" t="s">
        <v>116</v>
      </c>
      <c r="AA225" s="111" t="s">
        <v>116</v>
      </c>
      <c r="AB225" s="111" t="s">
        <v>116</v>
      </c>
      <c r="AC225" s="111" t="s">
        <v>116</v>
      </c>
      <c r="AD225" s="111"/>
    </row>
    <row r="226" spans="2:30" ht="27.75" customHeight="1" x14ac:dyDescent="0.25">
      <c r="B226" s="108">
        <v>45313</v>
      </c>
      <c r="C226" s="109" t="s">
        <v>97</v>
      </c>
      <c r="D226" s="109">
        <v>4</v>
      </c>
      <c r="E226" s="110" t="str">
        <f t="shared" si="9"/>
        <v>20240122-221</v>
      </c>
      <c r="F226" s="111" t="s">
        <v>98</v>
      </c>
      <c r="G226" s="111" t="s">
        <v>99</v>
      </c>
      <c r="H226" s="112" t="s">
        <v>412</v>
      </c>
      <c r="I226" s="113">
        <v>545</v>
      </c>
      <c r="J226" s="111" t="s">
        <v>101</v>
      </c>
      <c r="K226" s="111" t="s">
        <v>413</v>
      </c>
      <c r="L226" s="111" t="s">
        <v>103</v>
      </c>
      <c r="M226" s="111" t="s">
        <v>104</v>
      </c>
      <c r="N226" s="111" t="s">
        <v>105</v>
      </c>
      <c r="O226" s="111" t="s">
        <v>106</v>
      </c>
      <c r="P226" s="111" t="s">
        <v>107</v>
      </c>
      <c r="Q226" s="110" t="s">
        <v>108</v>
      </c>
      <c r="R226" s="110" t="s">
        <v>109</v>
      </c>
      <c r="S226" s="111" t="s">
        <v>110</v>
      </c>
      <c r="T226" s="111" t="s">
        <v>111</v>
      </c>
      <c r="U226" s="111" t="s">
        <v>103</v>
      </c>
      <c r="V226" s="118">
        <f t="shared" si="11"/>
        <v>5.5350553505535052E-3</v>
      </c>
      <c r="W226" s="114" t="str">
        <f>IFERROR(I226-AVERAGEIFS(I$6:I225,J$6:J225,"ICIS / Platts",B$6:B225,B226),"")</f>
        <v/>
      </c>
      <c r="X226" s="110" t="s">
        <v>113</v>
      </c>
      <c r="Y226" s="117" t="str">
        <f t="shared" si="10"/>
        <v>OK</v>
      </c>
      <c r="Z226" s="111" t="s">
        <v>116</v>
      </c>
      <c r="AA226" s="111" t="s">
        <v>116</v>
      </c>
      <c r="AB226" s="111" t="s">
        <v>116</v>
      </c>
      <c r="AC226" s="111" t="s">
        <v>116</v>
      </c>
      <c r="AD226" s="111"/>
    </row>
    <row r="227" spans="2:30" ht="27.75" customHeight="1" x14ac:dyDescent="0.25">
      <c r="B227" s="115">
        <v>45314</v>
      </c>
      <c r="C227" s="116" t="s">
        <v>117</v>
      </c>
      <c r="D227" s="116">
        <v>4</v>
      </c>
      <c r="E227" s="110" t="str">
        <f t="shared" si="9"/>
        <v>20240123-222</v>
      </c>
      <c r="F227" s="111" t="s">
        <v>98</v>
      </c>
      <c r="G227" s="111" t="s">
        <v>99</v>
      </c>
      <c r="H227" s="112" t="s">
        <v>412</v>
      </c>
      <c r="I227" s="113">
        <v>556.12</v>
      </c>
      <c r="J227" s="111" t="s">
        <v>118</v>
      </c>
      <c r="K227" s="111" t="s">
        <v>414</v>
      </c>
      <c r="L227" s="111" t="s">
        <v>103</v>
      </c>
      <c r="M227" s="111" t="s">
        <v>104</v>
      </c>
      <c r="N227" s="111" t="s">
        <v>120</v>
      </c>
      <c r="O227" s="111" t="s">
        <v>121</v>
      </c>
      <c r="P227" s="111" t="s">
        <v>122</v>
      </c>
      <c r="Q227" s="110" t="s">
        <v>123</v>
      </c>
      <c r="R227" s="110" t="s">
        <v>124</v>
      </c>
      <c r="S227" s="111" t="s">
        <v>110</v>
      </c>
      <c r="T227" s="111" t="s">
        <v>111</v>
      </c>
      <c r="U227" s="111" t="s">
        <v>103</v>
      </c>
      <c r="V227" s="118">
        <f t="shared" si="11"/>
        <v>3.4180087030907122E-2</v>
      </c>
      <c r="W227" s="114" t="str">
        <f>IFERROR(I227-AVERAGEIFS(I$6:I226,J$6:J226,"ICIS / Platts",B$6:B226,B227),"")</f>
        <v/>
      </c>
      <c r="X227" s="110" t="s">
        <v>125</v>
      </c>
      <c r="Y227" s="117" t="str">
        <f t="shared" si="10"/>
        <v>OK</v>
      </c>
      <c r="Z227" s="111" t="s">
        <v>116</v>
      </c>
      <c r="AA227" s="111" t="s">
        <v>116</v>
      </c>
      <c r="AB227" s="111" t="s">
        <v>116</v>
      </c>
      <c r="AC227" s="111" t="s">
        <v>116</v>
      </c>
      <c r="AD227" s="111"/>
    </row>
    <row r="228" spans="2:30" ht="27.75" customHeight="1" x14ac:dyDescent="0.25">
      <c r="B228" s="108">
        <v>45315</v>
      </c>
      <c r="C228" s="109" t="s">
        <v>126</v>
      </c>
      <c r="D228" s="109">
        <v>4</v>
      </c>
      <c r="E228" s="110" t="str">
        <f t="shared" si="9"/>
        <v>20240124-223</v>
      </c>
      <c r="F228" s="111" t="s">
        <v>98</v>
      </c>
      <c r="G228" s="111" t="s">
        <v>99</v>
      </c>
      <c r="H228" s="112" t="s">
        <v>412</v>
      </c>
      <c r="I228" s="113">
        <v>556.41</v>
      </c>
      <c r="J228" s="111" t="s">
        <v>127</v>
      </c>
      <c r="K228" s="111" t="s">
        <v>415</v>
      </c>
      <c r="L228" s="111" t="s">
        <v>129</v>
      </c>
      <c r="M228" s="111" t="s">
        <v>104</v>
      </c>
      <c r="N228" s="111" t="s">
        <v>130</v>
      </c>
      <c r="O228" s="111" t="s">
        <v>131</v>
      </c>
      <c r="P228" s="111" t="s">
        <v>132</v>
      </c>
      <c r="Q228" s="110" t="s">
        <v>133</v>
      </c>
      <c r="R228" s="110" t="s">
        <v>134</v>
      </c>
      <c r="S228" s="111" t="s">
        <v>135</v>
      </c>
      <c r="T228" s="111" t="s">
        <v>136</v>
      </c>
      <c r="U228" s="111" t="s">
        <v>129</v>
      </c>
      <c r="V228" s="118">
        <f t="shared" si="11"/>
        <v>1.5124425308326576E-2</v>
      </c>
      <c r="W228" s="114" t="str">
        <f>IFERROR(I228-AVERAGEIFS(I$6:I227,J$6:J227,"ICIS / Platts",B$6:B227,B228),"")</f>
        <v/>
      </c>
      <c r="X228" s="110" t="s">
        <v>137</v>
      </c>
      <c r="Y228" s="117" t="str">
        <f t="shared" si="10"/>
        <v>OK</v>
      </c>
      <c r="Z228" s="111" t="s">
        <v>116</v>
      </c>
      <c r="AA228" s="111" t="s">
        <v>116</v>
      </c>
      <c r="AB228" s="111" t="s">
        <v>116</v>
      </c>
      <c r="AC228" s="111" t="s">
        <v>116</v>
      </c>
      <c r="AD228" s="111"/>
    </row>
    <row r="229" spans="2:30" ht="27.75" customHeight="1" x14ac:dyDescent="0.25">
      <c r="B229" s="115">
        <v>45317</v>
      </c>
      <c r="C229" s="116" t="s">
        <v>138</v>
      </c>
      <c r="D229" s="116">
        <v>4</v>
      </c>
      <c r="E229" s="110" t="str">
        <f t="shared" si="9"/>
        <v>20240126-224</v>
      </c>
      <c r="F229" s="111" t="s">
        <v>98</v>
      </c>
      <c r="G229" s="111" t="s">
        <v>99</v>
      </c>
      <c r="H229" s="112" t="s">
        <v>412</v>
      </c>
      <c r="I229" s="113">
        <v>542.75</v>
      </c>
      <c r="J229" s="111" t="s">
        <v>139</v>
      </c>
      <c r="K229" s="111" t="s">
        <v>416</v>
      </c>
      <c r="L229" s="111" t="s">
        <v>103</v>
      </c>
      <c r="M229" s="111" t="s">
        <v>104</v>
      </c>
      <c r="N229" s="111" t="s">
        <v>105</v>
      </c>
      <c r="O229" s="111" t="s">
        <v>106</v>
      </c>
      <c r="P229" s="111" t="s">
        <v>141</v>
      </c>
      <c r="Q229" s="110" t="s">
        <v>133</v>
      </c>
      <c r="R229" s="110" t="s">
        <v>142</v>
      </c>
      <c r="S229" s="111" t="s">
        <v>110</v>
      </c>
      <c r="T229" s="111" t="s">
        <v>111</v>
      </c>
      <c r="U229" s="111" t="s">
        <v>103</v>
      </c>
      <c r="V229" s="118">
        <f t="shared" si="11"/>
        <v>-2.5544896533979977E-3</v>
      </c>
      <c r="W229" s="114" t="str">
        <f>IFERROR(I229-AVERAGEIFS(I$6:I228,J$6:J228,"ICIS / Platts",B$6:B228,B229),"")</f>
        <v/>
      </c>
      <c r="X229" s="110" t="s">
        <v>125</v>
      </c>
      <c r="Y229" s="117" t="str">
        <f t="shared" si="10"/>
        <v>OK</v>
      </c>
      <c r="Z229" s="111" t="s">
        <v>116</v>
      </c>
      <c r="AA229" s="111" t="s">
        <v>116</v>
      </c>
      <c r="AB229" s="111" t="s">
        <v>116</v>
      </c>
      <c r="AC229" s="111" t="s">
        <v>116</v>
      </c>
      <c r="AD229" s="111"/>
    </row>
    <row r="230" spans="2:30" ht="27.75" customHeight="1" x14ac:dyDescent="0.25">
      <c r="B230" s="108">
        <v>45320</v>
      </c>
      <c r="C230" s="109" t="s">
        <v>97</v>
      </c>
      <c r="D230" s="109">
        <v>5</v>
      </c>
      <c r="E230" s="110" t="str">
        <f t="shared" si="9"/>
        <v>20240129-225</v>
      </c>
      <c r="F230" s="111" t="s">
        <v>98</v>
      </c>
      <c r="G230" s="111" t="s">
        <v>99</v>
      </c>
      <c r="H230" s="112" t="s">
        <v>417</v>
      </c>
      <c r="I230" s="113">
        <v>540</v>
      </c>
      <c r="J230" s="111" t="s">
        <v>101</v>
      </c>
      <c r="K230" s="111" t="s">
        <v>418</v>
      </c>
      <c r="L230" s="111" t="s">
        <v>103</v>
      </c>
      <c r="M230" s="111" t="s">
        <v>104</v>
      </c>
      <c r="N230" s="111" t="s">
        <v>105</v>
      </c>
      <c r="O230" s="111" t="s">
        <v>106</v>
      </c>
      <c r="P230" s="111" t="s">
        <v>107</v>
      </c>
      <c r="Q230" s="110" t="s">
        <v>108</v>
      </c>
      <c r="R230" s="110" t="s">
        <v>109</v>
      </c>
      <c r="S230" s="111" t="s">
        <v>110</v>
      </c>
      <c r="T230" s="111" t="s">
        <v>111</v>
      </c>
      <c r="U230" s="111" t="s">
        <v>103</v>
      </c>
      <c r="V230" s="118">
        <f t="shared" si="11"/>
        <v>-9.1743119266055051E-3</v>
      </c>
      <c r="W230" s="114" t="str">
        <f>IFERROR(I230-AVERAGEIFS(I$6:I229,J$6:J229,"ICIS / Platts",B$6:B229,B230),"")</f>
        <v/>
      </c>
      <c r="X230" s="110" t="s">
        <v>113</v>
      </c>
      <c r="Y230" s="117" t="str">
        <f t="shared" si="10"/>
        <v>OK</v>
      </c>
      <c r="Z230" s="111" t="s">
        <v>116</v>
      </c>
      <c r="AA230" s="111" t="s">
        <v>116</v>
      </c>
      <c r="AB230" s="111" t="s">
        <v>116</v>
      </c>
      <c r="AC230" s="111" t="s">
        <v>116</v>
      </c>
      <c r="AD230" s="111"/>
    </row>
    <row r="231" spans="2:30" ht="27.75" customHeight="1" x14ac:dyDescent="0.25">
      <c r="B231" s="115">
        <v>45321</v>
      </c>
      <c r="C231" s="116" t="s">
        <v>117</v>
      </c>
      <c r="D231" s="116">
        <v>5</v>
      </c>
      <c r="E231" s="110" t="str">
        <f t="shared" si="9"/>
        <v>20240130-226</v>
      </c>
      <c r="F231" s="111" t="s">
        <v>98</v>
      </c>
      <c r="G231" s="111" t="s">
        <v>99</v>
      </c>
      <c r="H231" s="112" t="s">
        <v>417</v>
      </c>
      <c r="I231" s="113">
        <v>547.28</v>
      </c>
      <c r="J231" s="111" t="s">
        <v>118</v>
      </c>
      <c r="K231" s="111" t="s">
        <v>419</v>
      </c>
      <c r="L231" s="111" t="s">
        <v>103</v>
      </c>
      <c r="M231" s="111" t="s">
        <v>104</v>
      </c>
      <c r="N231" s="111" t="s">
        <v>120</v>
      </c>
      <c r="O231" s="111" t="s">
        <v>121</v>
      </c>
      <c r="P231" s="111" t="s">
        <v>122</v>
      </c>
      <c r="Q231" s="110" t="s">
        <v>123</v>
      </c>
      <c r="R231" s="110" t="s">
        <v>124</v>
      </c>
      <c r="S231" s="111" t="s">
        <v>110</v>
      </c>
      <c r="T231" s="111" t="s">
        <v>111</v>
      </c>
      <c r="U231" s="111" t="s">
        <v>103</v>
      </c>
      <c r="V231" s="118">
        <f t="shared" si="11"/>
        <v>-1.5895849816586406E-2</v>
      </c>
      <c r="W231" s="114" t="str">
        <f>IFERROR(I231-AVERAGEIFS(I$6:I230,J$6:J230,"ICIS / Platts",B$6:B230,B231),"")</f>
        <v/>
      </c>
      <c r="X231" s="110" t="s">
        <v>125</v>
      </c>
      <c r="Y231" s="117" t="str">
        <f t="shared" si="10"/>
        <v>OK</v>
      </c>
      <c r="Z231" s="111" t="s">
        <v>116</v>
      </c>
      <c r="AA231" s="111" t="s">
        <v>116</v>
      </c>
      <c r="AB231" s="111" t="s">
        <v>116</v>
      </c>
      <c r="AC231" s="111" t="s">
        <v>116</v>
      </c>
      <c r="AD231" s="111"/>
    </row>
    <row r="232" spans="2:30" ht="27.75" customHeight="1" x14ac:dyDescent="0.25">
      <c r="B232" s="108">
        <v>45322</v>
      </c>
      <c r="C232" s="109" t="s">
        <v>126</v>
      </c>
      <c r="D232" s="109">
        <v>5</v>
      </c>
      <c r="E232" s="110" t="str">
        <f t="shared" si="9"/>
        <v>20240131-227</v>
      </c>
      <c r="F232" s="111" t="s">
        <v>98</v>
      </c>
      <c r="G232" s="111" t="s">
        <v>99</v>
      </c>
      <c r="H232" s="112" t="s">
        <v>417</v>
      </c>
      <c r="I232" s="113">
        <v>540.28</v>
      </c>
      <c r="J232" s="111" t="s">
        <v>127</v>
      </c>
      <c r="K232" s="111" t="s">
        <v>420</v>
      </c>
      <c r="L232" s="111" t="s">
        <v>129</v>
      </c>
      <c r="M232" s="111" t="s">
        <v>104</v>
      </c>
      <c r="N232" s="111" t="s">
        <v>130</v>
      </c>
      <c r="O232" s="111" t="s">
        <v>131</v>
      </c>
      <c r="P232" s="111" t="s">
        <v>132</v>
      </c>
      <c r="Q232" s="110" t="s">
        <v>133</v>
      </c>
      <c r="R232" s="110" t="s">
        <v>134</v>
      </c>
      <c r="S232" s="111" t="s">
        <v>135</v>
      </c>
      <c r="T232" s="111" t="s">
        <v>136</v>
      </c>
      <c r="U232" s="111" t="s">
        <v>129</v>
      </c>
      <c r="V232" s="118">
        <f t="shared" si="11"/>
        <v>-2.8989414280836068E-2</v>
      </c>
      <c r="W232" s="114" t="str">
        <f>IFERROR(I232-AVERAGEIFS(I$6:I231,J$6:J231,"ICIS / Platts",B$6:B231,B232),"")</f>
        <v/>
      </c>
      <c r="X232" s="110" t="s">
        <v>137</v>
      </c>
      <c r="Y232" s="117" t="str">
        <f t="shared" si="10"/>
        <v>OK</v>
      </c>
      <c r="Z232" s="111" t="s">
        <v>116</v>
      </c>
      <c r="AA232" s="111" t="s">
        <v>116</v>
      </c>
      <c r="AB232" s="111" t="s">
        <v>116</v>
      </c>
      <c r="AC232" s="111" t="s">
        <v>116</v>
      </c>
      <c r="AD232" s="111"/>
    </row>
    <row r="233" spans="2:30" ht="27.75" customHeight="1" x14ac:dyDescent="0.25">
      <c r="B233" s="115">
        <v>45324</v>
      </c>
      <c r="C233" s="116" t="s">
        <v>138</v>
      </c>
      <c r="D233" s="116">
        <v>5</v>
      </c>
      <c r="E233" s="110" t="str">
        <f t="shared" si="9"/>
        <v>20240202-228</v>
      </c>
      <c r="F233" s="111" t="s">
        <v>98</v>
      </c>
      <c r="G233" s="111" t="s">
        <v>99</v>
      </c>
      <c r="H233" s="112" t="s">
        <v>417</v>
      </c>
      <c r="I233" s="113">
        <v>542.35</v>
      </c>
      <c r="J233" s="111" t="s">
        <v>139</v>
      </c>
      <c r="K233" s="111" t="s">
        <v>421</v>
      </c>
      <c r="L233" s="111" t="s">
        <v>103</v>
      </c>
      <c r="M233" s="111" t="s">
        <v>104</v>
      </c>
      <c r="N233" s="111" t="s">
        <v>105</v>
      </c>
      <c r="O233" s="111" t="s">
        <v>106</v>
      </c>
      <c r="P233" s="111" t="s">
        <v>141</v>
      </c>
      <c r="Q233" s="110" t="s">
        <v>133</v>
      </c>
      <c r="R233" s="110" t="s">
        <v>142</v>
      </c>
      <c r="S233" s="111" t="s">
        <v>110</v>
      </c>
      <c r="T233" s="111" t="s">
        <v>111</v>
      </c>
      <c r="U233" s="111" t="s">
        <v>103</v>
      </c>
      <c r="V233" s="118">
        <f t="shared" si="11"/>
        <v>-7.3698756333482685E-4</v>
      </c>
      <c r="W233" s="114" t="str">
        <f>IFERROR(I233-AVERAGEIFS(I$6:I232,J$6:J232,"ICIS / Platts",B$6:B232,B233),"")</f>
        <v/>
      </c>
      <c r="X233" s="110" t="s">
        <v>125</v>
      </c>
      <c r="Y233" s="117" t="str">
        <f t="shared" si="10"/>
        <v>OK</v>
      </c>
      <c r="Z233" s="111" t="s">
        <v>116</v>
      </c>
      <c r="AA233" s="111" t="s">
        <v>116</v>
      </c>
      <c r="AB233" s="111" t="s">
        <v>116</v>
      </c>
      <c r="AC233" s="111" t="s">
        <v>116</v>
      </c>
      <c r="AD233" s="111"/>
    </row>
    <row r="234" spans="2:30" ht="27.75" customHeight="1" x14ac:dyDescent="0.25">
      <c r="B234" s="108">
        <v>45327</v>
      </c>
      <c r="C234" s="109" t="s">
        <v>97</v>
      </c>
      <c r="D234" s="109">
        <v>6</v>
      </c>
      <c r="E234" s="110" t="str">
        <f t="shared" si="9"/>
        <v>20240205-229</v>
      </c>
      <c r="F234" s="111" t="s">
        <v>98</v>
      </c>
      <c r="G234" s="111" t="s">
        <v>99</v>
      </c>
      <c r="H234" s="112" t="s">
        <v>422</v>
      </c>
      <c r="I234" s="113">
        <v>535</v>
      </c>
      <c r="J234" s="111" t="s">
        <v>101</v>
      </c>
      <c r="K234" s="111" t="s">
        <v>423</v>
      </c>
      <c r="L234" s="111" t="s">
        <v>103</v>
      </c>
      <c r="M234" s="111" t="s">
        <v>104</v>
      </c>
      <c r="N234" s="111" t="s">
        <v>105</v>
      </c>
      <c r="O234" s="111" t="s">
        <v>106</v>
      </c>
      <c r="P234" s="111" t="s">
        <v>107</v>
      </c>
      <c r="Q234" s="110" t="s">
        <v>108</v>
      </c>
      <c r="R234" s="110" t="s">
        <v>109</v>
      </c>
      <c r="S234" s="111" t="s">
        <v>110</v>
      </c>
      <c r="T234" s="111" t="s">
        <v>111</v>
      </c>
      <c r="U234" s="111" t="s">
        <v>103</v>
      </c>
      <c r="V234" s="118">
        <f t="shared" si="11"/>
        <v>-9.2592592592592587E-3</v>
      </c>
      <c r="W234" s="114" t="str">
        <f>IFERROR(I234-AVERAGEIFS(I$6:I233,J$6:J233,"ICIS / Platts",B$6:B233,B234),"")</f>
        <v/>
      </c>
      <c r="X234" s="110" t="s">
        <v>113</v>
      </c>
      <c r="Y234" s="117" t="str">
        <f t="shared" si="10"/>
        <v>OK</v>
      </c>
      <c r="Z234" s="111" t="s">
        <v>115</v>
      </c>
      <c r="AA234" s="111" t="s">
        <v>116</v>
      </c>
      <c r="AB234" s="111" t="s">
        <v>116</v>
      </c>
      <c r="AC234" s="111" t="s">
        <v>116</v>
      </c>
      <c r="AD234" s="111"/>
    </row>
    <row r="235" spans="2:30" ht="27.75" customHeight="1" x14ac:dyDescent="0.25">
      <c r="B235" s="115">
        <v>45328</v>
      </c>
      <c r="C235" s="116" t="s">
        <v>117</v>
      </c>
      <c r="D235" s="116">
        <v>6</v>
      </c>
      <c r="E235" s="110" t="str">
        <f t="shared" si="9"/>
        <v>20240206-230</v>
      </c>
      <c r="F235" s="111" t="s">
        <v>98</v>
      </c>
      <c r="G235" s="111" t="s">
        <v>99</v>
      </c>
      <c r="H235" s="112" t="s">
        <v>422</v>
      </c>
      <c r="I235" s="113">
        <v>530.87</v>
      </c>
      <c r="J235" s="111" t="s">
        <v>118</v>
      </c>
      <c r="K235" s="111" t="s">
        <v>424</v>
      </c>
      <c r="L235" s="111" t="s">
        <v>103</v>
      </c>
      <c r="M235" s="111" t="s">
        <v>104</v>
      </c>
      <c r="N235" s="111" t="s">
        <v>120</v>
      </c>
      <c r="O235" s="111" t="s">
        <v>121</v>
      </c>
      <c r="P235" s="111" t="s">
        <v>122</v>
      </c>
      <c r="Q235" s="110" t="s">
        <v>123</v>
      </c>
      <c r="R235" s="110" t="s">
        <v>124</v>
      </c>
      <c r="S235" s="111" t="s">
        <v>110</v>
      </c>
      <c r="T235" s="111" t="s">
        <v>111</v>
      </c>
      <c r="U235" s="111" t="s">
        <v>103</v>
      </c>
      <c r="V235" s="118">
        <f t="shared" si="11"/>
        <v>-2.998465136675919E-2</v>
      </c>
      <c r="W235" s="114" t="str">
        <f>IFERROR(I235-AVERAGEIFS(I$6:I234,J$6:J234,"ICIS / Platts",B$6:B234,B235),"")</f>
        <v/>
      </c>
      <c r="X235" s="110" t="s">
        <v>125</v>
      </c>
      <c r="Y235" s="117" t="str">
        <f t="shared" si="10"/>
        <v>OK</v>
      </c>
      <c r="Z235" s="111" t="s">
        <v>115</v>
      </c>
      <c r="AA235" s="111" t="s">
        <v>116</v>
      </c>
      <c r="AB235" s="111" t="s">
        <v>116</v>
      </c>
      <c r="AC235" s="111" t="s">
        <v>116</v>
      </c>
      <c r="AD235" s="111"/>
    </row>
    <row r="236" spans="2:30" ht="27.75" customHeight="1" x14ac:dyDescent="0.25">
      <c r="B236" s="108">
        <v>45329</v>
      </c>
      <c r="C236" s="109" t="s">
        <v>126</v>
      </c>
      <c r="D236" s="109">
        <v>6</v>
      </c>
      <c r="E236" s="110" t="str">
        <f t="shared" si="9"/>
        <v>20240207-231</v>
      </c>
      <c r="F236" s="111" t="s">
        <v>98</v>
      </c>
      <c r="G236" s="111" t="s">
        <v>99</v>
      </c>
      <c r="H236" s="112" t="s">
        <v>422</v>
      </c>
      <c r="I236" s="113">
        <v>531.44000000000005</v>
      </c>
      <c r="J236" s="111" t="s">
        <v>127</v>
      </c>
      <c r="K236" s="111" t="s">
        <v>425</v>
      </c>
      <c r="L236" s="111" t="s">
        <v>129</v>
      </c>
      <c r="M236" s="111" t="s">
        <v>104</v>
      </c>
      <c r="N236" s="111" t="s">
        <v>130</v>
      </c>
      <c r="O236" s="111" t="s">
        <v>131</v>
      </c>
      <c r="P236" s="111" t="s">
        <v>132</v>
      </c>
      <c r="Q236" s="110" t="s">
        <v>133</v>
      </c>
      <c r="R236" s="110" t="s">
        <v>134</v>
      </c>
      <c r="S236" s="111" t="s">
        <v>135</v>
      </c>
      <c r="T236" s="111" t="s">
        <v>136</v>
      </c>
      <c r="U236" s="111" t="s">
        <v>129</v>
      </c>
      <c r="V236" s="118">
        <f t="shared" si="11"/>
        <v>-1.6361886429258753E-2</v>
      </c>
      <c r="W236" s="114" t="str">
        <f>IFERROR(I236-AVERAGEIFS(I$6:I235,J$6:J235,"ICIS / Platts",B$6:B235,B236),"")</f>
        <v/>
      </c>
      <c r="X236" s="110" t="s">
        <v>137</v>
      </c>
      <c r="Y236" s="117" t="str">
        <f t="shared" si="10"/>
        <v>OK</v>
      </c>
      <c r="Z236" s="111" t="s">
        <v>115</v>
      </c>
      <c r="AA236" s="111" t="s">
        <v>116</v>
      </c>
      <c r="AB236" s="111" t="s">
        <v>116</v>
      </c>
      <c r="AC236" s="111" t="s">
        <v>116</v>
      </c>
      <c r="AD236" s="111"/>
    </row>
    <row r="237" spans="2:30" ht="27.75" customHeight="1" x14ac:dyDescent="0.25">
      <c r="B237" s="115">
        <v>45331</v>
      </c>
      <c r="C237" s="116" t="s">
        <v>138</v>
      </c>
      <c r="D237" s="116">
        <v>6</v>
      </c>
      <c r="E237" s="110" t="str">
        <f t="shared" si="9"/>
        <v>20240209-232</v>
      </c>
      <c r="F237" s="111" t="s">
        <v>98</v>
      </c>
      <c r="G237" s="111" t="s">
        <v>99</v>
      </c>
      <c r="H237" s="112" t="s">
        <v>422</v>
      </c>
      <c r="I237" s="113">
        <v>538.84</v>
      </c>
      <c r="J237" s="111" t="s">
        <v>139</v>
      </c>
      <c r="K237" s="111" t="s">
        <v>426</v>
      </c>
      <c r="L237" s="111" t="s">
        <v>103</v>
      </c>
      <c r="M237" s="111" t="s">
        <v>104</v>
      </c>
      <c r="N237" s="111" t="s">
        <v>105</v>
      </c>
      <c r="O237" s="111" t="s">
        <v>106</v>
      </c>
      <c r="P237" s="111" t="s">
        <v>141</v>
      </c>
      <c r="Q237" s="110" t="s">
        <v>133</v>
      </c>
      <c r="R237" s="110" t="s">
        <v>142</v>
      </c>
      <c r="S237" s="111" t="s">
        <v>110</v>
      </c>
      <c r="T237" s="111" t="s">
        <v>111</v>
      </c>
      <c r="U237" s="111" t="s">
        <v>103</v>
      </c>
      <c r="V237" s="118">
        <f t="shared" si="11"/>
        <v>-6.4718355305614286E-3</v>
      </c>
      <c r="W237" s="114" t="str">
        <f>IFERROR(I237-AVERAGEIFS(I$6:I236,J$6:J236,"ICIS / Platts",B$6:B236,B237),"")</f>
        <v/>
      </c>
      <c r="X237" s="110" t="s">
        <v>125</v>
      </c>
      <c r="Y237" s="117" t="str">
        <f t="shared" si="10"/>
        <v>OK</v>
      </c>
      <c r="Z237" s="111" t="s">
        <v>115</v>
      </c>
      <c r="AA237" s="111" t="s">
        <v>116</v>
      </c>
      <c r="AB237" s="111" t="s">
        <v>116</v>
      </c>
      <c r="AC237" s="111" t="s">
        <v>116</v>
      </c>
      <c r="AD237" s="111"/>
    </row>
    <row r="238" spans="2:30" ht="27.75" customHeight="1" x14ac:dyDescent="0.25">
      <c r="B238" s="108">
        <v>45334</v>
      </c>
      <c r="C238" s="109" t="s">
        <v>97</v>
      </c>
      <c r="D238" s="109">
        <v>7</v>
      </c>
      <c r="E238" s="110" t="str">
        <f t="shared" si="9"/>
        <v>20240212-233</v>
      </c>
      <c r="F238" s="111" t="s">
        <v>98</v>
      </c>
      <c r="G238" s="111" t="s">
        <v>99</v>
      </c>
      <c r="H238" s="112" t="s">
        <v>427</v>
      </c>
      <c r="I238" s="113">
        <v>532</v>
      </c>
      <c r="J238" s="111" t="s">
        <v>101</v>
      </c>
      <c r="K238" s="111" t="s">
        <v>428</v>
      </c>
      <c r="L238" s="111" t="s">
        <v>103</v>
      </c>
      <c r="M238" s="111" t="s">
        <v>104</v>
      </c>
      <c r="N238" s="111" t="s">
        <v>105</v>
      </c>
      <c r="O238" s="111" t="s">
        <v>106</v>
      </c>
      <c r="P238" s="111" t="s">
        <v>107</v>
      </c>
      <c r="Q238" s="110" t="s">
        <v>108</v>
      </c>
      <c r="R238" s="110" t="s">
        <v>109</v>
      </c>
      <c r="S238" s="111" t="s">
        <v>110</v>
      </c>
      <c r="T238" s="111" t="s">
        <v>111</v>
      </c>
      <c r="U238" s="111" t="s">
        <v>103</v>
      </c>
      <c r="V238" s="118">
        <f t="shared" si="11"/>
        <v>-5.6074766355140183E-3</v>
      </c>
      <c r="W238" s="114" t="str">
        <f>IFERROR(I238-AVERAGEIFS(I$6:I237,J$6:J237,"ICIS / Platts",B$6:B237,B238),"")</f>
        <v/>
      </c>
      <c r="X238" s="110" t="s">
        <v>113</v>
      </c>
      <c r="Y238" s="117" t="str">
        <f t="shared" si="10"/>
        <v>OK</v>
      </c>
      <c r="Z238" s="111" t="s">
        <v>115</v>
      </c>
      <c r="AA238" s="111" t="s">
        <v>116</v>
      </c>
      <c r="AB238" s="111" t="s">
        <v>116</v>
      </c>
      <c r="AC238" s="111" t="s">
        <v>116</v>
      </c>
      <c r="AD238" s="111"/>
    </row>
    <row r="239" spans="2:30" ht="27.75" customHeight="1" x14ac:dyDescent="0.25">
      <c r="B239" s="115">
        <v>45335</v>
      </c>
      <c r="C239" s="116" t="s">
        <v>117</v>
      </c>
      <c r="D239" s="116">
        <v>7</v>
      </c>
      <c r="E239" s="110" t="str">
        <f t="shared" si="9"/>
        <v>20240213-234</v>
      </c>
      <c r="F239" s="111" t="s">
        <v>98</v>
      </c>
      <c r="G239" s="111" t="s">
        <v>99</v>
      </c>
      <c r="H239" s="112" t="s">
        <v>427</v>
      </c>
      <c r="I239" s="113">
        <v>547.29</v>
      </c>
      <c r="J239" s="111" t="s">
        <v>118</v>
      </c>
      <c r="K239" s="111" t="s">
        <v>429</v>
      </c>
      <c r="L239" s="111" t="s">
        <v>103</v>
      </c>
      <c r="M239" s="111" t="s">
        <v>104</v>
      </c>
      <c r="N239" s="111" t="s">
        <v>120</v>
      </c>
      <c r="O239" s="111" t="s">
        <v>121</v>
      </c>
      <c r="P239" s="111" t="s">
        <v>122</v>
      </c>
      <c r="Q239" s="110" t="s">
        <v>123</v>
      </c>
      <c r="R239" s="110" t="s">
        <v>124</v>
      </c>
      <c r="S239" s="111" t="s">
        <v>110</v>
      </c>
      <c r="T239" s="111" t="s">
        <v>111</v>
      </c>
      <c r="U239" s="111" t="s">
        <v>103</v>
      </c>
      <c r="V239" s="118">
        <f t="shared" si="11"/>
        <v>3.0930359598395012E-2</v>
      </c>
      <c r="W239" s="114" t="str">
        <f>IFERROR(I239-AVERAGEIFS(I$6:I238,J$6:J238,"ICIS / Platts",B$6:B238,B239),"")</f>
        <v/>
      </c>
      <c r="X239" s="110" t="s">
        <v>125</v>
      </c>
      <c r="Y239" s="117" t="str">
        <f t="shared" si="10"/>
        <v>OK</v>
      </c>
      <c r="Z239" s="111" t="s">
        <v>115</v>
      </c>
      <c r="AA239" s="111" t="s">
        <v>116</v>
      </c>
      <c r="AB239" s="111" t="s">
        <v>116</v>
      </c>
      <c r="AC239" s="111" t="s">
        <v>116</v>
      </c>
      <c r="AD239" s="111"/>
    </row>
    <row r="240" spans="2:30" ht="27.75" customHeight="1" x14ac:dyDescent="0.25">
      <c r="B240" s="108">
        <v>45336</v>
      </c>
      <c r="C240" s="109" t="s">
        <v>126</v>
      </c>
      <c r="D240" s="109">
        <v>7</v>
      </c>
      <c r="E240" s="110" t="str">
        <f t="shared" si="9"/>
        <v>20240214-235</v>
      </c>
      <c r="F240" s="111" t="s">
        <v>98</v>
      </c>
      <c r="G240" s="111" t="s">
        <v>99</v>
      </c>
      <c r="H240" s="112" t="s">
        <v>427</v>
      </c>
      <c r="I240" s="113">
        <v>523.45000000000005</v>
      </c>
      <c r="J240" s="111" t="s">
        <v>127</v>
      </c>
      <c r="K240" s="111" t="s">
        <v>430</v>
      </c>
      <c r="L240" s="111" t="s">
        <v>129</v>
      </c>
      <c r="M240" s="111" t="s">
        <v>104</v>
      </c>
      <c r="N240" s="111" t="s">
        <v>130</v>
      </c>
      <c r="O240" s="111" t="s">
        <v>131</v>
      </c>
      <c r="P240" s="111" t="s">
        <v>132</v>
      </c>
      <c r="Q240" s="110" t="s">
        <v>133</v>
      </c>
      <c r="R240" s="110" t="s">
        <v>134</v>
      </c>
      <c r="S240" s="111" t="s">
        <v>135</v>
      </c>
      <c r="T240" s="111" t="s">
        <v>136</v>
      </c>
      <c r="U240" s="111" t="s">
        <v>129</v>
      </c>
      <c r="V240" s="118">
        <f t="shared" si="11"/>
        <v>-1.5034622911335256E-2</v>
      </c>
      <c r="W240" s="114" t="str">
        <f>IFERROR(I240-AVERAGEIFS(I$6:I239,J$6:J239,"ICIS / Platts",B$6:B239,B240),"")</f>
        <v/>
      </c>
      <c r="X240" s="110" t="s">
        <v>137</v>
      </c>
      <c r="Y240" s="117" t="str">
        <f t="shared" si="10"/>
        <v>OK</v>
      </c>
      <c r="Z240" s="111" t="s">
        <v>115</v>
      </c>
      <c r="AA240" s="111" t="s">
        <v>116</v>
      </c>
      <c r="AB240" s="111" t="s">
        <v>116</v>
      </c>
      <c r="AC240" s="111" t="s">
        <v>116</v>
      </c>
      <c r="AD240" s="111"/>
    </row>
    <row r="241" spans="2:30" ht="27.75" customHeight="1" x14ac:dyDescent="0.25">
      <c r="B241" s="115">
        <v>45338</v>
      </c>
      <c r="C241" s="116" t="s">
        <v>138</v>
      </c>
      <c r="D241" s="116">
        <v>7</v>
      </c>
      <c r="E241" s="110" t="str">
        <f t="shared" si="9"/>
        <v>20240216-236</v>
      </c>
      <c r="F241" s="111" t="s">
        <v>98</v>
      </c>
      <c r="G241" s="111" t="s">
        <v>99</v>
      </c>
      <c r="H241" s="112" t="s">
        <v>427</v>
      </c>
      <c r="I241" s="113">
        <v>530.66999999999996</v>
      </c>
      <c r="J241" s="111" t="s">
        <v>139</v>
      </c>
      <c r="K241" s="111" t="s">
        <v>431</v>
      </c>
      <c r="L241" s="111" t="s">
        <v>103</v>
      </c>
      <c r="M241" s="111" t="s">
        <v>104</v>
      </c>
      <c r="N241" s="111" t="s">
        <v>105</v>
      </c>
      <c r="O241" s="111" t="s">
        <v>106</v>
      </c>
      <c r="P241" s="111" t="s">
        <v>141</v>
      </c>
      <c r="Q241" s="110" t="s">
        <v>133</v>
      </c>
      <c r="R241" s="110" t="s">
        <v>142</v>
      </c>
      <c r="S241" s="111" t="s">
        <v>110</v>
      </c>
      <c r="T241" s="111" t="s">
        <v>111</v>
      </c>
      <c r="U241" s="111" t="s">
        <v>103</v>
      </c>
      <c r="V241" s="118">
        <f t="shared" si="11"/>
        <v>-1.5162200282087581E-2</v>
      </c>
      <c r="W241" s="114" t="str">
        <f>IFERROR(I241-AVERAGEIFS(I$6:I240,J$6:J240,"ICIS / Platts",B$6:B240,B241),"")</f>
        <v/>
      </c>
      <c r="X241" s="110" t="s">
        <v>125</v>
      </c>
      <c r="Y241" s="117" t="str">
        <f t="shared" si="10"/>
        <v>OK</v>
      </c>
      <c r="Z241" s="111" t="s">
        <v>115</v>
      </c>
      <c r="AA241" s="111" t="s">
        <v>116</v>
      </c>
      <c r="AB241" s="111" t="s">
        <v>116</v>
      </c>
      <c r="AC241" s="111" t="s">
        <v>116</v>
      </c>
      <c r="AD241" s="111"/>
    </row>
    <row r="242" spans="2:30" ht="27.75" customHeight="1" x14ac:dyDescent="0.25">
      <c r="B242" s="108">
        <v>45341</v>
      </c>
      <c r="C242" s="109" t="s">
        <v>97</v>
      </c>
      <c r="D242" s="109">
        <v>8</v>
      </c>
      <c r="E242" s="110" t="str">
        <f t="shared" si="9"/>
        <v>20240219-237</v>
      </c>
      <c r="F242" s="111" t="s">
        <v>98</v>
      </c>
      <c r="G242" s="111" t="s">
        <v>99</v>
      </c>
      <c r="H242" s="112" t="s">
        <v>432</v>
      </c>
      <c r="I242" s="113">
        <v>528</v>
      </c>
      <c r="J242" s="111" t="s">
        <v>101</v>
      </c>
      <c r="K242" s="111" t="s">
        <v>433</v>
      </c>
      <c r="L242" s="111" t="s">
        <v>103</v>
      </c>
      <c r="M242" s="111" t="s">
        <v>104</v>
      </c>
      <c r="N242" s="111" t="s">
        <v>105</v>
      </c>
      <c r="O242" s="111" t="s">
        <v>106</v>
      </c>
      <c r="P242" s="111" t="s">
        <v>107</v>
      </c>
      <c r="Q242" s="110" t="s">
        <v>108</v>
      </c>
      <c r="R242" s="110" t="s">
        <v>109</v>
      </c>
      <c r="S242" s="111" t="s">
        <v>110</v>
      </c>
      <c r="T242" s="111" t="s">
        <v>111</v>
      </c>
      <c r="U242" s="111" t="s">
        <v>103</v>
      </c>
      <c r="V242" s="118">
        <f t="shared" si="11"/>
        <v>-7.5187969924812026E-3</v>
      </c>
      <c r="W242" s="114" t="str">
        <f>IFERROR(I242-AVERAGEIFS(I$6:I241,J$6:J241,"ICIS / Platts",B$6:B241,B242),"")</f>
        <v/>
      </c>
      <c r="X242" s="110" t="s">
        <v>113</v>
      </c>
      <c r="Y242" s="117" t="str">
        <f t="shared" si="10"/>
        <v>OK</v>
      </c>
      <c r="Z242" s="111" t="s">
        <v>116</v>
      </c>
      <c r="AA242" s="111" t="s">
        <v>116</v>
      </c>
      <c r="AB242" s="111" t="s">
        <v>116</v>
      </c>
      <c r="AC242" s="111" t="s">
        <v>115</v>
      </c>
      <c r="AD242" s="111"/>
    </row>
    <row r="243" spans="2:30" ht="27.75" customHeight="1" x14ac:dyDescent="0.25">
      <c r="B243" s="115">
        <v>45342</v>
      </c>
      <c r="C243" s="116" t="s">
        <v>117</v>
      </c>
      <c r="D243" s="116">
        <v>8</v>
      </c>
      <c r="E243" s="110" t="str">
        <f t="shared" si="9"/>
        <v>20240220-238</v>
      </c>
      <c r="F243" s="111" t="s">
        <v>98</v>
      </c>
      <c r="G243" s="111" t="s">
        <v>99</v>
      </c>
      <c r="H243" s="112" t="s">
        <v>432</v>
      </c>
      <c r="I243" s="113">
        <v>539.85</v>
      </c>
      <c r="J243" s="111" t="s">
        <v>118</v>
      </c>
      <c r="K243" s="111" t="s">
        <v>434</v>
      </c>
      <c r="L243" s="111" t="s">
        <v>103</v>
      </c>
      <c r="M243" s="111" t="s">
        <v>104</v>
      </c>
      <c r="N243" s="111" t="s">
        <v>120</v>
      </c>
      <c r="O243" s="111" t="s">
        <v>121</v>
      </c>
      <c r="P243" s="111" t="s">
        <v>122</v>
      </c>
      <c r="Q243" s="110" t="s">
        <v>123</v>
      </c>
      <c r="R243" s="110" t="s">
        <v>124</v>
      </c>
      <c r="S243" s="111" t="s">
        <v>110</v>
      </c>
      <c r="T243" s="111" t="s">
        <v>111</v>
      </c>
      <c r="U243" s="111" t="s">
        <v>103</v>
      </c>
      <c r="V243" s="118">
        <f t="shared" si="11"/>
        <v>-1.3594255330811711E-2</v>
      </c>
      <c r="W243" s="114" t="str">
        <f>IFERROR(I243-AVERAGEIFS(I$6:I242,J$6:J242,"ICIS / Platts",B$6:B242,B243),"")</f>
        <v/>
      </c>
      <c r="X243" s="110" t="s">
        <v>125</v>
      </c>
      <c r="Y243" s="117" t="str">
        <f t="shared" si="10"/>
        <v>OK</v>
      </c>
      <c r="Z243" s="111" t="s">
        <v>116</v>
      </c>
      <c r="AA243" s="111" t="s">
        <v>116</v>
      </c>
      <c r="AB243" s="111" t="s">
        <v>116</v>
      </c>
      <c r="AC243" s="111" t="s">
        <v>115</v>
      </c>
      <c r="AD243" s="111"/>
    </row>
    <row r="244" spans="2:30" ht="27.75" customHeight="1" x14ac:dyDescent="0.25">
      <c r="B244" s="108">
        <v>45343</v>
      </c>
      <c r="C244" s="109" t="s">
        <v>126</v>
      </c>
      <c r="D244" s="109">
        <v>8</v>
      </c>
      <c r="E244" s="110" t="str">
        <f t="shared" si="9"/>
        <v>20240221-239</v>
      </c>
      <c r="F244" s="111" t="s">
        <v>98</v>
      </c>
      <c r="G244" s="111" t="s">
        <v>99</v>
      </c>
      <c r="H244" s="112" t="s">
        <v>432</v>
      </c>
      <c r="I244" s="113">
        <v>532.36</v>
      </c>
      <c r="J244" s="111" t="s">
        <v>127</v>
      </c>
      <c r="K244" s="111" t="s">
        <v>435</v>
      </c>
      <c r="L244" s="111" t="s">
        <v>129</v>
      </c>
      <c r="M244" s="111" t="s">
        <v>104</v>
      </c>
      <c r="N244" s="111" t="s">
        <v>130</v>
      </c>
      <c r="O244" s="111" t="s">
        <v>131</v>
      </c>
      <c r="P244" s="111" t="s">
        <v>132</v>
      </c>
      <c r="Q244" s="110" t="s">
        <v>133</v>
      </c>
      <c r="R244" s="110" t="s">
        <v>134</v>
      </c>
      <c r="S244" s="111" t="s">
        <v>135</v>
      </c>
      <c r="T244" s="111" t="s">
        <v>136</v>
      </c>
      <c r="U244" s="111" t="s">
        <v>129</v>
      </c>
      <c r="V244" s="118">
        <f t="shared" si="11"/>
        <v>1.7021683064284969E-2</v>
      </c>
      <c r="W244" s="114" t="str">
        <f>IFERROR(I244-AVERAGEIFS(I$6:I243,J$6:J243,"ICIS / Platts",B$6:B243,B244),"")</f>
        <v/>
      </c>
      <c r="X244" s="110" t="s">
        <v>137</v>
      </c>
      <c r="Y244" s="117" t="str">
        <f t="shared" si="10"/>
        <v>OK</v>
      </c>
      <c r="Z244" s="111" t="s">
        <v>116</v>
      </c>
      <c r="AA244" s="111" t="s">
        <v>116</v>
      </c>
      <c r="AB244" s="111" t="s">
        <v>116</v>
      </c>
      <c r="AC244" s="111" t="s">
        <v>115</v>
      </c>
      <c r="AD244" s="111"/>
    </row>
    <row r="245" spans="2:30" ht="27.75" customHeight="1" x14ac:dyDescent="0.25">
      <c r="B245" s="115">
        <v>45345</v>
      </c>
      <c r="C245" s="116" t="s">
        <v>138</v>
      </c>
      <c r="D245" s="116">
        <v>8</v>
      </c>
      <c r="E245" s="110" t="str">
        <f t="shared" si="9"/>
        <v>20240223-240</v>
      </c>
      <c r="F245" s="111" t="s">
        <v>98</v>
      </c>
      <c r="G245" s="111" t="s">
        <v>99</v>
      </c>
      <c r="H245" s="112" t="s">
        <v>432</v>
      </c>
      <c r="I245" s="113">
        <v>525.25</v>
      </c>
      <c r="J245" s="111" t="s">
        <v>139</v>
      </c>
      <c r="K245" s="111" t="s">
        <v>436</v>
      </c>
      <c r="L245" s="111" t="s">
        <v>103</v>
      </c>
      <c r="M245" s="111" t="s">
        <v>104</v>
      </c>
      <c r="N245" s="111" t="s">
        <v>105</v>
      </c>
      <c r="O245" s="111" t="s">
        <v>106</v>
      </c>
      <c r="P245" s="111" t="s">
        <v>141</v>
      </c>
      <c r="Q245" s="110" t="s">
        <v>133</v>
      </c>
      <c r="R245" s="110" t="s">
        <v>142</v>
      </c>
      <c r="S245" s="111" t="s">
        <v>110</v>
      </c>
      <c r="T245" s="111" t="s">
        <v>111</v>
      </c>
      <c r="U245" s="111" t="s">
        <v>103</v>
      </c>
      <c r="V245" s="118">
        <f t="shared" si="11"/>
        <v>-1.021350368402201E-2</v>
      </c>
      <c r="W245" s="114" t="str">
        <f>IFERROR(I245-AVERAGEIFS(I$6:I244,J$6:J244,"ICIS / Platts",B$6:B244,B245),"")</f>
        <v/>
      </c>
      <c r="X245" s="110" t="s">
        <v>125</v>
      </c>
      <c r="Y245" s="117" t="str">
        <f t="shared" si="10"/>
        <v>OK</v>
      </c>
      <c r="Z245" s="111" t="s">
        <v>116</v>
      </c>
      <c r="AA245" s="111" t="s">
        <v>116</v>
      </c>
      <c r="AB245" s="111" t="s">
        <v>116</v>
      </c>
      <c r="AC245" s="111" t="s">
        <v>115</v>
      </c>
      <c r="AD245" s="111"/>
    </row>
    <row r="246" spans="2:30" ht="27.75" customHeight="1" x14ac:dyDescent="0.25">
      <c r="B246" s="108">
        <v>45348</v>
      </c>
      <c r="C246" s="109" t="s">
        <v>97</v>
      </c>
      <c r="D246" s="109">
        <v>9</v>
      </c>
      <c r="E246" s="110" t="str">
        <f t="shared" si="9"/>
        <v>20240226-241</v>
      </c>
      <c r="F246" s="111" t="s">
        <v>98</v>
      </c>
      <c r="G246" s="111" t="s">
        <v>99</v>
      </c>
      <c r="H246" s="112" t="s">
        <v>437</v>
      </c>
      <c r="I246" s="113">
        <v>525</v>
      </c>
      <c r="J246" s="111" t="s">
        <v>101</v>
      </c>
      <c r="K246" s="111" t="s">
        <v>438</v>
      </c>
      <c r="L246" s="111" t="s">
        <v>103</v>
      </c>
      <c r="M246" s="111" t="s">
        <v>104</v>
      </c>
      <c r="N246" s="111" t="s">
        <v>105</v>
      </c>
      <c r="O246" s="111" t="s">
        <v>106</v>
      </c>
      <c r="P246" s="111" t="s">
        <v>107</v>
      </c>
      <c r="Q246" s="110" t="s">
        <v>108</v>
      </c>
      <c r="R246" s="110" t="s">
        <v>109</v>
      </c>
      <c r="S246" s="111" t="s">
        <v>110</v>
      </c>
      <c r="T246" s="111" t="s">
        <v>111</v>
      </c>
      <c r="U246" s="111" t="s">
        <v>103</v>
      </c>
      <c r="V246" s="118">
        <f t="shared" si="11"/>
        <v>-5.681818181818182E-3</v>
      </c>
      <c r="W246" s="114" t="str">
        <f>IFERROR(I246-AVERAGEIFS(I$6:I245,J$6:J245,"ICIS / Platts",B$6:B245,B246),"")</f>
        <v/>
      </c>
      <c r="X246" s="110" t="s">
        <v>113</v>
      </c>
      <c r="Y246" s="117" t="str">
        <f t="shared" si="10"/>
        <v>OK</v>
      </c>
      <c r="Z246" s="111" t="s">
        <v>116</v>
      </c>
      <c r="AA246" s="111" t="s">
        <v>115</v>
      </c>
      <c r="AB246" s="111" t="s">
        <v>116</v>
      </c>
      <c r="AC246" s="111" t="s">
        <v>115</v>
      </c>
      <c r="AD246" s="111"/>
    </row>
    <row r="247" spans="2:30" ht="27.75" customHeight="1" x14ac:dyDescent="0.25">
      <c r="B247" s="115">
        <v>45349</v>
      </c>
      <c r="C247" s="116" t="s">
        <v>117</v>
      </c>
      <c r="D247" s="116">
        <v>9</v>
      </c>
      <c r="E247" s="110" t="str">
        <f t="shared" si="9"/>
        <v>20240227-242</v>
      </c>
      <c r="F247" s="111" t="s">
        <v>98</v>
      </c>
      <c r="G247" s="111" t="s">
        <v>99</v>
      </c>
      <c r="H247" s="112" t="s">
        <v>437</v>
      </c>
      <c r="I247" s="113">
        <v>531.04</v>
      </c>
      <c r="J247" s="111" t="s">
        <v>118</v>
      </c>
      <c r="K247" s="111" t="s">
        <v>439</v>
      </c>
      <c r="L247" s="111" t="s">
        <v>103</v>
      </c>
      <c r="M247" s="111" t="s">
        <v>104</v>
      </c>
      <c r="N247" s="111" t="s">
        <v>120</v>
      </c>
      <c r="O247" s="111" t="s">
        <v>121</v>
      </c>
      <c r="P247" s="111" t="s">
        <v>122</v>
      </c>
      <c r="Q247" s="110" t="s">
        <v>123</v>
      </c>
      <c r="R247" s="110" t="s">
        <v>124</v>
      </c>
      <c r="S247" s="111" t="s">
        <v>110</v>
      </c>
      <c r="T247" s="111" t="s">
        <v>111</v>
      </c>
      <c r="U247" s="111" t="s">
        <v>103</v>
      </c>
      <c r="V247" s="118">
        <f t="shared" si="11"/>
        <v>-1.6319347967027987E-2</v>
      </c>
      <c r="W247" s="114" t="str">
        <f>IFERROR(I247-AVERAGEIFS(I$6:I246,J$6:J246,"ICIS / Platts",B$6:B246,B247),"")</f>
        <v/>
      </c>
      <c r="X247" s="110" t="s">
        <v>125</v>
      </c>
      <c r="Y247" s="117" t="str">
        <f t="shared" si="10"/>
        <v>OK</v>
      </c>
      <c r="Z247" s="111" t="s">
        <v>116</v>
      </c>
      <c r="AA247" s="111" t="s">
        <v>115</v>
      </c>
      <c r="AB247" s="111" t="s">
        <v>116</v>
      </c>
      <c r="AC247" s="111" t="s">
        <v>115</v>
      </c>
      <c r="AD247" s="111"/>
    </row>
    <row r="248" spans="2:30" ht="27.75" customHeight="1" x14ac:dyDescent="0.25">
      <c r="B248" s="108">
        <v>45350</v>
      </c>
      <c r="C248" s="109" t="s">
        <v>126</v>
      </c>
      <c r="D248" s="109">
        <v>9</v>
      </c>
      <c r="E248" s="110" t="str">
        <f t="shared" si="9"/>
        <v>20240228-243</v>
      </c>
      <c r="F248" s="111" t="s">
        <v>98</v>
      </c>
      <c r="G248" s="111" t="s">
        <v>99</v>
      </c>
      <c r="H248" s="112" t="s">
        <v>437</v>
      </c>
      <c r="I248" s="113">
        <v>536.55999999999995</v>
      </c>
      <c r="J248" s="111" t="s">
        <v>127</v>
      </c>
      <c r="K248" s="111" t="s">
        <v>440</v>
      </c>
      <c r="L248" s="111" t="s">
        <v>129</v>
      </c>
      <c r="M248" s="111" t="s">
        <v>104</v>
      </c>
      <c r="N248" s="111" t="s">
        <v>130</v>
      </c>
      <c r="O248" s="111" t="s">
        <v>131</v>
      </c>
      <c r="P248" s="111" t="s">
        <v>132</v>
      </c>
      <c r="Q248" s="110" t="s">
        <v>133</v>
      </c>
      <c r="R248" s="110" t="s">
        <v>134</v>
      </c>
      <c r="S248" s="111" t="s">
        <v>135</v>
      </c>
      <c r="T248" s="111" t="s">
        <v>136</v>
      </c>
      <c r="U248" s="111" t="s">
        <v>129</v>
      </c>
      <c r="V248" s="118">
        <f t="shared" si="11"/>
        <v>7.8893981516265903E-3</v>
      </c>
      <c r="W248" s="114" t="str">
        <f>IFERROR(I248-AVERAGEIFS(I$6:I247,J$6:J247,"ICIS / Platts",B$6:B247,B248),"")</f>
        <v/>
      </c>
      <c r="X248" s="110" t="s">
        <v>137</v>
      </c>
      <c r="Y248" s="117" t="str">
        <f t="shared" si="10"/>
        <v>OK</v>
      </c>
      <c r="Z248" s="111" t="s">
        <v>116</v>
      </c>
      <c r="AA248" s="111" t="s">
        <v>115</v>
      </c>
      <c r="AB248" s="111" t="s">
        <v>116</v>
      </c>
      <c r="AC248" s="111" t="s">
        <v>115</v>
      </c>
      <c r="AD248" s="111"/>
    </row>
    <row r="249" spans="2:30" ht="27.75" customHeight="1" x14ac:dyDescent="0.25">
      <c r="B249" s="115">
        <v>45352</v>
      </c>
      <c r="C249" s="116" t="s">
        <v>138</v>
      </c>
      <c r="D249" s="116">
        <v>9</v>
      </c>
      <c r="E249" s="110" t="str">
        <f t="shared" si="9"/>
        <v>20240301-244</v>
      </c>
      <c r="F249" s="111" t="s">
        <v>98</v>
      </c>
      <c r="G249" s="111" t="s">
        <v>99</v>
      </c>
      <c r="H249" s="112" t="s">
        <v>437</v>
      </c>
      <c r="I249" s="113">
        <v>527.20000000000005</v>
      </c>
      <c r="J249" s="111" t="s">
        <v>139</v>
      </c>
      <c r="K249" s="111" t="s">
        <v>262</v>
      </c>
      <c r="L249" s="111" t="s">
        <v>103</v>
      </c>
      <c r="M249" s="111" t="s">
        <v>104</v>
      </c>
      <c r="N249" s="111" t="s">
        <v>105</v>
      </c>
      <c r="O249" s="111" t="s">
        <v>106</v>
      </c>
      <c r="P249" s="111" t="s">
        <v>141</v>
      </c>
      <c r="Q249" s="110" t="s">
        <v>133</v>
      </c>
      <c r="R249" s="110" t="s">
        <v>142</v>
      </c>
      <c r="S249" s="111" t="s">
        <v>110</v>
      </c>
      <c r="T249" s="111" t="s">
        <v>111</v>
      </c>
      <c r="U249" s="111" t="s">
        <v>103</v>
      </c>
      <c r="V249" s="118">
        <f t="shared" si="11"/>
        <v>3.7125178486435897E-3</v>
      </c>
      <c r="W249" s="114" t="str">
        <f>IFERROR(I249-AVERAGEIFS(I$6:I248,J$6:J248,"ICIS / Platts",B$6:B248,B249),"")</f>
        <v/>
      </c>
      <c r="X249" s="110" t="s">
        <v>125</v>
      </c>
      <c r="Y249" s="117" t="str">
        <f t="shared" si="10"/>
        <v>OK</v>
      </c>
      <c r="Z249" s="111" t="s">
        <v>116</v>
      </c>
      <c r="AA249" s="111" t="s">
        <v>115</v>
      </c>
      <c r="AB249" s="111" t="s">
        <v>116</v>
      </c>
      <c r="AC249" s="111" t="s">
        <v>115</v>
      </c>
      <c r="AD249" s="111"/>
    </row>
    <row r="250" spans="2:30" ht="27.75" customHeight="1" x14ac:dyDescent="0.25">
      <c r="B250" s="108">
        <v>45355</v>
      </c>
      <c r="C250" s="109" t="s">
        <v>97</v>
      </c>
      <c r="D250" s="109">
        <v>10</v>
      </c>
      <c r="E250" s="110" t="str">
        <f t="shared" si="9"/>
        <v>20240304-245</v>
      </c>
      <c r="F250" s="111" t="s">
        <v>98</v>
      </c>
      <c r="G250" s="111" t="s">
        <v>99</v>
      </c>
      <c r="H250" s="112" t="s">
        <v>441</v>
      </c>
      <c r="I250" s="113">
        <v>522</v>
      </c>
      <c r="J250" s="111" t="s">
        <v>101</v>
      </c>
      <c r="K250" s="111" t="s">
        <v>442</v>
      </c>
      <c r="L250" s="111" t="s">
        <v>103</v>
      </c>
      <c r="M250" s="111" t="s">
        <v>104</v>
      </c>
      <c r="N250" s="111" t="s">
        <v>105</v>
      </c>
      <c r="O250" s="111" t="s">
        <v>106</v>
      </c>
      <c r="P250" s="111" t="s">
        <v>107</v>
      </c>
      <c r="Q250" s="110" t="s">
        <v>108</v>
      </c>
      <c r="R250" s="110" t="s">
        <v>109</v>
      </c>
      <c r="S250" s="111" t="s">
        <v>110</v>
      </c>
      <c r="T250" s="111" t="s">
        <v>111</v>
      </c>
      <c r="U250" s="111" t="s">
        <v>103</v>
      </c>
      <c r="V250" s="118">
        <f t="shared" si="11"/>
        <v>-5.7142857142857143E-3</v>
      </c>
      <c r="W250" s="114" t="str">
        <f>IFERROR(I250-AVERAGEIFS(I$6:I249,J$6:J249,"ICIS / Platts",B$6:B249,B250),"")</f>
        <v/>
      </c>
      <c r="X250" s="110" t="s">
        <v>113</v>
      </c>
      <c r="Y250" s="117" t="str">
        <f t="shared" si="10"/>
        <v>OK</v>
      </c>
      <c r="Z250" s="111" t="s">
        <v>116</v>
      </c>
      <c r="AA250" s="111" t="s">
        <v>115</v>
      </c>
      <c r="AB250" s="111" t="s">
        <v>116</v>
      </c>
      <c r="AC250" s="111" t="s">
        <v>115</v>
      </c>
      <c r="AD250" s="111"/>
    </row>
    <row r="251" spans="2:30" ht="27.75" customHeight="1" x14ac:dyDescent="0.25">
      <c r="B251" s="115">
        <v>45356</v>
      </c>
      <c r="C251" s="116" t="s">
        <v>117</v>
      </c>
      <c r="D251" s="116">
        <v>10</v>
      </c>
      <c r="E251" s="110" t="str">
        <f t="shared" si="9"/>
        <v>20240305-246</v>
      </c>
      <c r="F251" s="111" t="s">
        <v>98</v>
      </c>
      <c r="G251" s="111" t="s">
        <v>99</v>
      </c>
      <c r="H251" s="112" t="s">
        <v>441</v>
      </c>
      <c r="I251" s="113">
        <v>540.16</v>
      </c>
      <c r="J251" s="111" t="s">
        <v>118</v>
      </c>
      <c r="K251" s="111" t="s">
        <v>443</v>
      </c>
      <c r="L251" s="111" t="s">
        <v>103</v>
      </c>
      <c r="M251" s="111" t="s">
        <v>104</v>
      </c>
      <c r="N251" s="111" t="s">
        <v>120</v>
      </c>
      <c r="O251" s="111" t="s">
        <v>121</v>
      </c>
      <c r="P251" s="111" t="s">
        <v>122</v>
      </c>
      <c r="Q251" s="110" t="s">
        <v>123</v>
      </c>
      <c r="R251" s="110" t="s">
        <v>124</v>
      </c>
      <c r="S251" s="111" t="s">
        <v>110</v>
      </c>
      <c r="T251" s="111" t="s">
        <v>111</v>
      </c>
      <c r="U251" s="111" t="s">
        <v>103</v>
      </c>
      <c r="V251" s="118">
        <f t="shared" si="11"/>
        <v>1.7173847544441106E-2</v>
      </c>
      <c r="W251" s="114" t="str">
        <f>IFERROR(I251-AVERAGEIFS(I$6:I250,J$6:J250,"ICIS / Platts",B$6:B250,B251),"")</f>
        <v/>
      </c>
      <c r="X251" s="110" t="s">
        <v>125</v>
      </c>
      <c r="Y251" s="117" t="str">
        <f t="shared" si="10"/>
        <v>OK</v>
      </c>
      <c r="Z251" s="111" t="s">
        <v>116</v>
      </c>
      <c r="AA251" s="111" t="s">
        <v>115</v>
      </c>
      <c r="AB251" s="111" t="s">
        <v>116</v>
      </c>
      <c r="AC251" s="111" t="s">
        <v>115</v>
      </c>
      <c r="AD251" s="111"/>
    </row>
    <row r="252" spans="2:30" ht="27.75" customHeight="1" x14ac:dyDescent="0.25">
      <c r="B252" s="108">
        <v>45357</v>
      </c>
      <c r="C252" s="109" t="s">
        <v>126</v>
      </c>
      <c r="D252" s="109">
        <v>10</v>
      </c>
      <c r="E252" s="110" t="str">
        <f t="shared" si="9"/>
        <v>20240306-247</v>
      </c>
      <c r="F252" s="111" t="s">
        <v>98</v>
      </c>
      <c r="G252" s="111" t="s">
        <v>99</v>
      </c>
      <c r="H252" s="112" t="s">
        <v>441</v>
      </c>
      <c r="I252" s="113">
        <v>531.66</v>
      </c>
      <c r="J252" s="111" t="s">
        <v>127</v>
      </c>
      <c r="K252" s="111" t="s">
        <v>444</v>
      </c>
      <c r="L252" s="111" t="s">
        <v>129</v>
      </c>
      <c r="M252" s="111" t="s">
        <v>104</v>
      </c>
      <c r="N252" s="111" t="s">
        <v>130</v>
      </c>
      <c r="O252" s="111" t="s">
        <v>131</v>
      </c>
      <c r="P252" s="111" t="s">
        <v>132</v>
      </c>
      <c r="Q252" s="110" t="s">
        <v>133</v>
      </c>
      <c r="R252" s="110" t="s">
        <v>134</v>
      </c>
      <c r="S252" s="111" t="s">
        <v>135</v>
      </c>
      <c r="T252" s="111" t="s">
        <v>136</v>
      </c>
      <c r="U252" s="111" t="s">
        <v>129</v>
      </c>
      <c r="V252" s="118">
        <f t="shared" si="11"/>
        <v>-9.132249888176491E-3</v>
      </c>
      <c r="W252" s="114" t="str">
        <f>IFERROR(I252-AVERAGEIFS(I$6:I251,J$6:J251,"ICIS / Platts",B$6:B251,B252),"")</f>
        <v/>
      </c>
      <c r="X252" s="110" t="s">
        <v>137</v>
      </c>
      <c r="Y252" s="117" t="str">
        <f t="shared" si="10"/>
        <v>OK</v>
      </c>
      <c r="Z252" s="111" t="s">
        <v>116</v>
      </c>
      <c r="AA252" s="111" t="s">
        <v>115</v>
      </c>
      <c r="AB252" s="111" t="s">
        <v>116</v>
      </c>
      <c r="AC252" s="111" t="s">
        <v>115</v>
      </c>
      <c r="AD252" s="111"/>
    </row>
    <row r="253" spans="2:30" ht="27.75" customHeight="1" x14ac:dyDescent="0.25">
      <c r="B253" s="115">
        <v>45359</v>
      </c>
      <c r="C253" s="116" t="s">
        <v>138</v>
      </c>
      <c r="D253" s="116">
        <v>10</v>
      </c>
      <c r="E253" s="110" t="str">
        <f t="shared" si="9"/>
        <v>20240308-248</v>
      </c>
      <c r="F253" s="111" t="s">
        <v>98</v>
      </c>
      <c r="G253" s="111" t="s">
        <v>99</v>
      </c>
      <c r="H253" s="112" t="s">
        <v>441</v>
      </c>
      <c r="I253" s="113">
        <v>531.79999999999995</v>
      </c>
      <c r="J253" s="111" t="s">
        <v>139</v>
      </c>
      <c r="K253" s="111" t="s">
        <v>445</v>
      </c>
      <c r="L253" s="111" t="s">
        <v>103</v>
      </c>
      <c r="M253" s="111" t="s">
        <v>104</v>
      </c>
      <c r="N253" s="111" t="s">
        <v>105</v>
      </c>
      <c r="O253" s="111" t="s">
        <v>106</v>
      </c>
      <c r="P253" s="111" t="s">
        <v>141</v>
      </c>
      <c r="Q253" s="110" t="s">
        <v>133</v>
      </c>
      <c r="R253" s="110" t="s">
        <v>142</v>
      </c>
      <c r="S253" s="111" t="s">
        <v>110</v>
      </c>
      <c r="T253" s="111" t="s">
        <v>111</v>
      </c>
      <c r="U253" s="111" t="s">
        <v>103</v>
      </c>
      <c r="V253" s="118">
        <f t="shared" si="11"/>
        <v>8.7253414264034691E-3</v>
      </c>
      <c r="W253" s="114" t="str">
        <f>IFERROR(I253-AVERAGEIFS(I$6:I252,J$6:J252,"ICIS / Platts",B$6:B252,B253),"")</f>
        <v/>
      </c>
      <c r="X253" s="110" t="s">
        <v>125</v>
      </c>
      <c r="Y253" s="117" t="str">
        <f t="shared" si="10"/>
        <v>OK</v>
      </c>
      <c r="Z253" s="111" t="s">
        <v>116</v>
      </c>
      <c r="AA253" s="111" t="s">
        <v>115</v>
      </c>
      <c r="AB253" s="111" t="s">
        <v>116</v>
      </c>
      <c r="AC253" s="111" t="s">
        <v>115</v>
      </c>
      <c r="AD253" s="111"/>
    </row>
    <row r="254" spans="2:30" ht="27.75" customHeight="1" x14ac:dyDescent="0.25">
      <c r="B254" s="108">
        <v>45362</v>
      </c>
      <c r="C254" s="109" t="s">
        <v>97</v>
      </c>
      <c r="D254" s="109">
        <v>11</v>
      </c>
      <c r="E254" s="110" t="str">
        <f t="shared" si="9"/>
        <v>20240311-249</v>
      </c>
      <c r="F254" s="111" t="s">
        <v>98</v>
      </c>
      <c r="G254" s="111" t="s">
        <v>99</v>
      </c>
      <c r="H254" s="112" t="s">
        <v>446</v>
      </c>
      <c r="I254" s="113">
        <v>520</v>
      </c>
      <c r="J254" s="111" t="s">
        <v>101</v>
      </c>
      <c r="K254" s="111" t="s">
        <v>447</v>
      </c>
      <c r="L254" s="111" t="s">
        <v>103</v>
      </c>
      <c r="M254" s="111" t="s">
        <v>104</v>
      </c>
      <c r="N254" s="111" t="s">
        <v>105</v>
      </c>
      <c r="O254" s="111" t="s">
        <v>106</v>
      </c>
      <c r="P254" s="111" t="s">
        <v>107</v>
      </c>
      <c r="Q254" s="110" t="s">
        <v>108</v>
      </c>
      <c r="R254" s="110" t="s">
        <v>109</v>
      </c>
      <c r="S254" s="111" t="s">
        <v>110</v>
      </c>
      <c r="T254" s="111" t="s">
        <v>111</v>
      </c>
      <c r="U254" s="111" t="s">
        <v>103</v>
      </c>
      <c r="V254" s="118">
        <f t="shared" si="11"/>
        <v>-3.8314176245210726E-3</v>
      </c>
      <c r="W254" s="114" t="str">
        <f>IFERROR(I254-AVERAGEIFS(I$6:I253,J$6:J253,"ICIS / Platts",B$6:B253,B254),"")</f>
        <v/>
      </c>
      <c r="X254" s="110" t="s">
        <v>113</v>
      </c>
      <c r="Y254" s="117" t="str">
        <f t="shared" si="10"/>
        <v>OK</v>
      </c>
      <c r="Z254" s="111" t="s">
        <v>116</v>
      </c>
      <c r="AA254" s="111" t="s">
        <v>115</v>
      </c>
      <c r="AB254" s="111" t="s">
        <v>115</v>
      </c>
      <c r="AC254" s="111" t="s">
        <v>116</v>
      </c>
      <c r="AD254" s="111"/>
    </row>
    <row r="255" spans="2:30" ht="27.75" customHeight="1" x14ac:dyDescent="0.25">
      <c r="B255" s="115">
        <v>45363</v>
      </c>
      <c r="C255" s="116" t="s">
        <v>117</v>
      </c>
      <c r="D255" s="116">
        <v>11</v>
      </c>
      <c r="E255" s="110" t="str">
        <f t="shared" si="9"/>
        <v>20240312-250</v>
      </c>
      <c r="F255" s="111" t="s">
        <v>98</v>
      </c>
      <c r="G255" s="111" t="s">
        <v>99</v>
      </c>
      <c r="H255" s="112" t="s">
        <v>446</v>
      </c>
      <c r="I255" s="113">
        <v>538.09</v>
      </c>
      <c r="J255" s="111" t="s">
        <v>118</v>
      </c>
      <c r="K255" s="111" t="s">
        <v>448</v>
      </c>
      <c r="L255" s="111" t="s">
        <v>103</v>
      </c>
      <c r="M255" s="111" t="s">
        <v>104</v>
      </c>
      <c r="N255" s="111" t="s">
        <v>120</v>
      </c>
      <c r="O255" s="111" t="s">
        <v>121</v>
      </c>
      <c r="P255" s="111" t="s">
        <v>122</v>
      </c>
      <c r="Q255" s="110" t="s">
        <v>123</v>
      </c>
      <c r="R255" s="110" t="s">
        <v>124</v>
      </c>
      <c r="S255" s="111" t="s">
        <v>110</v>
      </c>
      <c r="T255" s="111" t="s">
        <v>111</v>
      </c>
      <c r="U255" s="111" t="s">
        <v>103</v>
      </c>
      <c r="V255" s="118">
        <f t="shared" si="11"/>
        <v>-3.8321978672984608E-3</v>
      </c>
      <c r="W255" s="114" t="str">
        <f>IFERROR(I255-AVERAGEIFS(I$6:I254,J$6:J254,"ICIS / Platts",B$6:B254,B255),"")</f>
        <v/>
      </c>
      <c r="X255" s="110" t="s">
        <v>125</v>
      </c>
      <c r="Y255" s="117" t="str">
        <f t="shared" si="10"/>
        <v>OK</v>
      </c>
      <c r="Z255" s="111" t="s">
        <v>116</v>
      </c>
      <c r="AA255" s="111" t="s">
        <v>115</v>
      </c>
      <c r="AB255" s="111" t="s">
        <v>115</v>
      </c>
      <c r="AC255" s="111" t="s">
        <v>116</v>
      </c>
      <c r="AD255" s="111"/>
    </row>
    <row r="256" spans="2:30" ht="27.75" customHeight="1" x14ac:dyDescent="0.25">
      <c r="B256" s="108">
        <v>45364</v>
      </c>
      <c r="C256" s="109" t="s">
        <v>126</v>
      </c>
      <c r="D256" s="109">
        <v>11</v>
      </c>
      <c r="E256" s="110" t="str">
        <f t="shared" si="9"/>
        <v>20240313-251</v>
      </c>
      <c r="F256" s="111" t="s">
        <v>98</v>
      </c>
      <c r="G256" s="111" t="s">
        <v>99</v>
      </c>
      <c r="H256" s="112" t="s">
        <v>446</v>
      </c>
      <c r="I256" s="113">
        <v>530.5</v>
      </c>
      <c r="J256" s="111" t="s">
        <v>127</v>
      </c>
      <c r="K256" s="111" t="s">
        <v>449</v>
      </c>
      <c r="L256" s="111" t="s">
        <v>129</v>
      </c>
      <c r="M256" s="111" t="s">
        <v>104</v>
      </c>
      <c r="N256" s="111" t="s">
        <v>130</v>
      </c>
      <c r="O256" s="111" t="s">
        <v>131</v>
      </c>
      <c r="P256" s="111" t="s">
        <v>132</v>
      </c>
      <c r="Q256" s="110" t="s">
        <v>133</v>
      </c>
      <c r="R256" s="110" t="s">
        <v>134</v>
      </c>
      <c r="S256" s="111" t="s">
        <v>135</v>
      </c>
      <c r="T256" s="111" t="s">
        <v>136</v>
      </c>
      <c r="U256" s="111" t="s">
        <v>129</v>
      </c>
      <c r="V256" s="118">
        <f t="shared" si="11"/>
        <v>-2.1818455403828916E-3</v>
      </c>
      <c r="W256" s="114" t="str">
        <f>IFERROR(I256-AVERAGEIFS(I$6:I255,J$6:J255,"ICIS / Platts",B$6:B255,B256),"")</f>
        <v/>
      </c>
      <c r="X256" s="110" t="s">
        <v>137</v>
      </c>
      <c r="Y256" s="117" t="str">
        <f t="shared" si="10"/>
        <v>OK</v>
      </c>
      <c r="Z256" s="111" t="s">
        <v>116</v>
      </c>
      <c r="AA256" s="111" t="s">
        <v>115</v>
      </c>
      <c r="AB256" s="111" t="s">
        <v>115</v>
      </c>
      <c r="AC256" s="111" t="s">
        <v>116</v>
      </c>
      <c r="AD256" s="111"/>
    </row>
    <row r="257" spans="2:30" ht="27.75" customHeight="1" x14ac:dyDescent="0.25">
      <c r="B257" s="115">
        <v>45366</v>
      </c>
      <c r="C257" s="116" t="s">
        <v>138</v>
      </c>
      <c r="D257" s="116">
        <v>11</v>
      </c>
      <c r="E257" s="110" t="str">
        <f t="shared" si="9"/>
        <v>20240315-252</v>
      </c>
      <c r="F257" s="111" t="s">
        <v>98</v>
      </c>
      <c r="G257" s="111" t="s">
        <v>99</v>
      </c>
      <c r="H257" s="112" t="s">
        <v>446</v>
      </c>
      <c r="I257" s="113">
        <v>529.99</v>
      </c>
      <c r="J257" s="111" t="s">
        <v>139</v>
      </c>
      <c r="K257" s="111" t="s">
        <v>450</v>
      </c>
      <c r="L257" s="111" t="s">
        <v>103</v>
      </c>
      <c r="M257" s="111" t="s">
        <v>104</v>
      </c>
      <c r="N257" s="111" t="s">
        <v>105</v>
      </c>
      <c r="O257" s="111" t="s">
        <v>106</v>
      </c>
      <c r="P257" s="111" t="s">
        <v>141</v>
      </c>
      <c r="Q257" s="110" t="s">
        <v>133</v>
      </c>
      <c r="R257" s="110" t="s">
        <v>142</v>
      </c>
      <c r="S257" s="111" t="s">
        <v>110</v>
      </c>
      <c r="T257" s="111" t="s">
        <v>111</v>
      </c>
      <c r="U257" s="111" t="s">
        <v>103</v>
      </c>
      <c r="V257" s="118">
        <f t="shared" si="11"/>
        <v>-3.4035351635952342E-3</v>
      </c>
      <c r="W257" s="114" t="str">
        <f>IFERROR(I257-AVERAGEIFS(I$6:I256,J$6:J256,"ICIS / Platts",B$6:B256,B257),"")</f>
        <v/>
      </c>
      <c r="X257" s="110" t="s">
        <v>125</v>
      </c>
      <c r="Y257" s="117" t="str">
        <f t="shared" si="10"/>
        <v>OK</v>
      </c>
      <c r="Z257" s="111" t="s">
        <v>116</v>
      </c>
      <c r="AA257" s="111" t="s">
        <v>115</v>
      </c>
      <c r="AB257" s="111" t="s">
        <v>115</v>
      </c>
      <c r="AC257" s="111" t="s">
        <v>116</v>
      </c>
      <c r="AD257" s="111"/>
    </row>
    <row r="258" spans="2:30" ht="27.75" customHeight="1" x14ac:dyDescent="0.25">
      <c r="B258" s="108">
        <v>45369</v>
      </c>
      <c r="C258" s="109" t="s">
        <v>97</v>
      </c>
      <c r="D258" s="109">
        <v>12</v>
      </c>
      <c r="E258" s="110" t="str">
        <f t="shared" si="9"/>
        <v>20240318-253</v>
      </c>
      <c r="F258" s="111" t="s">
        <v>98</v>
      </c>
      <c r="G258" s="111" t="s">
        <v>99</v>
      </c>
      <c r="H258" s="112" t="s">
        <v>451</v>
      </c>
      <c r="I258" s="113">
        <v>518</v>
      </c>
      <c r="J258" s="111" t="s">
        <v>101</v>
      </c>
      <c r="K258" s="111" t="s">
        <v>452</v>
      </c>
      <c r="L258" s="111" t="s">
        <v>103</v>
      </c>
      <c r="M258" s="111" t="s">
        <v>104</v>
      </c>
      <c r="N258" s="111" t="s">
        <v>105</v>
      </c>
      <c r="O258" s="111" t="s">
        <v>106</v>
      </c>
      <c r="P258" s="111" t="s">
        <v>107</v>
      </c>
      <c r="Q258" s="110" t="s">
        <v>108</v>
      </c>
      <c r="R258" s="110" t="s">
        <v>109</v>
      </c>
      <c r="S258" s="111" t="s">
        <v>110</v>
      </c>
      <c r="T258" s="111" t="s">
        <v>111</v>
      </c>
      <c r="U258" s="111" t="s">
        <v>103</v>
      </c>
      <c r="V258" s="118">
        <f t="shared" si="11"/>
        <v>-3.8461538461538464E-3</v>
      </c>
      <c r="W258" s="114" t="str">
        <f>IFERROR(I258-AVERAGEIFS(I$6:I257,J$6:J257,"ICIS / Platts",B$6:B257,B258),"")</f>
        <v/>
      </c>
      <c r="X258" s="110" t="s">
        <v>113</v>
      </c>
      <c r="Y258" s="117" t="str">
        <f t="shared" si="10"/>
        <v>OK</v>
      </c>
      <c r="Z258" s="111" t="s">
        <v>116</v>
      </c>
      <c r="AA258" s="111" t="s">
        <v>115</v>
      </c>
      <c r="AB258" s="111" t="s">
        <v>115</v>
      </c>
      <c r="AC258" s="111" t="s">
        <v>116</v>
      </c>
      <c r="AD258" s="111"/>
    </row>
    <row r="259" spans="2:30" ht="27.75" customHeight="1" x14ac:dyDescent="0.25">
      <c r="B259" s="115">
        <v>45370</v>
      </c>
      <c r="C259" s="116" t="s">
        <v>117</v>
      </c>
      <c r="D259" s="116">
        <v>12</v>
      </c>
      <c r="E259" s="110" t="str">
        <f t="shared" si="9"/>
        <v>20240319-254</v>
      </c>
      <c r="F259" s="111" t="s">
        <v>98</v>
      </c>
      <c r="G259" s="111" t="s">
        <v>99</v>
      </c>
      <c r="H259" s="112" t="s">
        <v>451</v>
      </c>
      <c r="I259" s="113">
        <v>524.98</v>
      </c>
      <c r="J259" s="111" t="s">
        <v>118</v>
      </c>
      <c r="K259" s="111" t="s">
        <v>453</v>
      </c>
      <c r="L259" s="111" t="s">
        <v>103</v>
      </c>
      <c r="M259" s="111" t="s">
        <v>104</v>
      </c>
      <c r="N259" s="111" t="s">
        <v>120</v>
      </c>
      <c r="O259" s="111" t="s">
        <v>121</v>
      </c>
      <c r="P259" s="111" t="s">
        <v>122</v>
      </c>
      <c r="Q259" s="110" t="s">
        <v>123</v>
      </c>
      <c r="R259" s="110" t="s">
        <v>124</v>
      </c>
      <c r="S259" s="111" t="s">
        <v>110</v>
      </c>
      <c r="T259" s="111" t="s">
        <v>111</v>
      </c>
      <c r="U259" s="111" t="s">
        <v>103</v>
      </c>
      <c r="V259" s="118">
        <f t="shared" si="11"/>
        <v>-2.4363953985392803E-2</v>
      </c>
      <c r="W259" s="114" t="str">
        <f>IFERROR(I259-AVERAGEIFS(I$6:I258,J$6:J258,"ICIS / Platts",B$6:B258,B259),"")</f>
        <v/>
      </c>
      <c r="X259" s="110" t="s">
        <v>125</v>
      </c>
      <c r="Y259" s="117" t="str">
        <f t="shared" si="10"/>
        <v>OK</v>
      </c>
      <c r="Z259" s="111" t="s">
        <v>116</v>
      </c>
      <c r="AA259" s="111" t="s">
        <v>115</v>
      </c>
      <c r="AB259" s="111" t="s">
        <v>115</v>
      </c>
      <c r="AC259" s="111" t="s">
        <v>116</v>
      </c>
      <c r="AD259" s="111"/>
    </row>
    <row r="260" spans="2:30" ht="27.75" customHeight="1" x14ac:dyDescent="0.25">
      <c r="B260" s="108">
        <v>45371</v>
      </c>
      <c r="C260" s="109" t="s">
        <v>126</v>
      </c>
      <c r="D260" s="109">
        <v>12</v>
      </c>
      <c r="E260" s="110" t="str">
        <f t="shared" si="9"/>
        <v>20240320-255</v>
      </c>
      <c r="F260" s="111" t="s">
        <v>98</v>
      </c>
      <c r="G260" s="111" t="s">
        <v>99</v>
      </c>
      <c r="H260" s="112" t="s">
        <v>451</v>
      </c>
      <c r="I260" s="113">
        <v>516.78</v>
      </c>
      <c r="J260" s="111" t="s">
        <v>127</v>
      </c>
      <c r="K260" s="111" t="s">
        <v>454</v>
      </c>
      <c r="L260" s="111" t="s">
        <v>129</v>
      </c>
      <c r="M260" s="111" t="s">
        <v>104</v>
      </c>
      <c r="N260" s="111" t="s">
        <v>130</v>
      </c>
      <c r="O260" s="111" t="s">
        <v>131</v>
      </c>
      <c r="P260" s="111" t="s">
        <v>132</v>
      </c>
      <c r="Q260" s="110" t="s">
        <v>133</v>
      </c>
      <c r="R260" s="110" t="s">
        <v>134</v>
      </c>
      <c r="S260" s="111" t="s">
        <v>135</v>
      </c>
      <c r="T260" s="111" t="s">
        <v>136</v>
      </c>
      <c r="U260" s="111" t="s">
        <v>129</v>
      </c>
      <c r="V260" s="118">
        <f t="shared" si="11"/>
        <v>-2.5862393967954811E-2</v>
      </c>
      <c r="W260" s="114" t="str">
        <f>IFERROR(I260-AVERAGEIFS(I$6:I259,J$6:J259,"ICIS / Platts",B$6:B259,B260),"")</f>
        <v/>
      </c>
      <c r="X260" s="110" t="s">
        <v>137</v>
      </c>
      <c r="Y260" s="117" t="str">
        <f t="shared" si="10"/>
        <v>OK</v>
      </c>
      <c r="Z260" s="111" t="s">
        <v>116</v>
      </c>
      <c r="AA260" s="111" t="s">
        <v>115</v>
      </c>
      <c r="AB260" s="111" t="s">
        <v>115</v>
      </c>
      <c r="AC260" s="111" t="s">
        <v>116</v>
      </c>
      <c r="AD260" s="111"/>
    </row>
    <row r="261" spans="2:30" ht="27.75" customHeight="1" x14ac:dyDescent="0.25">
      <c r="B261" s="115">
        <v>45373</v>
      </c>
      <c r="C261" s="116" t="s">
        <v>138</v>
      </c>
      <c r="D261" s="116">
        <v>12</v>
      </c>
      <c r="E261" s="110" t="str">
        <f t="shared" si="9"/>
        <v>20240322-256</v>
      </c>
      <c r="F261" s="111" t="s">
        <v>98</v>
      </c>
      <c r="G261" s="111" t="s">
        <v>99</v>
      </c>
      <c r="H261" s="112" t="s">
        <v>451</v>
      </c>
      <c r="I261" s="113">
        <v>514.69000000000005</v>
      </c>
      <c r="J261" s="111" t="s">
        <v>139</v>
      </c>
      <c r="K261" s="111" t="s">
        <v>455</v>
      </c>
      <c r="L261" s="111" t="s">
        <v>103</v>
      </c>
      <c r="M261" s="111" t="s">
        <v>104</v>
      </c>
      <c r="N261" s="111" t="s">
        <v>105</v>
      </c>
      <c r="O261" s="111" t="s">
        <v>106</v>
      </c>
      <c r="P261" s="111" t="s">
        <v>141</v>
      </c>
      <c r="Q261" s="110" t="s">
        <v>133</v>
      </c>
      <c r="R261" s="110" t="s">
        <v>142</v>
      </c>
      <c r="S261" s="111" t="s">
        <v>110</v>
      </c>
      <c r="T261" s="111" t="s">
        <v>111</v>
      </c>
      <c r="U261" s="111" t="s">
        <v>103</v>
      </c>
      <c r="V261" s="118">
        <f t="shared" si="11"/>
        <v>-2.8868469216400221E-2</v>
      </c>
      <c r="W261" s="114" t="str">
        <f>IFERROR(I261-AVERAGEIFS(I$6:I260,J$6:J260,"ICIS / Platts",B$6:B260,B261),"")</f>
        <v/>
      </c>
      <c r="X261" s="110" t="s">
        <v>125</v>
      </c>
      <c r="Y261" s="117" t="str">
        <f t="shared" si="10"/>
        <v>OK</v>
      </c>
      <c r="Z261" s="111" t="s">
        <v>116</v>
      </c>
      <c r="AA261" s="111" t="s">
        <v>115</v>
      </c>
      <c r="AB261" s="111" t="s">
        <v>115</v>
      </c>
      <c r="AC261" s="111" t="s">
        <v>116</v>
      </c>
      <c r="AD261" s="111"/>
    </row>
    <row r="262" spans="2:30" ht="27.75" customHeight="1" x14ac:dyDescent="0.25">
      <c r="B262" s="108">
        <v>45376</v>
      </c>
      <c r="C262" s="109" t="s">
        <v>97</v>
      </c>
      <c r="D262" s="109">
        <v>13</v>
      </c>
      <c r="E262" s="110" t="str">
        <f t="shared" ref="E262:E325" si="12">TEXT(B262,"YYYYMMDD")&amp;"-"&amp;TEXT(ROW()-5,"000")</f>
        <v>20240325-257</v>
      </c>
      <c r="F262" s="111" t="s">
        <v>98</v>
      </c>
      <c r="G262" s="111" t="s">
        <v>99</v>
      </c>
      <c r="H262" s="112" t="s">
        <v>456</v>
      </c>
      <c r="I262" s="113">
        <v>522</v>
      </c>
      <c r="J262" s="111" t="s">
        <v>101</v>
      </c>
      <c r="K262" s="111" t="s">
        <v>457</v>
      </c>
      <c r="L262" s="111" t="s">
        <v>103</v>
      </c>
      <c r="M262" s="111" t="s">
        <v>104</v>
      </c>
      <c r="N262" s="111" t="s">
        <v>105</v>
      </c>
      <c r="O262" s="111" t="s">
        <v>106</v>
      </c>
      <c r="P262" s="111" t="s">
        <v>107</v>
      </c>
      <c r="Q262" s="110" t="s">
        <v>108</v>
      </c>
      <c r="R262" s="110" t="s">
        <v>109</v>
      </c>
      <c r="S262" s="111" t="s">
        <v>110</v>
      </c>
      <c r="T262" s="111" t="s">
        <v>111</v>
      </c>
      <c r="U262" s="111" t="s">
        <v>103</v>
      </c>
      <c r="V262" s="118">
        <f t="shared" si="11"/>
        <v>7.7220077220077222E-3</v>
      </c>
      <c r="W262" s="114" t="str">
        <f>IFERROR(I262-AVERAGEIFS(I$6:I261,J$6:J261,"ICIS / Platts",B$6:B261,B262),"")</f>
        <v/>
      </c>
      <c r="X262" s="110" t="s">
        <v>113</v>
      </c>
      <c r="Y262" s="117" t="str">
        <f t="shared" si="10"/>
        <v>OK</v>
      </c>
      <c r="Z262" s="111" t="s">
        <v>116</v>
      </c>
      <c r="AA262" s="111" t="s">
        <v>115</v>
      </c>
      <c r="AB262" s="111" t="s">
        <v>115</v>
      </c>
      <c r="AC262" s="111" t="s">
        <v>115</v>
      </c>
      <c r="AD262" s="111"/>
    </row>
    <row r="263" spans="2:30" ht="27.75" customHeight="1" x14ac:dyDescent="0.25">
      <c r="B263" s="115">
        <v>45377</v>
      </c>
      <c r="C263" s="116" t="s">
        <v>117</v>
      </c>
      <c r="D263" s="116">
        <v>13</v>
      </c>
      <c r="E263" s="110" t="str">
        <f t="shared" si="12"/>
        <v>20240326-258</v>
      </c>
      <c r="F263" s="111" t="s">
        <v>98</v>
      </c>
      <c r="G263" s="111" t="s">
        <v>99</v>
      </c>
      <c r="H263" s="112" t="s">
        <v>456</v>
      </c>
      <c r="I263" s="113">
        <v>537.78</v>
      </c>
      <c r="J263" s="111" t="s">
        <v>118</v>
      </c>
      <c r="K263" s="111" t="s">
        <v>458</v>
      </c>
      <c r="L263" s="111" t="s">
        <v>103</v>
      </c>
      <c r="M263" s="111" t="s">
        <v>104</v>
      </c>
      <c r="N263" s="111" t="s">
        <v>120</v>
      </c>
      <c r="O263" s="111" t="s">
        <v>121</v>
      </c>
      <c r="P263" s="111" t="s">
        <v>122</v>
      </c>
      <c r="Q263" s="110" t="s">
        <v>123</v>
      </c>
      <c r="R263" s="110" t="s">
        <v>124</v>
      </c>
      <c r="S263" s="111" t="s">
        <v>110</v>
      </c>
      <c r="T263" s="111" t="s">
        <v>111</v>
      </c>
      <c r="U263" s="111" t="s">
        <v>103</v>
      </c>
      <c r="V263" s="118">
        <f t="shared" si="11"/>
        <v>2.438188121452237E-2</v>
      </c>
      <c r="W263" s="114" t="str">
        <f>IFERROR(I263-AVERAGEIFS(I$6:I262,J$6:J262,"ICIS / Platts",B$6:B262,B263),"")</f>
        <v/>
      </c>
      <c r="X263" s="110" t="s">
        <v>125</v>
      </c>
      <c r="Y263" s="117" t="str">
        <f t="shared" si="10"/>
        <v>OK</v>
      </c>
      <c r="Z263" s="111" t="s">
        <v>116</v>
      </c>
      <c r="AA263" s="111" t="s">
        <v>115</v>
      </c>
      <c r="AB263" s="111" t="s">
        <v>115</v>
      </c>
      <c r="AC263" s="111" t="s">
        <v>115</v>
      </c>
      <c r="AD263" s="111"/>
    </row>
    <row r="264" spans="2:30" ht="27.75" customHeight="1" x14ac:dyDescent="0.25">
      <c r="B264" s="108">
        <v>45378</v>
      </c>
      <c r="C264" s="109" t="s">
        <v>126</v>
      </c>
      <c r="D264" s="109">
        <v>13</v>
      </c>
      <c r="E264" s="110" t="str">
        <f t="shared" si="12"/>
        <v>20240327-259</v>
      </c>
      <c r="F264" s="111" t="s">
        <v>98</v>
      </c>
      <c r="G264" s="111" t="s">
        <v>99</v>
      </c>
      <c r="H264" s="112" t="s">
        <v>456</v>
      </c>
      <c r="I264" s="113">
        <v>521.61</v>
      </c>
      <c r="J264" s="111" t="s">
        <v>127</v>
      </c>
      <c r="K264" s="111" t="s">
        <v>459</v>
      </c>
      <c r="L264" s="111" t="s">
        <v>129</v>
      </c>
      <c r="M264" s="111" t="s">
        <v>104</v>
      </c>
      <c r="N264" s="111" t="s">
        <v>130</v>
      </c>
      <c r="O264" s="111" t="s">
        <v>131</v>
      </c>
      <c r="P264" s="111" t="s">
        <v>132</v>
      </c>
      <c r="Q264" s="110" t="s">
        <v>133</v>
      </c>
      <c r="R264" s="110" t="s">
        <v>134</v>
      </c>
      <c r="S264" s="111" t="s">
        <v>135</v>
      </c>
      <c r="T264" s="111" t="s">
        <v>136</v>
      </c>
      <c r="U264" s="111" t="s">
        <v>129</v>
      </c>
      <c r="V264" s="118">
        <f t="shared" si="11"/>
        <v>9.3463369325439086E-3</v>
      </c>
      <c r="W264" s="114" t="str">
        <f>IFERROR(I264-AVERAGEIFS(I$6:I263,J$6:J263,"ICIS / Platts",B$6:B263,B264),"")</f>
        <v/>
      </c>
      <c r="X264" s="110" t="s">
        <v>137</v>
      </c>
      <c r="Y264" s="117" t="str">
        <f t="shared" si="10"/>
        <v>OK</v>
      </c>
      <c r="Z264" s="111" t="s">
        <v>116</v>
      </c>
      <c r="AA264" s="111" t="s">
        <v>115</v>
      </c>
      <c r="AB264" s="111" t="s">
        <v>115</v>
      </c>
      <c r="AC264" s="111" t="s">
        <v>115</v>
      </c>
      <c r="AD264" s="111"/>
    </row>
    <row r="265" spans="2:30" ht="27.75" customHeight="1" x14ac:dyDescent="0.25">
      <c r="B265" s="115">
        <v>45380</v>
      </c>
      <c r="C265" s="116" t="s">
        <v>138</v>
      </c>
      <c r="D265" s="116">
        <v>13</v>
      </c>
      <c r="E265" s="110" t="str">
        <f t="shared" si="12"/>
        <v>20240329-260</v>
      </c>
      <c r="F265" s="111" t="s">
        <v>98</v>
      </c>
      <c r="G265" s="111" t="s">
        <v>99</v>
      </c>
      <c r="H265" s="112" t="s">
        <v>456</v>
      </c>
      <c r="I265" s="113">
        <v>522.35</v>
      </c>
      <c r="J265" s="111" t="s">
        <v>139</v>
      </c>
      <c r="K265" s="111" t="s">
        <v>460</v>
      </c>
      <c r="L265" s="111" t="s">
        <v>103</v>
      </c>
      <c r="M265" s="111" t="s">
        <v>104</v>
      </c>
      <c r="N265" s="111" t="s">
        <v>105</v>
      </c>
      <c r="O265" s="111" t="s">
        <v>106</v>
      </c>
      <c r="P265" s="111" t="s">
        <v>141</v>
      </c>
      <c r="Q265" s="110" t="s">
        <v>133</v>
      </c>
      <c r="R265" s="110" t="s">
        <v>142</v>
      </c>
      <c r="S265" s="111" t="s">
        <v>110</v>
      </c>
      <c r="T265" s="111" t="s">
        <v>111</v>
      </c>
      <c r="U265" s="111" t="s">
        <v>103</v>
      </c>
      <c r="V265" s="118">
        <f t="shared" si="11"/>
        <v>1.488274495327278E-2</v>
      </c>
      <c r="W265" s="114" t="str">
        <f>IFERROR(I265-AVERAGEIFS(I$6:I264,J$6:J264,"ICIS / Platts",B$6:B264,B265),"")</f>
        <v/>
      </c>
      <c r="X265" s="110" t="s">
        <v>125</v>
      </c>
      <c r="Y265" s="117" t="str">
        <f t="shared" si="10"/>
        <v>OK</v>
      </c>
      <c r="Z265" s="111" t="s">
        <v>116</v>
      </c>
      <c r="AA265" s="111" t="s">
        <v>115</v>
      </c>
      <c r="AB265" s="111" t="s">
        <v>115</v>
      </c>
      <c r="AC265" s="111" t="s">
        <v>115</v>
      </c>
      <c r="AD265" s="111"/>
    </row>
    <row r="266" spans="2:30" ht="27.75" customHeight="1" x14ac:dyDescent="0.25">
      <c r="B266" s="108">
        <v>45383</v>
      </c>
      <c r="C266" s="109" t="s">
        <v>97</v>
      </c>
      <c r="D266" s="109">
        <v>14</v>
      </c>
      <c r="E266" s="110" t="str">
        <f t="shared" si="12"/>
        <v>20240401-261</v>
      </c>
      <c r="F266" s="111" t="s">
        <v>98</v>
      </c>
      <c r="G266" s="111" t="s">
        <v>99</v>
      </c>
      <c r="H266" s="112" t="s">
        <v>461</v>
      </c>
      <c r="I266" s="113">
        <v>525</v>
      </c>
      <c r="J266" s="111" t="s">
        <v>101</v>
      </c>
      <c r="K266" s="111" t="s">
        <v>462</v>
      </c>
      <c r="L266" s="111" t="s">
        <v>103</v>
      </c>
      <c r="M266" s="111" t="s">
        <v>104</v>
      </c>
      <c r="N266" s="111" t="s">
        <v>105</v>
      </c>
      <c r="O266" s="111" t="s">
        <v>106</v>
      </c>
      <c r="P266" s="111" t="s">
        <v>107</v>
      </c>
      <c r="Q266" s="110" t="s">
        <v>108</v>
      </c>
      <c r="R266" s="110" t="s">
        <v>109</v>
      </c>
      <c r="S266" s="111" t="s">
        <v>110</v>
      </c>
      <c r="T266" s="111" t="s">
        <v>111</v>
      </c>
      <c r="U266" s="111" t="s">
        <v>103</v>
      </c>
      <c r="V266" s="118">
        <f t="shared" si="11"/>
        <v>5.7471264367816091E-3</v>
      </c>
      <c r="W266" s="114" t="str">
        <f>IFERROR(I266-AVERAGEIFS(I$6:I265,J$6:J265,"ICIS / Platts",B$6:B265,B266),"")</f>
        <v/>
      </c>
      <c r="X266" s="110" t="s">
        <v>113</v>
      </c>
      <c r="Y266" s="117" t="str">
        <f t="shared" si="10"/>
        <v>OK</v>
      </c>
      <c r="Z266" s="111" t="s">
        <v>116</v>
      </c>
      <c r="AA266" s="111" t="s">
        <v>115</v>
      </c>
      <c r="AB266" s="111" t="s">
        <v>116</v>
      </c>
      <c r="AC266" s="111" t="s">
        <v>115</v>
      </c>
      <c r="AD266" s="111"/>
    </row>
    <row r="267" spans="2:30" ht="27.75" customHeight="1" x14ac:dyDescent="0.25">
      <c r="B267" s="115">
        <v>45384</v>
      </c>
      <c r="C267" s="116" t="s">
        <v>117</v>
      </c>
      <c r="D267" s="116">
        <v>14</v>
      </c>
      <c r="E267" s="110" t="str">
        <f t="shared" si="12"/>
        <v>20240402-262</v>
      </c>
      <c r="F267" s="111" t="s">
        <v>98</v>
      </c>
      <c r="G267" s="111" t="s">
        <v>99</v>
      </c>
      <c r="H267" s="112" t="s">
        <v>461</v>
      </c>
      <c r="I267" s="113">
        <v>531.39</v>
      </c>
      <c r="J267" s="111" t="s">
        <v>118</v>
      </c>
      <c r="K267" s="111" t="s">
        <v>463</v>
      </c>
      <c r="L267" s="111" t="s">
        <v>103</v>
      </c>
      <c r="M267" s="111" t="s">
        <v>104</v>
      </c>
      <c r="N267" s="111" t="s">
        <v>120</v>
      </c>
      <c r="O267" s="111" t="s">
        <v>121</v>
      </c>
      <c r="P267" s="111" t="s">
        <v>122</v>
      </c>
      <c r="Q267" s="110" t="s">
        <v>123</v>
      </c>
      <c r="R267" s="110" t="s">
        <v>124</v>
      </c>
      <c r="S267" s="111" t="s">
        <v>110</v>
      </c>
      <c r="T267" s="111" t="s">
        <v>111</v>
      </c>
      <c r="U267" s="111" t="s">
        <v>103</v>
      </c>
      <c r="V267" s="118">
        <f t="shared" si="11"/>
        <v>-1.1882182305031772E-2</v>
      </c>
      <c r="W267" s="114" t="str">
        <f>IFERROR(I267-AVERAGEIFS(I$6:I266,J$6:J266,"ICIS / Platts",B$6:B266,B267),"")</f>
        <v/>
      </c>
      <c r="X267" s="110" t="s">
        <v>125</v>
      </c>
      <c r="Y267" s="117" t="str">
        <f t="shared" si="10"/>
        <v>OK</v>
      </c>
      <c r="Z267" s="111" t="s">
        <v>116</v>
      </c>
      <c r="AA267" s="111" t="s">
        <v>115</v>
      </c>
      <c r="AB267" s="111" t="s">
        <v>116</v>
      </c>
      <c r="AC267" s="111" t="s">
        <v>115</v>
      </c>
      <c r="AD267" s="111"/>
    </row>
    <row r="268" spans="2:30" ht="27.75" customHeight="1" x14ac:dyDescent="0.25">
      <c r="B268" s="108">
        <v>45385</v>
      </c>
      <c r="C268" s="109" t="s">
        <v>126</v>
      </c>
      <c r="D268" s="109">
        <v>14</v>
      </c>
      <c r="E268" s="110" t="str">
        <f t="shared" si="12"/>
        <v>20240403-263</v>
      </c>
      <c r="F268" s="111" t="s">
        <v>98</v>
      </c>
      <c r="G268" s="111" t="s">
        <v>99</v>
      </c>
      <c r="H268" s="112" t="s">
        <v>461</v>
      </c>
      <c r="I268" s="113">
        <v>529.41999999999996</v>
      </c>
      <c r="J268" s="111" t="s">
        <v>127</v>
      </c>
      <c r="K268" s="111" t="s">
        <v>464</v>
      </c>
      <c r="L268" s="111" t="s">
        <v>129</v>
      </c>
      <c r="M268" s="111" t="s">
        <v>104</v>
      </c>
      <c r="N268" s="111" t="s">
        <v>130</v>
      </c>
      <c r="O268" s="111" t="s">
        <v>131</v>
      </c>
      <c r="P268" s="111" t="s">
        <v>132</v>
      </c>
      <c r="Q268" s="110" t="s">
        <v>133</v>
      </c>
      <c r="R268" s="110" t="s">
        <v>134</v>
      </c>
      <c r="S268" s="111" t="s">
        <v>135</v>
      </c>
      <c r="T268" s="111" t="s">
        <v>136</v>
      </c>
      <c r="U268" s="111" t="s">
        <v>129</v>
      </c>
      <c r="V268" s="118">
        <f t="shared" si="11"/>
        <v>1.497287245259858E-2</v>
      </c>
      <c r="W268" s="114" t="str">
        <f>IFERROR(I268-AVERAGEIFS(I$6:I267,J$6:J267,"ICIS / Platts",B$6:B267,B268),"")</f>
        <v/>
      </c>
      <c r="X268" s="110" t="s">
        <v>137</v>
      </c>
      <c r="Y268" s="117" t="str">
        <f t="shared" si="10"/>
        <v>OK</v>
      </c>
      <c r="Z268" s="111" t="s">
        <v>116</v>
      </c>
      <c r="AA268" s="111" t="s">
        <v>115</v>
      </c>
      <c r="AB268" s="111" t="s">
        <v>116</v>
      </c>
      <c r="AC268" s="111" t="s">
        <v>115</v>
      </c>
      <c r="AD268" s="111"/>
    </row>
    <row r="269" spans="2:30" ht="27.75" customHeight="1" x14ac:dyDescent="0.25">
      <c r="B269" s="115">
        <v>45387</v>
      </c>
      <c r="C269" s="116" t="s">
        <v>138</v>
      </c>
      <c r="D269" s="116">
        <v>14</v>
      </c>
      <c r="E269" s="110" t="str">
        <f t="shared" si="12"/>
        <v>20240405-264</v>
      </c>
      <c r="F269" s="111" t="s">
        <v>98</v>
      </c>
      <c r="G269" s="111" t="s">
        <v>99</v>
      </c>
      <c r="H269" s="112" t="s">
        <v>461</v>
      </c>
      <c r="I269" s="113">
        <v>522.04</v>
      </c>
      <c r="J269" s="111" t="s">
        <v>139</v>
      </c>
      <c r="K269" s="111" t="s">
        <v>465</v>
      </c>
      <c r="L269" s="111" t="s">
        <v>103</v>
      </c>
      <c r="M269" s="111" t="s">
        <v>104</v>
      </c>
      <c r="N269" s="111" t="s">
        <v>105</v>
      </c>
      <c r="O269" s="111" t="s">
        <v>106</v>
      </c>
      <c r="P269" s="111" t="s">
        <v>141</v>
      </c>
      <c r="Q269" s="110" t="s">
        <v>133</v>
      </c>
      <c r="R269" s="110" t="s">
        <v>142</v>
      </c>
      <c r="S269" s="111" t="s">
        <v>110</v>
      </c>
      <c r="T269" s="111" t="s">
        <v>111</v>
      </c>
      <c r="U269" s="111" t="s">
        <v>103</v>
      </c>
      <c r="V269" s="118">
        <f t="shared" si="11"/>
        <v>-5.9347181008913394E-4</v>
      </c>
      <c r="W269" s="114" t="str">
        <f>IFERROR(I269-AVERAGEIFS(I$6:I268,J$6:J268,"ICIS / Platts",B$6:B268,B269),"")</f>
        <v/>
      </c>
      <c r="X269" s="110" t="s">
        <v>125</v>
      </c>
      <c r="Y269" s="117" t="str">
        <f t="shared" si="10"/>
        <v>OK</v>
      </c>
      <c r="Z269" s="111" t="s">
        <v>116</v>
      </c>
      <c r="AA269" s="111" t="s">
        <v>115</v>
      </c>
      <c r="AB269" s="111" t="s">
        <v>116</v>
      </c>
      <c r="AC269" s="111" t="s">
        <v>115</v>
      </c>
      <c r="AD269" s="111"/>
    </row>
    <row r="270" spans="2:30" ht="27.75" customHeight="1" x14ac:dyDescent="0.25">
      <c r="B270" s="108">
        <v>45390</v>
      </c>
      <c r="C270" s="109" t="s">
        <v>97</v>
      </c>
      <c r="D270" s="109">
        <v>15</v>
      </c>
      <c r="E270" s="110" t="str">
        <f t="shared" si="12"/>
        <v>20240408-265</v>
      </c>
      <c r="F270" s="111" t="s">
        <v>98</v>
      </c>
      <c r="G270" s="111" t="s">
        <v>99</v>
      </c>
      <c r="H270" s="112" t="s">
        <v>466</v>
      </c>
      <c r="I270" s="113">
        <v>528</v>
      </c>
      <c r="J270" s="111" t="s">
        <v>101</v>
      </c>
      <c r="K270" s="111" t="s">
        <v>467</v>
      </c>
      <c r="L270" s="111" t="s">
        <v>103</v>
      </c>
      <c r="M270" s="111" t="s">
        <v>104</v>
      </c>
      <c r="N270" s="111" t="s">
        <v>105</v>
      </c>
      <c r="O270" s="111" t="s">
        <v>106</v>
      </c>
      <c r="P270" s="111" t="s">
        <v>107</v>
      </c>
      <c r="Q270" s="110" t="s">
        <v>108</v>
      </c>
      <c r="R270" s="110" t="s">
        <v>109</v>
      </c>
      <c r="S270" s="111" t="s">
        <v>110</v>
      </c>
      <c r="T270" s="111" t="s">
        <v>111</v>
      </c>
      <c r="U270" s="111" t="s">
        <v>103</v>
      </c>
      <c r="V270" s="118">
        <f t="shared" si="11"/>
        <v>5.7142857142857143E-3</v>
      </c>
      <c r="W270" s="114" t="str">
        <f>IFERROR(I270-AVERAGEIFS(I$6:I269,J$6:J269,"ICIS / Platts",B$6:B269,B270),"")</f>
        <v/>
      </c>
      <c r="X270" s="110" t="s">
        <v>113</v>
      </c>
      <c r="Y270" s="117" t="str">
        <f t="shared" si="10"/>
        <v>OK</v>
      </c>
      <c r="Z270" s="111" t="s">
        <v>116</v>
      </c>
      <c r="AA270" s="111" t="s">
        <v>115</v>
      </c>
      <c r="AB270" s="111" t="s">
        <v>116</v>
      </c>
      <c r="AC270" s="111" t="s">
        <v>115</v>
      </c>
      <c r="AD270" s="111"/>
    </row>
    <row r="271" spans="2:30" ht="27.75" customHeight="1" x14ac:dyDescent="0.25">
      <c r="B271" s="115">
        <v>45391</v>
      </c>
      <c r="C271" s="116" t="s">
        <v>117</v>
      </c>
      <c r="D271" s="116">
        <v>15</v>
      </c>
      <c r="E271" s="110" t="str">
        <f t="shared" si="12"/>
        <v>20240409-266</v>
      </c>
      <c r="F271" s="111" t="s">
        <v>98</v>
      </c>
      <c r="G271" s="111" t="s">
        <v>99</v>
      </c>
      <c r="H271" s="112" t="s">
        <v>466</v>
      </c>
      <c r="I271" s="113">
        <v>535.19000000000005</v>
      </c>
      <c r="J271" s="111" t="s">
        <v>118</v>
      </c>
      <c r="K271" s="111" t="s">
        <v>468</v>
      </c>
      <c r="L271" s="111" t="s">
        <v>103</v>
      </c>
      <c r="M271" s="111" t="s">
        <v>104</v>
      </c>
      <c r="N271" s="111" t="s">
        <v>120</v>
      </c>
      <c r="O271" s="111" t="s">
        <v>121</v>
      </c>
      <c r="P271" s="111" t="s">
        <v>122</v>
      </c>
      <c r="Q271" s="110" t="s">
        <v>123</v>
      </c>
      <c r="R271" s="110" t="s">
        <v>124</v>
      </c>
      <c r="S271" s="111" t="s">
        <v>110</v>
      </c>
      <c r="T271" s="111" t="s">
        <v>111</v>
      </c>
      <c r="U271" s="111" t="s">
        <v>103</v>
      </c>
      <c r="V271" s="118">
        <f t="shared" si="11"/>
        <v>7.1510566627148954E-3</v>
      </c>
      <c r="W271" s="114" t="str">
        <f>IFERROR(I271-AVERAGEIFS(I$6:I270,J$6:J270,"ICIS / Platts",B$6:B270,B271),"")</f>
        <v/>
      </c>
      <c r="X271" s="110" t="s">
        <v>125</v>
      </c>
      <c r="Y271" s="117" t="str">
        <f t="shared" si="10"/>
        <v>OK</v>
      </c>
      <c r="Z271" s="111" t="s">
        <v>116</v>
      </c>
      <c r="AA271" s="111" t="s">
        <v>115</v>
      </c>
      <c r="AB271" s="111" t="s">
        <v>116</v>
      </c>
      <c r="AC271" s="111" t="s">
        <v>115</v>
      </c>
      <c r="AD271" s="111"/>
    </row>
    <row r="272" spans="2:30" ht="27.75" customHeight="1" x14ac:dyDescent="0.25">
      <c r="B272" s="108">
        <v>45392</v>
      </c>
      <c r="C272" s="109" t="s">
        <v>126</v>
      </c>
      <c r="D272" s="109">
        <v>15</v>
      </c>
      <c r="E272" s="110" t="str">
        <f t="shared" si="12"/>
        <v>20240410-267</v>
      </c>
      <c r="F272" s="111" t="s">
        <v>98</v>
      </c>
      <c r="G272" s="111" t="s">
        <v>99</v>
      </c>
      <c r="H272" s="112" t="s">
        <v>466</v>
      </c>
      <c r="I272" s="113">
        <v>530.19000000000005</v>
      </c>
      <c r="J272" s="111" t="s">
        <v>127</v>
      </c>
      <c r="K272" s="111" t="s">
        <v>469</v>
      </c>
      <c r="L272" s="111" t="s">
        <v>129</v>
      </c>
      <c r="M272" s="111" t="s">
        <v>104</v>
      </c>
      <c r="N272" s="111" t="s">
        <v>130</v>
      </c>
      <c r="O272" s="111" t="s">
        <v>131</v>
      </c>
      <c r="P272" s="111" t="s">
        <v>132</v>
      </c>
      <c r="Q272" s="110" t="s">
        <v>133</v>
      </c>
      <c r="R272" s="110" t="s">
        <v>134</v>
      </c>
      <c r="S272" s="111" t="s">
        <v>135</v>
      </c>
      <c r="T272" s="111" t="s">
        <v>136</v>
      </c>
      <c r="U272" s="111" t="s">
        <v>129</v>
      </c>
      <c r="V272" s="118">
        <f t="shared" si="11"/>
        <v>1.454421820105201E-3</v>
      </c>
      <c r="W272" s="114" t="str">
        <f>IFERROR(I272-AVERAGEIFS(I$6:I271,J$6:J271,"ICIS / Platts",B$6:B271,B272),"")</f>
        <v/>
      </c>
      <c r="X272" s="110" t="s">
        <v>137</v>
      </c>
      <c r="Y272" s="117" t="str">
        <f t="shared" si="10"/>
        <v>OK</v>
      </c>
      <c r="Z272" s="111" t="s">
        <v>116</v>
      </c>
      <c r="AA272" s="111" t="s">
        <v>115</v>
      </c>
      <c r="AB272" s="111" t="s">
        <v>116</v>
      </c>
      <c r="AC272" s="111" t="s">
        <v>115</v>
      </c>
      <c r="AD272" s="111"/>
    </row>
    <row r="273" spans="2:30" ht="27.75" customHeight="1" x14ac:dyDescent="0.25">
      <c r="B273" s="115">
        <v>45394</v>
      </c>
      <c r="C273" s="116" t="s">
        <v>138</v>
      </c>
      <c r="D273" s="116">
        <v>15</v>
      </c>
      <c r="E273" s="110" t="str">
        <f t="shared" si="12"/>
        <v>20240412-268</v>
      </c>
      <c r="F273" s="111" t="s">
        <v>98</v>
      </c>
      <c r="G273" s="111" t="s">
        <v>99</v>
      </c>
      <c r="H273" s="112" t="s">
        <v>466</v>
      </c>
      <c r="I273" s="113">
        <v>526.99</v>
      </c>
      <c r="J273" s="111" t="s">
        <v>139</v>
      </c>
      <c r="K273" s="111" t="s">
        <v>470</v>
      </c>
      <c r="L273" s="111" t="s">
        <v>103</v>
      </c>
      <c r="M273" s="111" t="s">
        <v>104</v>
      </c>
      <c r="N273" s="111" t="s">
        <v>105</v>
      </c>
      <c r="O273" s="111" t="s">
        <v>106</v>
      </c>
      <c r="P273" s="111" t="s">
        <v>141</v>
      </c>
      <c r="Q273" s="110" t="s">
        <v>133</v>
      </c>
      <c r="R273" s="110" t="s">
        <v>142</v>
      </c>
      <c r="S273" s="111" t="s">
        <v>110</v>
      </c>
      <c r="T273" s="111" t="s">
        <v>111</v>
      </c>
      <c r="U273" s="111" t="s">
        <v>103</v>
      </c>
      <c r="V273" s="118">
        <f t="shared" si="11"/>
        <v>9.4820320281971612E-3</v>
      </c>
      <c r="W273" s="114" t="str">
        <f>IFERROR(I273-AVERAGEIFS(I$6:I272,J$6:J272,"ICIS / Platts",B$6:B272,B273),"")</f>
        <v/>
      </c>
      <c r="X273" s="110" t="s">
        <v>125</v>
      </c>
      <c r="Y273" s="117" t="str">
        <f t="shared" si="10"/>
        <v>OK</v>
      </c>
      <c r="Z273" s="111" t="s">
        <v>116</v>
      </c>
      <c r="AA273" s="111" t="s">
        <v>115</v>
      </c>
      <c r="AB273" s="111" t="s">
        <v>116</v>
      </c>
      <c r="AC273" s="111" t="s">
        <v>115</v>
      </c>
      <c r="AD273" s="111"/>
    </row>
    <row r="274" spans="2:30" ht="27.75" customHeight="1" x14ac:dyDescent="0.25">
      <c r="B274" s="108">
        <v>45397</v>
      </c>
      <c r="C274" s="109" t="s">
        <v>97</v>
      </c>
      <c r="D274" s="109">
        <v>16</v>
      </c>
      <c r="E274" s="110" t="str">
        <f t="shared" si="12"/>
        <v>20240415-269</v>
      </c>
      <c r="F274" s="111" t="s">
        <v>98</v>
      </c>
      <c r="G274" s="111" t="s">
        <v>99</v>
      </c>
      <c r="H274" s="112" t="s">
        <v>471</v>
      </c>
      <c r="I274" s="113">
        <v>532</v>
      </c>
      <c r="J274" s="111" t="s">
        <v>101</v>
      </c>
      <c r="K274" s="111" t="s">
        <v>472</v>
      </c>
      <c r="L274" s="111" t="s">
        <v>103</v>
      </c>
      <c r="M274" s="111" t="s">
        <v>104</v>
      </c>
      <c r="N274" s="111" t="s">
        <v>105</v>
      </c>
      <c r="O274" s="111" t="s">
        <v>106</v>
      </c>
      <c r="P274" s="111" t="s">
        <v>107</v>
      </c>
      <c r="Q274" s="110" t="s">
        <v>108</v>
      </c>
      <c r="R274" s="110" t="s">
        <v>109</v>
      </c>
      <c r="S274" s="111" t="s">
        <v>110</v>
      </c>
      <c r="T274" s="111" t="s">
        <v>111</v>
      </c>
      <c r="U274" s="111" t="s">
        <v>103</v>
      </c>
      <c r="V274" s="118">
        <f t="shared" si="11"/>
        <v>7.575757575757576E-3</v>
      </c>
      <c r="W274" s="114" t="str">
        <f>IFERROR(I274-AVERAGEIFS(I$6:I273,J$6:J273,"ICIS / Platts",B$6:B273,B274),"")</f>
        <v/>
      </c>
      <c r="X274" s="110" t="s">
        <v>113</v>
      </c>
      <c r="Y274" s="117" t="str">
        <f t="shared" si="10"/>
        <v>OK</v>
      </c>
      <c r="Z274" s="111" t="s">
        <v>116</v>
      </c>
      <c r="AA274" s="111" t="s">
        <v>115</v>
      </c>
      <c r="AB274" s="111" t="s">
        <v>116</v>
      </c>
      <c r="AC274" s="111" t="s">
        <v>115</v>
      </c>
      <c r="AD274" s="111"/>
    </row>
    <row r="275" spans="2:30" ht="27.75" customHeight="1" x14ac:dyDescent="0.25">
      <c r="B275" s="115">
        <v>45398</v>
      </c>
      <c r="C275" s="116" t="s">
        <v>117</v>
      </c>
      <c r="D275" s="116">
        <v>16</v>
      </c>
      <c r="E275" s="110" t="str">
        <f t="shared" si="12"/>
        <v>20240416-270</v>
      </c>
      <c r="F275" s="111" t="s">
        <v>98</v>
      </c>
      <c r="G275" s="111" t="s">
        <v>99</v>
      </c>
      <c r="H275" s="112" t="s">
        <v>471</v>
      </c>
      <c r="I275" s="113">
        <v>539.52</v>
      </c>
      <c r="J275" s="111" t="s">
        <v>118</v>
      </c>
      <c r="K275" s="111" t="s">
        <v>473</v>
      </c>
      <c r="L275" s="111" t="s">
        <v>103</v>
      </c>
      <c r="M275" s="111" t="s">
        <v>104</v>
      </c>
      <c r="N275" s="111" t="s">
        <v>120</v>
      </c>
      <c r="O275" s="111" t="s">
        <v>121</v>
      </c>
      <c r="P275" s="111" t="s">
        <v>122</v>
      </c>
      <c r="Q275" s="110" t="s">
        <v>123</v>
      </c>
      <c r="R275" s="110" t="s">
        <v>124</v>
      </c>
      <c r="S275" s="111" t="s">
        <v>110</v>
      </c>
      <c r="T275" s="111" t="s">
        <v>111</v>
      </c>
      <c r="U275" s="111" t="s">
        <v>103</v>
      </c>
      <c r="V275" s="118">
        <f t="shared" si="11"/>
        <v>8.0905846521794628E-3</v>
      </c>
      <c r="W275" s="114" t="str">
        <f>IFERROR(I275-AVERAGEIFS(I$6:I274,J$6:J274,"ICIS / Platts",B$6:B274,B275),"")</f>
        <v/>
      </c>
      <c r="X275" s="110" t="s">
        <v>125</v>
      </c>
      <c r="Y275" s="117" t="str">
        <f t="shared" si="10"/>
        <v>OK</v>
      </c>
      <c r="Z275" s="111" t="s">
        <v>116</v>
      </c>
      <c r="AA275" s="111" t="s">
        <v>115</v>
      </c>
      <c r="AB275" s="111" t="s">
        <v>116</v>
      </c>
      <c r="AC275" s="111" t="s">
        <v>115</v>
      </c>
      <c r="AD275" s="111"/>
    </row>
    <row r="276" spans="2:30" ht="27.75" customHeight="1" x14ac:dyDescent="0.25">
      <c r="B276" s="108">
        <v>45399</v>
      </c>
      <c r="C276" s="109" t="s">
        <v>126</v>
      </c>
      <c r="D276" s="109">
        <v>16</v>
      </c>
      <c r="E276" s="110" t="str">
        <f t="shared" si="12"/>
        <v>20240417-271</v>
      </c>
      <c r="F276" s="111" t="s">
        <v>98</v>
      </c>
      <c r="G276" s="111" t="s">
        <v>99</v>
      </c>
      <c r="H276" s="112" t="s">
        <v>471</v>
      </c>
      <c r="I276" s="113">
        <v>524.39</v>
      </c>
      <c r="J276" s="111" t="s">
        <v>127</v>
      </c>
      <c r="K276" s="111" t="s">
        <v>474</v>
      </c>
      <c r="L276" s="111" t="s">
        <v>129</v>
      </c>
      <c r="M276" s="111" t="s">
        <v>104</v>
      </c>
      <c r="N276" s="111" t="s">
        <v>130</v>
      </c>
      <c r="O276" s="111" t="s">
        <v>131</v>
      </c>
      <c r="P276" s="111" t="s">
        <v>132</v>
      </c>
      <c r="Q276" s="110" t="s">
        <v>133</v>
      </c>
      <c r="R276" s="110" t="s">
        <v>134</v>
      </c>
      <c r="S276" s="111" t="s">
        <v>135</v>
      </c>
      <c r="T276" s="111" t="s">
        <v>136</v>
      </c>
      <c r="U276" s="111" t="s">
        <v>129</v>
      </c>
      <c r="V276" s="118">
        <f t="shared" si="11"/>
        <v>-1.0939474527999524E-2</v>
      </c>
      <c r="W276" s="114" t="str">
        <f>IFERROR(I276-AVERAGEIFS(I$6:I275,J$6:J275,"ICIS / Platts",B$6:B275,B276),"")</f>
        <v/>
      </c>
      <c r="X276" s="110" t="s">
        <v>137</v>
      </c>
      <c r="Y276" s="117" t="str">
        <f t="shared" si="10"/>
        <v>OK</v>
      </c>
      <c r="Z276" s="111" t="s">
        <v>116</v>
      </c>
      <c r="AA276" s="111" t="s">
        <v>115</v>
      </c>
      <c r="AB276" s="111" t="s">
        <v>116</v>
      </c>
      <c r="AC276" s="111" t="s">
        <v>115</v>
      </c>
      <c r="AD276" s="111"/>
    </row>
    <row r="277" spans="2:30" ht="27.75" customHeight="1" x14ac:dyDescent="0.25">
      <c r="B277" s="115">
        <v>45401</v>
      </c>
      <c r="C277" s="116" t="s">
        <v>138</v>
      </c>
      <c r="D277" s="116">
        <v>16</v>
      </c>
      <c r="E277" s="110" t="str">
        <f t="shared" si="12"/>
        <v>20240419-272</v>
      </c>
      <c r="F277" s="111" t="s">
        <v>98</v>
      </c>
      <c r="G277" s="111" t="s">
        <v>99</v>
      </c>
      <c r="H277" s="112" t="s">
        <v>471</v>
      </c>
      <c r="I277" s="113">
        <v>538.66999999999996</v>
      </c>
      <c r="J277" s="111" t="s">
        <v>139</v>
      </c>
      <c r="K277" s="111" t="s">
        <v>475</v>
      </c>
      <c r="L277" s="111" t="s">
        <v>103</v>
      </c>
      <c r="M277" s="111" t="s">
        <v>104</v>
      </c>
      <c r="N277" s="111" t="s">
        <v>105</v>
      </c>
      <c r="O277" s="111" t="s">
        <v>106</v>
      </c>
      <c r="P277" s="111" t="s">
        <v>141</v>
      </c>
      <c r="Q277" s="110" t="s">
        <v>133</v>
      </c>
      <c r="R277" s="110" t="s">
        <v>142</v>
      </c>
      <c r="S277" s="111" t="s">
        <v>110</v>
      </c>
      <c r="T277" s="111" t="s">
        <v>111</v>
      </c>
      <c r="U277" s="111" t="s">
        <v>103</v>
      </c>
      <c r="V277" s="118">
        <f t="shared" si="11"/>
        <v>2.2163608417616939E-2</v>
      </c>
      <c r="W277" s="114" t="str">
        <f>IFERROR(I277-AVERAGEIFS(I$6:I276,J$6:J276,"ICIS / Platts",B$6:B276,B277),"")</f>
        <v/>
      </c>
      <c r="X277" s="110" t="s">
        <v>125</v>
      </c>
      <c r="Y277" s="117" t="str">
        <f t="shared" ref="Y277:Y340" si="13">IFERROR(IF(ABS(I277-AVERAGE(I269:I276))/AVERAGE(I269:I276)&gt;0.1,"⚠ CHECK","OK"),"OK")</f>
        <v>OK</v>
      </c>
      <c r="Z277" s="111" t="s">
        <v>116</v>
      </c>
      <c r="AA277" s="111" t="s">
        <v>115</v>
      </c>
      <c r="AB277" s="111" t="s">
        <v>116</v>
      </c>
      <c r="AC277" s="111" t="s">
        <v>115</v>
      </c>
      <c r="AD277" s="111"/>
    </row>
    <row r="278" spans="2:30" ht="27.75" customHeight="1" x14ac:dyDescent="0.25">
      <c r="B278" s="108">
        <v>45404</v>
      </c>
      <c r="C278" s="109" t="s">
        <v>97</v>
      </c>
      <c r="D278" s="109">
        <v>17</v>
      </c>
      <c r="E278" s="110" t="str">
        <f t="shared" si="12"/>
        <v>20240422-273</v>
      </c>
      <c r="F278" s="111" t="s">
        <v>98</v>
      </c>
      <c r="G278" s="111" t="s">
        <v>99</v>
      </c>
      <c r="H278" s="112" t="s">
        <v>476</v>
      </c>
      <c r="I278" s="113">
        <v>535</v>
      </c>
      <c r="J278" s="111" t="s">
        <v>101</v>
      </c>
      <c r="K278" s="111" t="s">
        <v>477</v>
      </c>
      <c r="L278" s="111" t="s">
        <v>103</v>
      </c>
      <c r="M278" s="111" t="s">
        <v>104</v>
      </c>
      <c r="N278" s="111" t="s">
        <v>105</v>
      </c>
      <c r="O278" s="111" t="s">
        <v>106</v>
      </c>
      <c r="P278" s="111" t="s">
        <v>107</v>
      </c>
      <c r="Q278" s="110" t="s">
        <v>108</v>
      </c>
      <c r="R278" s="110" t="s">
        <v>109</v>
      </c>
      <c r="S278" s="111" t="s">
        <v>110</v>
      </c>
      <c r="T278" s="111" t="s">
        <v>111</v>
      </c>
      <c r="U278" s="111" t="s">
        <v>103</v>
      </c>
      <c r="V278" s="118">
        <f t="shared" si="11"/>
        <v>5.6390977443609019E-3</v>
      </c>
      <c r="W278" s="114" t="str">
        <f>IFERROR(I278-AVERAGEIFS(I$6:I277,J$6:J277,"ICIS / Platts",B$6:B277,B278),"")</f>
        <v/>
      </c>
      <c r="X278" s="110" t="s">
        <v>113</v>
      </c>
      <c r="Y278" s="117" t="str">
        <f t="shared" si="13"/>
        <v>OK</v>
      </c>
      <c r="Z278" s="111" t="s">
        <v>116</v>
      </c>
      <c r="AA278" s="111" t="s">
        <v>115</v>
      </c>
      <c r="AB278" s="111" t="s">
        <v>116</v>
      </c>
      <c r="AC278" s="111" t="s">
        <v>115</v>
      </c>
      <c r="AD278" s="111"/>
    </row>
    <row r="279" spans="2:30" ht="27.75" customHeight="1" x14ac:dyDescent="0.25">
      <c r="B279" s="115">
        <v>45405</v>
      </c>
      <c r="C279" s="116" t="s">
        <v>117</v>
      </c>
      <c r="D279" s="116">
        <v>17</v>
      </c>
      <c r="E279" s="110" t="str">
        <f t="shared" si="12"/>
        <v>20240423-274</v>
      </c>
      <c r="F279" s="111" t="s">
        <v>98</v>
      </c>
      <c r="G279" s="111" t="s">
        <v>99</v>
      </c>
      <c r="H279" s="112" t="s">
        <v>476</v>
      </c>
      <c r="I279" s="113">
        <v>535.16999999999996</v>
      </c>
      <c r="J279" s="111" t="s">
        <v>118</v>
      </c>
      <c r="K279" s="111" t="s">
        <v>478</v>
      </c>
      <c r="L279" s="111" t="s">
        <v>103</v>
      </c>
      <c r="M279" s="111" t="s">
        <v>104</v>
      </c>
      <c r="N279" s="111" t="s">
        <v>120</v>
      </c>
      <c r="O279" s="111" t="s">
        <v>121</v>
      </c>
      <c r="P279" s="111" t="s">
        <v>122</v>
      </c>
      <c r="Q279" s="110" t="s">
        <v>123</v>
      </c>
      <c r="R279" s="110" t="s">
        <v>124</v>
      </c>
      <c r="S279" s="111" t="s">
        <v>110</v>
      </c>
      <c r="T279" s="111" t="s">
        <v>111</v>
      </c>
      <c r="U279" s="111" t="s">
        <v>103</v>
      </c>
      <c r="V279" s="118">
        <f t="shared" si="11"/>
        <v>-8.0627224199288673E-3</v>
      </c>
      <c r="W279" s="114" t="str">
        <f>IFERROR(I279-AVERAGEIFS(I$6:I278,J$6:J278,"ICIS / Platts",B$6:B278,B279),"")</f>
        <v/>
      </c>
      <c r="X279" s="110" t="s">
        <v>125</v>
      </c>
      <c r="Y279" s="117" t="str">
        <f t="shared" si="13"/>
        <v>OK</v>
      </c>
      <c r="Z279" s="111" t="s">
        <v>116</v>
      </c>
      <c r="AA279" s="111" t="s">
        <v>115</v>
      </c>
      <c r="AB279" s="111" t="s">
        <v>116</v>
      </c>
      <c r="AC279" s="111" t="s">
        <v>115</v>
      </c>
      <c r="AD279" s="111"/>
    </row>
    <row r="280" spans="2:30" ht="27.75" customHeight="1" x14ac:dyDescent="0.25">
      <c r="B280" s="108">
        <v>45406</v>
      </c>
      <c r="C280" s="109" t="s">
        <v>126</v>
      </c>
      <c r="D280" s="109">
        <v>17</v>
      </c>
      <c r="E280" s="110" t="str">
        <f t="shared" si="12"/>
        <v>20240424-275</v>
      </c>
      <c r="F280" s="111" t="s">
        <v>98</v>
      </c>
      <c r="G280" s="111" t="s">
        <v>99</v>
      </c>
      <c r="H280" s="112" t="s">
        <v>476</v>
      </c>
      <c r="I280" s="113">
        <v>532.37</v>
      </c>
      <c r="J280" s="111" t="s">
        <v>127</v>
      </c>
      <c r="K280" s="111" t="s">
        <v>479</v>
      </c>
      <c r="L280" s="111" t="s">
        <v>129</v>
      </c>
      <c r="M280" s="111" t="s">
        <v>104</v>
      </c>
      <c r="N280" s="111" t="s">
        <v>130</v>
      </c>
      <c r="O280" s="111" t="s">
        <v>131</v>
      </c>
      <c r="P280" s="111" t="s">
        <v>132</v>
      </c>
      <c r="Q280" s="110" t="s">
        <v>133</v>
      </c>
      <c r="R280" s="110" t="s">
        <v>134</v>
      </c>
      <c r="S280" s="111" t="s">
        <v>135</v>
      </c>
      <c r="T280" s="111" t="s">
        <v>136</v>
      </c>
      <c r="U280" s="111" t="s">
        <v>129</v>
      </c>
      <c r="V280" s="118">
        <f t="shared" si="11"/>
        <v>1.521768149659608E-2</v>
      </c>
      <c r="W280" s="114" t="str">
        <f>IFERROR(I280-AVERAGEIFS(I$6:I279,J$6:J279,"ICIS / Platts",B$6:B279,B280),"")</f>
        <v/>
      </c>
      <c r="X280" s="110" t="s">
        <v>137</v>
      </c>
      <c r="Y280" s="117" t="str">
        <f t="shared" si="13"/>
        <v>OK</v>
      </c>
      <c r="Z280" s="111" t="s">
        <v>116</v>
      </c>
      <c r="AA280" s="111" t="s">
        <v>115</v>
      </c>
      <c r="AB280" s="111" t="s">
        <v>116</v>
      </c>
      <c r="AC280" s="111" t="s">
        <v>115</v>
      </c>
      <c r="AD280" s="111"/>
    </row>
    <row r="281" spans="2:30" ht="27.75" customHeight="1" x14ac:dyDescent="0.25">
      <c r="B281" s="115">
        <v>45408</v>
      </c>
      <c r="C281" s="116" t="s">
        <v>138</v>
      </c>
      <c r="D281" s="116">
        <v>17</v>
      </c>
      <c r="E281" s="110" t="str">
        <f t="shared" si="12"/>
        <v>20240426-276</v>
      </c>
      <c r="F281" s="111" t="s">
        <v>98</v>
      </c>
      <c r="G281" s="111" t="s">
        <v>99</v>
      </c>
      <c r="H281" s="112" t="s">
        <v>476</v>
      </c>
      <c r="I281" s="113">
        <v>528.86</v>
      </c>
      <c r="J281" s="111" t="s">
        <v>139</v>
      </c>
      <c r="K281" s="111" t="s">
        <v>480</v>
      </c>
      <c r="L281" s="111" t="s">
        <v>103</v>
      </c>
      <c r="M281" s="111" t="s">
        <v>104</v>
      </c>
      <c r="N281" s="111" t="s">
        <v>105</v>
      </c>
      <c r="O281" s="111" t="s">
        <v>106</v>
      </c>
      <c r="P281" s="111" t="s">
        <v>141</v>
      </c>
      <c r="Q281" s="110" t="s">
        <v>133</v>
      </c>
      <c r="R281" s="110" t="s">
        <v>142</v>
      </c>
      <c r="S281" s="111" t="s">
        <v>110</v>
      </c>
      <c r="T281" s="111" t="s">
        <v>111</v>
      </c>
      <c r="U281" s="111" t="s">
        <v>103</v>
      </c>
      <c r="V281" s="118">
        <f t="shared" si="11"/>
        <v>-1.8211520968310739E-2</v>
      </c>
      <c r="W281" s="114" t="str">
        <f>IFERROR(I281-AVERAGEIFS(I$6:I280,J$6:J280,"ICIS / Platts",B$6:B280,B281),"")</f>
        <v/>
      </c>
      <c r="X281" s="110" t="s">
        <v>125</v>
      </c>
      <c r="Y281" s="117" t="str">
        <f t="shared" si="13"/>
        <v>OK</v>
      </c>
      <c r="Z281" s="111" t="s">
        <v>116</v>
      </c>
      <c r="AA281" s="111" t="s">
        <v>115</v>
      </c>
      <c r="AB281" s="111" t="s">
        <v>116</v>
      </c>
      <c r="AC281" s="111" t="s">
        <v>115</v>
      </c>
      <c r="AD281" s="111"/>
    </row>
    <row r="282" spans="2:30" ht="27.75" customHeight="1" x14ac:dyDescent="0.25">
      <c r="B282" s="108">
        <v>45411</v>
      </c>
      <c r="C282" s="109" t="s">
        <v>97</v>
      </c>
      <c r="D282" s="109">
        <v>18</v>
      </c>
      <c r="E282" s="110" t="str">
        <f t="shared" si="12"/>
        <v>20240429-277</v>
      </c>
      <c r="F282" s="111" t="s">
        <v>98</v>
      </c>
      <c r="G282" s="111" t="s">
        <v>99</v>
      </c>
      <c r="H282" s="112" t="s">
        <v>481</v>
      </c>
      <c r="I282" s="113">
        <v>538</v>
      </c>
      <c r="J282" s="111" t="s">
        <v>101</v>
      </c>
      <c r="K282" s="111" t="s">
        <v>482</v>
      </c>
      <c r="L282" s="111" t="s">
        <v>103</v>
      </c>
      <c r="M282" s="111" t="s">
        <v>104</v>
      </c>
      <c r="N282" s="111" t="s">
        <v>105</v>
      </c>
      <c r="O282" s="111" t="s">
        <v>106</v>
      </c>
      <c r="P282" s="111" t="s">
        <v>107</v>
      </c>
      <c r="Q282" s="110" t="s">
        <v>108</v>
      </c>
      <c r="R282" s="110" t="s">
        <v>109</v>
      </c>
      <c r="S282" s="111" t="s">
        <v>110</v>
      </c>
      <c r="T282" s="111" t="s">
        <v>111</v>
      </c>
      <c r="U282" s="111" t="s">
        <v>103</v>
      </c>
      <c r="V282" s="118">
        <f t="shared" si="11"/>
        <v>5.6074766355140183E-3</v>
      </c>
      <c r="W282" s="114" t="str">
        <f>IFERROR(I282-AVERAGEIFS(I$6:I281,J$6:J281,"ICIS / Platts",B$6:B281,B282),"")</f>
        <v/>
      </c>
      <c r="X282" s="110" t="s">
        <v>113</v>
      </c>
      <c r="Y282" s="117" t="str">
        <f t="shared" si="13"/>
        <v>OK</v>
      </c>
      <c r="Z282" s="111" t="s">
        <v>116</v>
      </c>
      <c r="AA282" s="111" t="s">
        <v>115</v>
      </c>
      <c r="AB282" s="111" t="s">
        <v>116</v>
      </c>
      <c r="AC282" s="111" t="s">
        <v>116</v>
      </c>
      <c r="AD282" s="111"/>
    </row>
    <row r="283" spans="2:30" ht="27.75" customHeight="1" x14ac:dyDescent="0.25">
      <c r="B283" s="115">
        <v>45412</v>
      </c>
      <c r="C283" s="116" t="s">
        <v>117</v>
      </c>
      <c r="D283" s="116">
        <v>18</v>
      </c>
      <c r="E283" s="110" t="str">
        <f t="shared" si="12"/>
        <v>20240430-278</v>
      </c>
      <c r="F283" s="111" t="s">
        <v>98</v>
      </c>
      <c r="G283" s="111" t="s">
        <v>99</v>
      </c>
      <c r="H283" s="112" t="s">
        <v>481</v>
      </c>
      <c r="I283" s="113">
        <v>545.5</v>
      </c>
      <c r="J283" s="111" t="s">
        <v>118</v>
      </c>
      <c r="K283" s="111" t="s">
        <v>483</v>
      </c>
      <c r="L283" s="111" t="s">
        <v>103</v>
      </c>
      <c r="M283" s="111" t="s">
        <v>104</v>
      </c>
      <c r="N283" s="111" t="s">
        <v>120</v>
      </c>
      <c r="O283" s="111" t="s">
        <v>121</v>
      </c>
      <c r="P283" s="111" t="s">
        <v>122</v>
      </c>
      <c r="Q283" s="110" t="s">
        <v>123</v>
      </c>
      <c r="R283" s="110" t="s">
        <v>124</v>
      </c>
      <c r="S283" s="111" t="s">
        <v>110</v>
      </c>
      <c r="T283" s="111" t="s">
        <v>111</v>
      </c>
      <c r="U283" s="111" t="s">
        <v>103</v>
      </c>
      <c r="V283" s="118">
        <f t="shared" si="11"/>
        <v>1.9302277780892132E-2</v>
      </c>
      <c r="W283" s="114" t="str">
        <f>IFERROR(I283-AVERAGEIFS(I$6:I282,J$6:J282,"ICIS / Platts",B$6:B282,B283),"")</f>
        <v/>
      </c>
      <c r="X283" s="110" t="s">
        <v>125</v>
      </c>
      <c r="Y283" s="117" t="str">
        <f t="shared" si="13"/>
        <v>OK</v>
      </c>
      <c r="Z283" s="111" t="s">
        <v>116</v>
      </c>
      <c r="AA283" s="111" t="s">
        <v>115</v>
      </c>
      <c r="AB283" s="111" t="s">
        <v>116</v>
      </c>
      <c r="AC283" s="111" t="s">
        <v>116</v>
      </c>
      <c r="AD283" s="111"/>
    </row>
    <row r="284" spans="2:30" ht="27.75" customHeight="1" x14ac:dyDescent="0.25">
      <c r="B284" s="108">
        <v>45413</v>
      </c>
      <c r="C284" s="109" t="s">
        <v>126</v>
      </c>
      <c r="D284" s="109">
        <v>18</v>
      </c>
      <c r="E284" s="110" t="str">
        <f t="shared" si="12"/>
        <v>20240501-279</v>
      </c>
      <c r="F284" s="111" t="s">
        <v>98</v>
      </c>
      <c r="G284" s="111" t="s">
        <v>99</v>
      </c>
      <c r="H284" s="112" t="s">
        <v>481</v>
      </c>
      <c r="I284" s="113">
        <v>535.48</v>
      </c>
      <c r="J284" s="111" t="s">
        <v>127</v>
      </c>
      <c r="K284" s="111" t="s">
        <v>484</v>
      </c>
      <c r="L284" s="111" t="s">
        <v>129</v>
      </c>
      <c r="M284" s="111" t="s">
        <v>104</v>
      </c>
      <c r="N284" s="111" t="s">
        <v>130</v>
      </c>
      <c r="O284" s="111" t="s">
        <v>131</v>
      </c>
      <c r="P284" s="111" t="s">
        <v>132</v>
      </c>
      <c r="Q284" s="110" t="s">
        <v>133</v>
      </c>
      <c r="R284" s="110" t="s">
        <v>134</v>
      </c>
      <c r="S284" s="111" t="s">
        <v>135</v>
      </c>
      <c r="T284" s="111" t="s">
        <v>136</v>
      </c>
      <c r="U284" s="111" t="s">
        <v>129</v>
      </c>
      <c r="V284" s="118">
        <f t="shared" si="11"/>
        <v>5.8418017544189446E-3</v>
      </c>
      <c r="W284" s="114" t="str">
        <f>IFERROR(I284-AVERAGEIFS(I$6:I283,J$6:J283,"ICIS / Platts",B$6:B283,B284),"")</f>
        <v/>
      </c>
      <c r="X284" s="110" t="s">
        <v>137</v>
      </c>
      <c r="Y284" s="117" t="str">
        <f t="shared" si="13"/>
        <v>OK</v>
      </c>
      <c r="Z284" s="111" t="s">
        <v>116</v>
      </c>
      <c r="AA284" s="111" t="s">
        <v>115</v>
      </c>
      <c r="AB284" s="111" t="s">
        <v>116</v>
      </c>
      <c r="AC284" s="111" t="s">
        <v>116</v>
      </c>
      <c r="AD284" s="111"/>
    </row>
    <row r="285" spans="2:30" ht="27.75" customHeight="1" x14ac:dyDescent="0.25">
      <c r="B285" s="115">
        <v>45415</v>
      </c>
      <c r="C285" s="116" t="s">
        <v>138</v>
      </c>
      <c r="D285" s="116">
        <v>18</v>
      </c>
      <c r="E285" s="110" t="str">
        <f t="shared" si="12"/>
        <v>20240503-280</v>
      </c>
      <c r="F285" s="111" t="s">
        <v>98</v>
      </c>
      <c r="G285" s="111" t="s">
        <v>99</v>
      </c>
      <c r="H285" s="112" t="s">
        <v>481</v>
      </c>
      <c r="I285" s="113">
        <v>542.87</v>
      </c>
      <c r="J285" s="111" t="s">
        <v>139</v>
      </c>
      <c r="K285" s="111" t="s">
        <v>485</v>
      </c>
      <c r="L285" s="111" t="s">
        <v>103</v>
      </c>
      <c r="M285" s="111" t="s">
        <v>104</v>
      </c>
      <c r="N285" s="111" t="s">
        <v>105</v>
      </c>
      <c r="O285" s="111" t="s">
        <v>106</v>
      </c>
      <c r="P285" s="111" t="s">
        <v>141</v>
      </c>
      <c r="Q285" s="110" t="s">
        <v>133</v>
      </c>
      <c r="R285" s="110" t="s">
        <v>142</v>
      </c>
      <c r="S285" s="111" t="s">
        <v>110</v>
      </c>
      <c r="T285" s="111" t="s">
        <v>111</v>
      </c>
      <c r="U285" s="111" t="s">
        <v>103</v>
      </c>
      <c r="V285" s="118">
        <f t="shared" si="11"/>
        <v>2.6490942782588948E-2</v>
      </c>
      <c r="W285" s="114" t="str">
        <f>IFERROR(I285-AVERAGEIFS(I$6:I284,J$6:J284,"ICIS / Platts",B$6:B284,B285),"")</f>
        <v/>
      </c>
      <c r="X285" s="110" t="s">
        <v>125</v>
      </c>
      <c r="Y285" s="117" t="str">
        <f t="shared" si="13"/>
        <v>OK</v>
      </c>
      <c r="Z285" s="111" t="s">
        <v>116</v>
      </c>
      <c r="AA285" s="111" t="s">
        <v>115</v>
      </c>
      <c r="AB285" s="111" t="s">
        <v>116</v>
      </c>
      <c r="AC285" s="111" t="s">
        <v>116</v>
      </c>
      <c r="AD285" s="111"/>
    </row>
    <row r="286" spans="2:30" ht="27.75" customHeight="1" x14ac:dyDescent="0.25">
      <c r="B286" s="108">
        <v>45418</v>
      </c>
      <c r="C286" s="109" t="s">
        <v>97</v>
      </c>
      <c r="D286" s="109">
        <v>19</v>
      </c>
      <c r="E286" s="110" t="str">
        <f t="shared" si="12"/>
        <v>20240506-281</v>
      </c>
      <c r="F286" s="111" t="s">
        <v>98</v>
      </c>
      <c r="G286" s="111" t="s">
        <v>99</v>
      </c>
      <c r="H286" s="112" t="s">
        <v>486</v>
      </c>
      <c r="I286" s="113">
        <v>542</v>
      </c>
      <c r="J286" s="111" t="s">
        <v>101</v>
      </c>
      <c r="K286" s="111" t="s">
        <v>487</v>
      </c>
      <c r="L286" s="111" t="s">
        <v>103</v>
      </c>
      <c r="M286" s="111" t="s">
        <v>104</v>
      </c>
      <c r="N286" s="111" t="s">
        <v>105</v>
      </c>
      <c r="O286" s="111" t="s">
        <v>106</v>
      </c>
      <c r="P286" s="111" t="s">
        <v>107</v>
      </c>
      <c r="Q286" s="110" t="s">
        <v>108</v>
      </c>
      <c r="R286" s="110" t="s">
        <v>109</v>
      </c>
      <c r="S286" s="111" t="s">
        <v>110</v>
      </c>
      <c r="T286" s="111" t="s">
        <v>111</v>
      </c>
      <c r="U286" s="111" t="s">
        <v>103</v>
      </c>
      <c r="V286" s="118">
        <f t="shared" si="11"/>
        <v>7.4349442379182153E-3</v>
      </c>
      <c r="W286" s="114" t="str">
        <f>IFERROR(I286-AVERAGEIFS(I$6:I285,J$6:J285,"ICIS / Platts",B$6:B285,B286),"")</f>
        <v/>
      </c>
      <c r="X286" s="110" t="s">
        <v>113</v>
      </c>
      <c r="Y286" s="117" t="str">
        <f t="shared" si="13"/>
        <v>OK</v>
      </c>
      <c r="Z286" s="111" t="s">
        <v>116</v>
      </c>
      <c r="AA286" s="111" t="s">
        <v>115</v>
      </c>
      <c r="AB286" s="111" t="s">
        <v>116</v>
      </c>
      <c r="AC286" s="111" t="s">
        <v>116</v>
      </c>
      <c r="AD286" s="111"/>
    </row>
    <row r="287" spans="2:30" ht="27.75" customHeight="1" x14ac:dyDescent="0.25">
      <c r="B287" s="115">
        <v>45419</v>
      </c>
      <c r="C287" s="116" t="s">
        <v>117</v>
      </c>
      <c r="D287" s="116">
        <v>19</v>
      </c>
      <c r="E287" s="110" t="str">
        <f t="shared" si="12"/>
        <v>20240507-282</v>
      </c>
      <c r="F287" s="111" t="s">
        <v>98</v>
      </c>
      <c r="G287" s="111" t="s">
        <v>99</v>
      </c>
      <c r="H287" s="112" t="s">
        <v>486</v>
      </c>
      <c r="I287" s="113">
        <v>541.75</v>
      </c>
      <c r="J287" s="111" t="s">
        <v>118</v>
      </c>
      <c r="K287" s="111" t="s">
        <v>488</v>
      </c>
      <c r="L287" s="111" t="s">
        <v>103</v>
      </c>
      <c r="M287" s="111" t="s">
        <v>104</v>
      </c>
      <c r="N287" s="111" t="s">
        <v>120</v>
      </c>
      <c r="O287" s="111" t="s">
        <v>121</v>
      </c>
      <c r="P287" s="111" t="s">
        <v>122</v>
      </c>
      <c r="Q287" s="110" t="s">
        <v>123</v>
      </c>
      <c r="R287" s="110" t="s">
        <v>124</v>
      </c>
      <c r="S287" s="111" t="s">
        <v>110</v>
      </c>
      <c r="T287" s="111" t="s">
        <v>111</v>
      </c>
      <c r="U287" s="111" t="s">
        <v>103</v>
      </c>
      <c r="V287" s="118">
        <f t="shared" ref="V287:V350" si="14">IFERROR((I287-I283)/I283,"")</f>
        <v>-6.8744271310724105E-3</v>
      </c>
      <c r="W287" s="114" t="str">
        <f>IFERROR(I287-AVERAGEIFS(I$6:I286,J$6:J286,"ICIS / Platts",B$6:B286,B287),"")</f>
        <v/>
      </c>
      <c r="X287" s="110" t="s">
        <v>125</v>
      </c>
      <c r="Y287" s="117" t="str">
        <f t="shared" si="13"/>
        <v>OK</v>
      </c>
      <c r="Z287" s="111" t="s">
        <v>116</v>
      </c>
      <c r="AA287" s="111" t="s">
        <v>115</v>
      </c>
      <c r="AB287" s="111" t="s">
        <v>116</v>
      </c>
      <c r="AC287" s="111" t="s">
        <v>116</v>
      </c>
      <c r="AD287" s="111"/>
    </row>
    <row r="288" spans="2:30" ht="27.75" customHeight="1" x14ac:dyDescent="0.25">
      <c r="B288" s="108">
        <v>45420</v>
      </c>
      <c r="C288" s="109" t="s">
        <v>126</v>
      </c>
      <c r="D288" s="109">
        <v>19</v>
      </c>
      <c r="E288" s="110" t="str">
        <f t="shared" si="12"/>
        <v>20240508-283</v>
      </c>
      <c r="F288" s="111" t="s">
        <v>98</v>
      </c>
      <c r="G288" s="111" t="s">
        <v>99</v>
      </c>
      <c r="H288" s="112" t="s">
        <v>486</v>
      </c>
      <c r="I288" s="113">
        <v>534.4</v>
      </c>
      <c r="J288" s="111" t="s">
        <v>127</v>
      </c>
      <c r="K288" s="111" t="s">
        <v>489</v>
      </c>
      <c r="L288" s="111" t="s">
        <v>129</v>
      </c>
      <c r="M288" s="111" t="s">
        <v>104</v>
      </c>
      <c r="N288" s="111" t="s">
        <v>130</v>
      </c>
      <c r="O288" s="111" t="s">
        <v>131</v>
      </c>
      <c r="P288" s="111" t="s">
        <v>132</v>
      </c>
      <c r="Q288" s="110" t="s">
        <v>133</v>
      </c>
      <c r="R288" s="110" t="s">
        <v>134</v>
      </c>
      <c r="S288" s="111" t="s">
        <v>135</v>
      </c>
      <c r="T288" s="111" t="s">
        <v>136</v>
      </c>
      <c r="U288" s="111" t="s">
        <v>129</v>
      </c>
      <c r="V288" s="118">
        <f t="shared" si="14"/>
        <v>-2.0168820497498334E-3</v>
      </c>
      <c r="W288" s="114" t="str">
        <f>IFERROR(I288-AVERAGEIFS(I$6:I287,J$6:J287,"ICIS / Platts",B$6:B287,B288),"")</f>
        <v/>
      </c>
      <c r="X288" s="110" t="s">
        <v>137</v>
      </c>
      <c r="Y288" s="117" t="str">
        <f t="shared" si="13"/>
        <v>OK</v>
      </c>
      <c r="Z288" s="111" t="s">
        <v>116</v>
      </c>
      <c r="AA288" s="111" t="s">
        <v>115</v>
      </c>
      <c r="AB288" s="111" t="s">
        <v>116</v>
      </c>
      <c r="AC288" s="111" t="s">
        <v>116</v>
      </c>
      <c r="AD288" s="111"/>
    </row>
    <row r="289" spans="2:30" ht="27.75" customHeight="1" x14ac:dyDescent="0.25">
      <c r="B289" s="115">
        <v>45422</v>
      </c>
      <c r="C289" s="116" t="s">
        <v>138</v>
      </c>
      <c r="D289" s="116">
        <v>19</v>
      </c>
      <c r="E289" s="110" t="str">
        <f t="shared" si="12"/>
        <v>20240510-284</v>
      </c>
      <c r="F289" s="111" t="s">
        <v>98</v>
      </c>
      <c r="G289" s="111" t="s">
        <v>99</v>
      </c>
      <c r="H289" s="112" t="s">
        <v>486</v>
      </c>
      <c r="I289" s="113">
        <v>552.78</v>
      </c>
      <c r="J289" s="111" t="s">
        <v>139</v>
      </c>
      <c r="K289" s="111" t="s">
        <v>490</v>
      </c>
      <c r="L289" s="111" t="s">
        <v>103</v>
      </c>
      <c r="M289" s="111" t="s">
        <v>104</v>
      </c>
      <c r="N289" s="111" t="s">
        <v>105</v>
      </c>
      <c r="O289" s="111" t="s">
        <v>106</v>
      </c>
      <c r="P289" s="111" t="s">
        <v>141</v>
      </c>
      <c r="Q289" s="110" t="s">
        <v>133</v>
      </c>
      <c r="R289" s="110" t="s">
        <v>142</v>
      </c>
      <c r="S289" s="111" t="s">
        <v>110</v>
      </c>
      <c r="T289" s="111" t="s">
        <v>111</v>
      </c>
      <c r="U289" s="111" t="s">
        <v>103</v>
      </c>
      <c r="V289" s="118">
        <f t="shared" si="14"/>
        <v>1.8254830806638731E-2</v>
      </c>
      <c r="W289" s="114" t="str">
        <f>IFERROR(I289-AVERAGEIFS(I$6:I288,J$6:J288,"ICIS / Platts",B$6:B288,B289),"")</f>
        <v/>
      </c>
      <c r="X289" s="110" t="s">
        <v>125</v>
      </c>
      <c r="Y289" s="117" t="str">
        <f t="shared" si="13"/>
        <v>OK</v>
      </c>
      <c r="Z289" s="111" t="s">
        <v>116</v>
      </c>
      <c r="AA289" s="111" t="s">
        <v>115</v>
      </c>
      <c r="AB289" s="111" t="s">
        <v>116</v>
      </c>
      <c r="AC289" s="111" t="s">
        <v>116</v>
      </c>
      <c r="AD289" s="111"/>
    </row>
    <row r="290" spans="2:30" ht="27.75" customHeight="1" x14ac:dyDescent="0.25">
      <c r="B290" s="108">
        <v>45425</v>
      </c>
      <c r="C290" s="109" t="s">
        <v>97</v>
      </c>
      <c r="D290" s="109">
        <v>20</v>
      </c>
      <c r="E290" s="110" t="str">
        <f t="shared" si="12"/>
        <v>20240513-285</v>
      </c>
      <c r="F290" s="111" t="s">
        <v>98</v>
      </c>
      <c r="G290" s="111" t="s">
        <v>99</v>
      </c>
      <c r="H290" s="112" t="s">
        <v>491</v>
      </c>
      <c r="I290" s="113">
        <v>545</v>
      </c>
      <c r="J290" s="111" t="s">
        <v>101</v>
      </c>
      <c r="K290" s="111" t="s">
        <v>492</v>
      </c>
      <c r="L290" s="111" t="s">
        <v>103</v>
      </c>
      <c r="M290" s="111" t="s">
        <v>104</v>
      </c>
      <c r="N290" s="111" t="s">
        <v>105</v>
      </c>
      <c r="O290" s="111" t="s">
        <v>106</v>
      </c>
      <c r="P290" s="111" t="s">
        <v>107</v>
      </c>
      <c r="Q290" s="110" t="s">
        <v>108</v>
      </c>
      <c r="R290" s="110" t="s">
        <v>109</v>
      </c>
      <c r="S290" s="111" t="s">
        <v>110</v>
      </c>
      <c r="T290" s="111" t="s">
        <v>111</v>
      </c>
      <c r="U290" s="111" t="s">
        <v>103</v>
      </c>
      <c r="V290" s="118">
        <f t="shared" si="14"/>
        <v>5.5350553505535052E-3</v>
      </c>
      <c r="W290" s="114" t="str">
        <f>IFERROR(I290-AVERAGEIFS(I$6:I289,J$6:J289,"ICIS / Platts",B$6:B289,B290),"")</f>
        <v/>
      </c>
      <c r="X290" s="110" t="s">
        <v>113</v>
      </c>
      <c r="Y290" s="117" t="str">
        <f t="shared" si="13"/>
        <v>OK</v>
      </c>
      <c r="Z290" s="111" t="s">
        <v>116</v>
      </c>
      <c r="AA290" s="111" t="s">
        <v>115</v>
      </c>
      <c r="AB290" s="111" t="s">
        <v>116</v>
      </c>
      <c r="AC290" s="111" t="s">
        <v>116</v>
      </c>
      <c r="AD290" s="111"/>
    </row>
    <row r="291" spans="2:30" ht="27.75" customHeight="1" x14ac:dyDescent="0.25">
      <c r="B291" s="115">
        <v>45426</v>
      </c>
      <c r="C291" s="116" t="s">
        <v>117</v>
      </c>
      <c r="D291" s="116">
        <v>20</v>
      </c>
      <c r="E291" s="110" t="str">
        <f t="shared" si="12"/>
        <v>20240514-286</v>
      </c>
      <c r="F291" s="111" t="s">
        <v>98</v>
      </c>
      <c r="G291" s="111" t="s">
        <v>99</v>
      </c>
      <c r="H291" s="112" t="s">
        <v>491</v>
      </c>
      <c r="I291" s="113">
        <v>539.67999999999995</v>
      </c>
      <c r="J291" s="111" t="s">
        <v>118</v>
      </c>
      <c r="K291" s="111" t="s">
        <v>493</v>
      </c>
      <c r="L291" s="111" t="s">
        <v>103</v>
      </c>
      <c r="M291" s="111" t="s">
        <v>104</v>
      </c>
      <c r="N291" s="111" t="s">
        <v>120</v>
      </c>
      <c r="O291" s="111" t="s">
        <v>121</v>
      </c>
      <c r="P291" s="111" t="s">
        <v>122</v>
      </c>
      <c r="Q291" s="110" t="s">
        <v>123</v>
      </c>
      <c r="R291" s="110" t="s">
        <v>124</v>
      </c>
      <c r="S291" s="111" t="s">
        <v>110</v>
      </c>
      <c r="T291" s="111" t="s">
        <v>111</v>
      </c>
      <c r="U291" s="111" t="s">
        <v>103</v>
      </c>
      <c r="V291" s="118">
        <f t="shared" si="14"/>
        <v>-3.8209506229811723E-3</v>
      </c>
      <c r="W291" s="114" t="str">
        <f>IFERROR(I291-AVERAGEIFS(I$6:I290,J$6:J290,"ICIS / Platts",B$6:B290,B291),"")</f>
        <v/>
      </c>
      <c r="X291" s="110" t="s">
        <v>125</v>
      </c>
      <c r="Y291" s="117" t="str">
        <f t="shared" si="13"/>
        <v>OK</v>
      </c>
      <c r="Z291" s="111" t="s">
        <v>116</v>
      </c>
      <c r="AA291" s="111" t="s">
        <v>115</v>
      </c>
      <c r="AB291" s="111" t="s">
        <v>116</v>
      </c>
      <c r="AC291" s="111" t="s">
        <v>116</v>
      </c>
      <c r="AD291" s="111"/>
    </row>
    <row r="292" spans="2:30" ht="27.75" customHeight="1" x14ac:dyDescent="0.25">
      <c r="B292" s="108">
        <v>45427</v>
      </c>
      <c r="C292" s="109" t="s">
        <v>126</v>
      </c>
      <c r="D292" s="109">
        <v>20</v>
      </c>
      <c r="E292" s="110" t="str">
        <f t="shared" si="12"/>
        <v>20240515-287</v>
      </c>
      <c r="F292" s="111" t="s">
        <v>98</v>
      </c>
      <c r="G292" s="111" t="s">
        <v>99</v>
      </c>
      <c r="H292" s="112" t="s">
        <v>491</v>
      </c>
      <c r="I292" s="113">
        <v>550.74</v>
      </c>
      <c r="J292" s="111" t="s">
        <v>127</v>
      </c>
      <c r="K292" s="111" t="s">
        <v>494</v>
      </c>
      <c r="L292" s="111" t="s">
        <v>129</v>
      </c>
      <c r="M292" s="111" t="s">
        <v>104</v>
      </c>
      <c r="N292" s="111" t="s">
        <v>130</v>
      </c>
      <c r="O292" s="111" t="s">
        <v>131</v>
      </c>
      <c r="P292" s="111" t="s">
        <v>132</v>
      </c>
      <c r="Q292" s="110" t="s">
        <v>133</v>
      </c>
      <c r="R292" s="110" t="s">
        <v>134</v>
      </c>
      <c r="S292" s="111" t="s">
        <v>135</v>
      </c>
      <c r="T292" s="111" t="s">
        <v>136</v>
      </c>
      <c r="U292" s="111" t="s">
        <v>129</v>
      </c>
      <c r="V292" s="118">
        <f t="shared" si="14"/>
        <v>3.0576347305389284E-2</v>
      </c>
      <c r="W292" s="114" t="str">
        <f>IFERROR(I292-AVERAGEIFS(I$6:I291,J$6:J291,"ICIS / Platts",B$6:B291,B292),"")</f>
        <v/>
      </c>
      <c r="X292" s="110" t="s">
        <v>137</v>
      </c>
      <c r="Y292" s="117" t="str">
        <f t="shared" si="13"/>
        <v>OK</v>
      </c>
      <c r="Z292" s="111" t="s">
        <v>116</v>
      </c>
      <c r="AA292" s="111" t="s">
        <v>115</v>
      </c>
      <c r="AB292" s="111" t="s">
        <v>116</v>
      </c>
      <c r="AC292" s="111" t="s">
        <v>116</v>
      </c>
      <c r="AD292" s="111"/>
    </row>
    <row r="293" spans="2:30" ht="27.75" customHeight="1" x14ac:dyDescent="0.25">
      <c r="B293" s="115">
        <v>45429</v>
      </c>
      <c r="C293" s="116" t="s">
        <v>138</v>
      </c>
      <c r="D293" s="116">
        <v>20</v>
      </c>
      <c r="E293" s="110" t="str">
        <f t="shared" si="12"/>
        <v>20240517-288</v>
      </c>
      <c r="F293" s="111" t="s">
        <v>98</v>
      </c>
      <c r="G293" s="111" t="s">
        <v>99</v>
      </c>
      <c r="H293" s="112" t="s">
        <v>491</v>
      </c>
      <c r="I293" s="113">
        <v>554</v>
      </c>
      <c r="J293" s="111" t="s">
        <v>139</v>
      </c>
      <c r="K293" s="111" t="s">
        <v>346</v>
      </c>
      <c r="L293" s="111" t="s">
        <v>103</v>
      </c>
      <c r="M293" s="111" t="s">
        <v>104</v>
      </c>
      <c r="N293" s="111" t="s">
        <v>105</v>
      </c>
      <c r="O293" s="111" t="s">
        <v>106</v>
      </c>
      <c r="P293" s="111" t="s">
        <v>141</v>
      </c>
      <c r="Q293" s="110" t="s">
        <v>133</v>
      </c>
      <c r="R293" s="110" t="s">
        <v>142</v>
      </c>
      <c r="S293" s="111" t="s">
        <v>110</v>
      </c>
      <c r="T293" s="111" t="s">
        <v>111</v>
      </c>
      <c r="U293" s="111" t="s">
        <v>103</v>
      </c>
      <c r="V293" s="118">
        <f t="shared" si="14"/>
        <v>2.207026303411895E-3</v>
      </c>
      <c r="W293" s="114" t="str">
        <f>IFERROR(I293-AVERAGEIFS(I$6:I292,J$6:J292,"ICIS / Platts",B$6:B292,B293),"")</f>
        <v/>
      </c>
      <c r="X293" s="110" t="s">
        <v>125</v>
      </c>
      <c r="Y293" s="117" t="str">
        <f t="shared" si="13"/>
        <v>OK</v>
      </c>
      <c r="Z293" s="111" t="s">
        <v>116</v>
      </c>
      <c r="AA293" s="111" t="s">
        <v>115</v>
      </c>
      <c r="AB293" s="111" t="s">
        <v>116</v>
      </c>
      <c r="AC293" s="111" t="s">
        <v>116</v>
      </c>
      <c r="AD293" s="111"/>
    </row>
    <row r="294" spans="2:30" ht="27.75" customHeight="1" x14ac:dyDescent="0.25">
      <c r="B294" s="108">
        <v>45432</v>
      </c>
      <c r="C294" s="109" t="s">
        <v>97</v>
      </c>
      <c r="D294" s="109">
        <v>21</v>
      </c>
      <c r="E294" s="110" t="str">
        <f t="shared" si="12"/>
        <v>20240520-289</v>
      </c>
      <c r="F294" s="111" t="s">
        <v>98</v>
      </c>
      <c r="G294" s="111" t="s">
        <v>99</v>
      </c>
      <c r="H294" s="112" t="s">
        <v>495</v>
      </c>
      <c r="I294" s="113">
        <v>548</v>
      </c>
      <c r="J294" s="111" t="s">
        <v>101</v>
      </c>
      <c r="K294" s="111" t="s">
        <v>496</v>
      </c>
      <c r="L294" s="111" t="s">
        <v>103</v>
      </c>
      <c r="M294" s="111" t="s">
        <v>104</v>
      </c>
      <c r="N294" s="111" t="s">
        <v>105</v>
      </c>
      <c r="O294" s="111" t="s">
        <v>106</v>
      </c>
      <c r="P294" s="111" t="s">
        <v>107</v>
      </c>
      <c r="Q294" s="110" t="s">
        <v>108</v>
      </c>
      <c r="R294" s="110" t="s">
        <v>109</v>
      </c>
      <c r="S294" s="111" t="s">
        <v>110</v>
      </c>
      <c r="T294" s="111" t="s">
        <v>111</v>
      </c>
      <c r="U294" s="111" t="s">
        <v>103</v>
      </c>
      <c r="V294" s="118">
        <f t="shared" si="14"/>
        <v>5.5045871559633031E-3</v>
      </c>
      <c r="W294" s="114" t="str">
        <f>IFERROR(I294-AVERAGEIFS(I$6:I293,J$6:J293,"ICIS / Platts",B$6:B293,B294),"")</f>
        <v/>
      </c>
      <c r="X294" s="110" t="s">
        <v>113</v>
      </c>
      <c r="Y294" s="117" t="str">
        <f t="shared" si="13"/>
        <v>OK</v>
      </c>
      <c r="Z294" s="111" t="s">
        <v>116</v>
      </c>
      <c r="AA294" s="111" t="s">
        <v>115</v>
      </c>
      <c r="AB294" s="111" t="s">
        <v>116</v>
      </c>
      <c r="AC294" s="111" t="s">
        <v>116</v>
      </c>
      <c r="AD294" s="111"/>
    </row>
    <row r="295" spans="2:30" ht="27.75" customHeight="1" x14ac:dyDescent="0.25">
      <c r="B295" s="115">
        <v>45433</v>
      </c>
      <c r="C295" s="116" t="s">
        <v>117</v>
      </c>
      <c r="D295" s="116">
        <v>21</v>
      </c>
      <c r="E295" s="110" t="str">
        <f t="shared" si="12"/>
        <v>20240521-290</v>
      </c>
      <c r="F295" s="111" t="s">
        <v>98</v>
      </c>
      <c r="G295" s="111" t="s">
        <v>99</v>
      </c>
      <c r="H295" s="112" t="s">
        <v>495</v>
      </c>
      <c r="I295" s="113">
        <v>552.02</v>
      </c>
      <c r="J295" s="111" t="s">
        <v>118</v>
      </c>
      <c r="K295" s="111" t="s">
        <v>497</v>
      </c>
      <c r="L295" s="111" t="s">
        <v>103</v>
      </c>
      <c r="M295" s="111" t="s">
        <v>104</v>
      </c>
      <c r="N295" s="111" t="s">
        <v>120</v>
      </c>
      <c r="O295" s="111" t="s">
        <v>121</v>
      </c>
      <c r="P295" s="111" t="s">
        <v>122</v>
      </c>
      <c r="Q295" s="110" t="s">
        <v>123</v>
      </c>
      <c r="R295" s="110" t="s">
        <v>124</v>
      </c>
      <c r="S295" s="111" t="s">
        <v>110</v>
      </c>
      <c r="T295" s="111" t="s">
        <v>111</v>
      </c>
      <c r="U295" s="111" t="s">
        <v>103</v>
      </c>
      <c r="V295" s="118">
        <f t="shared" si="14"/>
        <v>2.2865401719537565E-2</v>
      </c>
      <c r="W295" s="114" t="str">
        <f>IFERROR(I295-AVERAGEIFS(I$6:I294,J$6:J294,"ICIS / Platts",B$6:B294,B295),"")</f>
        <v/>
      </c>
      <c r="X295" s="110" t="s">
        <v>125</v>
      </c>
      <c r="Y295" s="117" t="str">
        <f t="shared" si="13"/>
        <v>OK</v>
      </c>
      <c r="Z295" s="111" t="s">
        <v>116</v>
      </c>
      <c r="AA295" s="111" t="s">
        <v>115</v>
      </c>
      <c r="AB295" s="111" t="s">
        <v>116</v>
      </c>
      <c r="AC295" s="111" t="s">
        <v>116</v>
      </c>
      <c r="AD295" s="111"/>
    </row>
    <row r="296" spans="2:30" ht="27.75" customHeight="1" x14ac:dyDescent="0.25">
      <c r="B296" s="108">
        <v>45434</v>
      </c>
      <c r="C296" s="109" t="s">
        <v>126</v>
      </c>
      <c r="D296" s="109">
        <v>21</v>
      </c>
      <c r="E296" s="110" t="str">
        <f t="shared" si="12"/>
        <v>20240522-291</v>
      </c>
      <c r="F296" s="111" t="s">
        <v>98</v>
      </c>
      <c r="G296" s="111" t="s">
        <v>99</v>
      </c>
      <c r="H296" s="112" t="s">
        <v>495</v>
      </c>
      <c r="I296" s="113">
        <v>557.59</v>
      </c>
      <c r="J296" s="111" t="s">
        <v>127</v>
      </c>
      <c r="K296" s="111" t="s">
        <v>498</v>
      </c>
      <c r="L296" s="111" t="s">
        <v>129</v>
      </c>
      <c r="M296" s="111" t="s">
        <v>104</v>
      </c>
      <c r="N296" s="111" t="s">
        <v>130</v>
      </c>
      <c r="O296" s="111" t="s">
        <v>131</v>
      </c>
      <c r="P296" s="111" t="s">
        <v>132</v>
      </c>
      <c r="Q296" s="110" t="s">
        <v>133</v>
      </c>
      <c r="R296" s="110" t="s">
        <v>134</v>
      </c>
      <c r="S296" s="111" t="s">
        <v>135</v>
      </c>
      <c r="T296" s="111" t="s">
        <v>136</v>
      </c>
      <c r="U296" s="111" t="s">
        <v>129</v>
      </c>
      <c r="V296" s="118">
        <f t="shared" si="14"/>
        <v>1.2437810945273672E-2</v>
      </c>
      <c r="W296" s="114" t="str">
        <f>IFERROR(I296-AVERAGEIFS(I$6:I295,J$6:J295,"ICIS / Platts",B$6:B295,B296),"")</f>
        <v/>
      </c>
      <c r="X296" s="110" t="s">
        <v>137</v>
      </c>
      <c r="Y296" s="117" t="str">
        <f t="shared" si="13"/>
        <v>OK</v>
      </c>
      <c r="Z296" s="111" t="s">
        <v>116</v>
      </c>
      <c r="AA296" s="111" t="s">
        <v>115</v>
      </c>
      <c r="AB296" s="111" t="s">
        <v>116</v>
      </c>
      <c r="AC296" s="111" t="s">
        <v>116</v>
      </c>
      <c r="AD296" s="111"/>
    </row>
    <row r="297" spans="2:30" ht="27.75" customHeight="1" x14ac:dyDescent="0.25">
      <c r="B297" s="115">
        <v>45436</v>
      </c>
      <c r="C297" s="116" t="s">
        <v>138</v>
      </c>
      <c r="D297" s="116">
        <v>21</v>
      </c>
      <c r="E297" s="110" t="str">
        <f t="shared" si="12"/>
        <v>20240524-292</v>
      </c>
      <c r="F297" s="111" t="s">
        <v>98</v>
      </c>
      <c r="G297" s="111" t="s">
        <v>99</v>
      </c>
      <c r="H297" s="112" t="s">
        <v>495</v>
      </c>
      <c r="I297" s="113">
        <v>554.82000000000005</v>
      </c>
      <c r="J297" s="111" t="s">
        <v>139</v>
      </c>
      <c r="K297" s="111" t="s">
        <v>499</v>
      </c>
      <c r="L297" s="111" t="s">
        <v>103</v>
      </c>
      <c r="M297" s="111" t="s">
        <v>104</v>
      </c>
      <c r="N297" s="111" t="s">
        <v>105</v>
      </c>
      <c r="O297" s="111" t="s">
        <v>106</v>
      </c>
      <c r="P297" s="111" t="s">
        <v>141</v>
      </c>
      <c r="Q297" s="110" t="s">
        <v>133</v>
      </c>
      <c r="R297" s="110" t="s">
        <v>142</v>
      </c>
      <c r="S297" s="111" t="s">
        <v>110</v>
      </c>
      <c r="T297" s="111" t="s">
        <v>111</v>
      </c>
      <c r="U297" s="111" t="s">
        <v>103</v>
      </c>
      <c r="V297" s="118">
        <f t="shared" si="14"/>
        <v>1.4801444043322203E-3</v>
      </c>
      <c r="W297" s="114" t="str">
        <f>IFERROR(I297-AVERAGEIFS(I$6:I296,J$6:J296,"ICIS / Platts",B$6:B296,B297),"")</f>
        <v/>
      </c>
      <c r="X297" s="110" t="s">
        <v>125</v>
      </c>
      <c r="Y297" s="117" t="str">
        <f t="shared" si="13"/>
        <v>OK</v>
      </c>
      <c r="Z297" s="111" t="s">
        <v>116</v>
      </c>
      <c r="AA297" s="111" t="s">
        <v>115</v>
      </c>
      <c r="AB297" s="111" t="s">
        <v>116</v>
      </c>
      <c r="AC297" s="111" t="s">
        <v>116</v>
      </c>
      <c r="AD297" s="111"/>
    </row>
    <row r="298" spans="2:30" ht="27.75" customHeight="1" x14ac:dyDescent="0.25">
      <c r="B298" s="108">
        <v>45439</v>
      </c>
      <c r="C298" s="109" t="s">
        <v>97</v>
      </c>
      <c r="D298" s="109">
        <v>22</v>
      </c>
      <c r="E298" s="110" t="str">
        <f t="shared" si="12"/>
        <v>20240527-293</v>
      </c>
      <c r="F298" s="111" t="s">
        <v>98</v>
      </c>
      <c r="G298" s="111" t="s">
        <v>99</v>
      </c>
      <c r="H298" s="112" t="s">
        <v>500</v>
      </c>
      <c r="I298" s="113">
        <v>550</v>
      </c>
      <c r="J298" s="111" t="s">
        <v>101</v>
      </c>
      <c r="K298" s="111" t="s">
        <v>501</v>
      </c>
      <c r="L298" s="111" t="s">
        <v>103</v>
      </c>
      <c r="M298" s="111" t="s">
        <v>104</v>
      </c>
      <c r="N298" s="111" t="s">
        <v>105</v>
      </c>
      <c r="O298" s="111" t="s">
        <v>106</v>
      </c>
      <c r="P298" s="111" t="s">
        <v>107</v>
      </c>
      <c r="Q298" s="110" t="s">
        <v>108</v>
      </c>
      <c r="R298" s="110" t="s">
        <v>109</v>
      </c>
      <c r="S298" s="111" t="s">
        <v>110</v>
      </c>
      <c r="T298" s="111" t="s">
        <v>111</v>
      </c>
      <c r="U298" s="111" t="s">
        <v>103</v>
      </c>
      <c r="V298" s="118">
        <f t="shared" si="14"/>
        <v>3.6496350364963502E-3</v>
      </c>
      <c r="W298" s="114" t="str">
        <f>IFERROR(I298-AVERAGEIFS(I$6:I297,J$6:J297,"ICIS / Platts",B$6:B297,B298),"")</f>
        <v/>
      </c>
      <c r="X298" s="110" t="s">
        <v>113</v>
      </c>
      <c r="Y298" s="117" t="str">
        <f t="shared" si="13"/>
        <v>OK</v>
      </c>
      <c r="Z298" s="111" t="s">
        <v>116</v>
      </c>
      <c r="AA298" s="111" t="s">
        <v>115</v>
      </c>
      <c r="AB298" s="111" t="s">
        <v>116</v>
      </c>
      <c r="AC298" s="111" t="s">
        <v>116</v>
      </c>
      <c r="AD298" s="111"/>
    </row>
    <row r="299" spans="2:30" ht="27.75" customHeight="1" x14ac:dyDescent="0.25">
      <c r="B299" s="115">
        <v>45440</v>
      </c>
      <c r="C299" s="116" t="s">
        <v>117</v>
      </c>
      <c r="D299" s="116">
        <v>22</v>
      </c>
      <c r="E299" s="110" t="str">
        <f t="shared" si="12"/>
        <v>20240528-294</v>
      </c>
      <c r="F299" s="111" t="s">
        <v>98</v>
      </c>
      <c r="G299" s="111" t="s">
        <v>99</v>
      </c>
      <c r="H299" s="112" t="s">
        <v>500</v>
      </c>
      <c r="I299" s="113">
        <v>550.16999999999996</v>
      </c>
      <c r="J299" s="111" t="s">
        <v>118</v>
      </c>
      <c r="K299" s="111" t="s">
        <v>502</v>
      </c>
      <c r="L299" s="111" t="s">
        <v>103</v>
      </c>
      <c r="M299" s="111" t="s">
        <v>104</v>
      </c>
      <c r="N299" s="111" t="s">
        <v>120</v>
      </c>
      <c r="O299" s="111" t="s">
        <v>121</v>
      </c>
      <c r="P299" s="111" t="s">
        <v>122</v>
      </c>
      <c r="Q299" s="110" t="s">
        <v>123</v>
      </c>
      <c r="R299" s="110" t="s">
        <v>124</v>
      </c>
      <c r="S299" s="111" t="s">
        <v>110</v>
      </c>
      <c r="T299" s="111" t="s">
        <v>111</v>
      </c>
      <c r="U299" s="111" t="s">
        <v>103</v>
      </c>
      <c r="V299" s="118">
        <f t="shared" si="14"/>
        <v>-3.3513278504402428E-3</v>
      </c>
      <c r="W299" s="114" t="str">
        <f>IFERROR(I299-AVERAGEIFS(I$6:I298,J$6:J298,"ICIS / Platts",B$6:B298,B299),"")</f>
        <v/>
      </c>
      <c r="X299" s="110" t="s">
        <v>125</v>
      </c>
      <c r="Y299" s="117" t="str">
        <f t="shared" si="13"/>
        <v>OK</v>
      </c>
      <c r="Z299" s="111" t="s">
        <v>116</v>
      </c>
      <c r="AA299" s="111" t="s">
        <v>115</v>
      </c>
      <c r="AB299" s="111" t="s">
        <v>116</v>
      </c>
      <c r="AC299" s="111" t="s">
        <v>116</v>
      </c>
      <c r="AD299" s="111"/>
    </row>
    <row r="300" spans="2:30" ht="27.75" customHeight="1" x14ac:dyDescent="0.25">
      <c r="B300" s="108">
        <v>45441</v>
      </c>
      <c r="C300" s="109" t="s">
        <v>126</v>
      </c>
      <c r="D300" s="109">
        <v>22</v>
      </c>
      <c r="E300" s="110" t="str">
        <f t="shared" si="12"/>
        <v>20240529-295</v>
      </c>
      <c r="F300" s="111" t="s">
        <v>98</v>
      </c>
      <c r="G300" s="111" t="s">
        <v>99</v>
      </c>
      <c r="H300" s="112" t="s">
        <v>500</v>
      </c>
      <c r="I300" s="113">
        <v>556.98</v>
      </c>
      <c r="J300" s="111" t="s">
        <v>127</v>
      </c>
      <c r="K300" s="111" t="s">
        <v>503</v>
      </c>
      <c r="L300" s="111" t="s">
        <v>129</v>
      </c>
      <c r="M300" s="111" t="s">
        <v>104</v>
      </c>
      <c r="N300" s="111" t="s">
        <v>130</v>
      </c>
      <c r="O300" s="111" t="s">
        <v>131</v>
      </c>
      <c r="P300" s="111" t="s">
        <v>132</v>
      </c>
      <c r="Q300" s="110" t="s">
        <v>133</v>
      </c>
      <c r="R300" s="110" t="s">
        <v>134</v>
      </c>
      <c r="S300" s="111" t="s">
        <v>135</v>
      </c>
      <c r="T300" s="111" t="s">
        <v>136</v>
      </c>
      <c r="U300" s="111" t="s">
        <v>129</v>
      </c>
      <c r="V300" s="118">
        <f t="shared" si="14"/>
        <v>-1.0939937947237461E-3</v>
      </c>
      <c r="W300" s="114" t="str">
        <f>IFERROR(I300-AVERAGEIFS(I$6:I299,J$6:J299,"ICIS / Platts",B$6:B299,B300),"")</f>
        <v/>
      </c>
      <c r="X300" s="110" t="s">
        <v>137</v>
      </c>
      <c r="Y300" s="117" t="str">
        <f t="shared" si="13"/>
        <v>OK</v>
      </c>
      <c r="Z300" s="111" t="s">
        <v>116</v>
      </c>
      <c r="AA300" s="111" t="s">
        <v>115</v>
      </c>
      <c r="AB300" s="111" t="s">
        <v>116</v>
      </c>
      <c r="AC300" s="111" t="s">
        <v>116</v>
      </c>
      <c r="AD300" s="111"/>
    </row>
    <row r="301" spans="2:30" ht="27.75" customHeight="1" x14ac:dyDescent="0.25">
      <c r="B301" s="115">
        <v>45443</v>
      </c>
      <c r="C301" s="116" t="s">
        <v>138</v>
      </c>
      <c r="D301" s="116">
        <v>22</v>
      </c>
      <c r="E301" s="110" t="str">
        <f t="shared" si="12"/>
        <v>20240531-296</v>
      </c>
      <c r="F301" s="111" t="s">
        <v>98</v>
      </c>
      <c r="G301" s="111" t="s">
        <v>99</v>
      </c>
      <c r="H301" s="112" t="s">
        <v>500</v>
      </c>
      <c r="I301" s="113">
        <v>551.39</v>
      </c>
      <c r="J301" s="111" t="s">
        <v>139</v>
      </c>
      <c r="K301" s="111" t="s">
        <v>504</v>
      </c>
      <c r="L301" s="111" t="s">
        <v>103</v>
      </c>
      <c r="M301" s="111" t="s">
        <v>104</v>
      </c>
      <c r="N301" s="111" t="s">
        <v>105</v>
      </c>
      <c r="O301" s="111" t="s">
        <v>106</v>
      </c>
      <c r="P301" s="111" t="s">
        <v>141</v>
      </c>
      <c r="Q301" s="110" t="s">
        <v>133</v>
      </c>
      <c r="R301" s="110" t="s">
        <v>142</v>
      </c>
      <c r="S301" s="111" t="s">
        <v>110</v>
      </c>
      <c r="T301" s="111" t="s">
        <v>111</v>
      </c>
      <c r="U301" s="111" t="s">
        <v>103</v>
      </c>
      <c r="V301" s="118">
        <f t="shared" si="14"/>
        <v>-6.1821852132224204E-3</v>
      </c>
      <c r="W301" s="114" t="str">
        <f>IFERROR(I301-AVERAGEIFS(I$6:I300,J$6:J300,"ICIS / Platts",B$6:B300,B301),"")</f>
        <v/>
      </c>
      <c r="X301" s="110" t="s">
        <v>125</v>
      </c>
      <c r="Y301" s="117" t="str">
        <f t="shared" si="13"/>
        <v>OK</v>
      </c>
      <c r="Z301" s="111" t="s">
        <v>116</v>
      </c>
      <c r="AA301" s="111" t="s">
        <v>115</v>
      </c>
      <c r="AB301" s="111" t="s">
        <v>116</v>
      </c>
      <c r="AC301" s="111" t="s">
        <v>116</v>
      </c>
      <c r="AD301" s="111"/>
    </row>
    <row r="302" spans="2:30" ht="27.75" customHeight="1" x14ac:dyDescent="0.25">
      <c r="B302" s="108">
        <v>45446</v>
      </c>
      <c r="C302" s="109" t="s">
        <v>97</v>
      </c>
      <c r="D302" s="109">
        <v>23</v>
      </c>
      <c r="E302" s="110" t="str">
        <f t="shared" si="12"/>
        <v>20240603-297</v>
      </c>
      <c r="F302" s="111" t="s">
        <v>98</v>
      </c>
      <c r="G302" s="111" t="s">
        <v>99</v>
      </c>
      <c r="H302" s="112" t="s">
        <v>505</v>
      </c>
      <c r="I302" s="113">
        <v>548</v>
      </c>
      <c r="J302" s="111" t="s">
        <v>101</v>
      </c>
      <c r="K302" s="111" t="s">
        <v>506</v>
      </c>
      <c r="L302" s="111" t="s">
        <v>103</v>
      </c>
      <c r="M302" s="111" t="s">
        <v>104</v>
      </c>
      <c r="N302" s="111" t="s">
        <v>105</v>
      </c>
      <c r="O302" s="111" t="s">
        <v>106</v>
      </c>
      <c r="P302" s="111" t="s">
        <v>107</v>
      </c>
      <c r="Q302" s="110" t="s">
        <v>108</v>
      </c>
      <c r="R302" s="110" t="s">
        <v>109</v>
      </c>
      <c r="S302" s="111" t="s">
        <v>110</v>
      </c>
      <c r="T302" s="111" t="s">
        <v>111</v>
      </c>
      <c r="U302" s="111" t="s">
        <v>103</v>
      </c>
      <c r="V302" s="118">
        <f t="shared" si="14"/>
        <v>-3.6363636363636364E-3</v>
      </c>
      <c r="W302" s="114" t="str">
        <f>IFERROR(I302-AVERAGEIFS(I$6:I301,J$6:J301,"ICIS / Platts",B$6:B301,B302),"")</f>
        <v/>
      </c>
      <c r="X302" s="110" t="s">
        <v>113</v>
      </c>
      <c r="Y302" s="117" t="str">
        <f t="shared" si="13"/>
        <v>OK</v>
      </c>
      <c r="Z302" s="111" t="s">
        <v>116</v>
      </c>
      <c r="AA302" s="111" t="s">
        <v>115</v>
      </c>
      <c r="AB302" s="111" t="s">
        <v>116</v>
      </c>
      <c r="AC302" s="111" t="s">
        <v>115</v>
      </c>
      <c r="AD302" s="111"/>
    </row>
    <row r="303" spans="2:30" ht="27.75" customHeight="1" x14ac:dyDescent="0.25">
      <c r="B303" s="115">
        <v>45447</v>
      </c>
      <c r="C303" s="116" t="s">
        <v>117</v>
      </c>
      <c r="D303" s="116">
        <v>23</v>
      </c>
      <c r="E303" s="110" t="str">
        <f t="shared" si="12"/>
        <v>20240604-298</v>
      </c>
      <c r="F303" s="111" t="s">
        <v>98</v>
      </c>
      <c r="G303" s="111" t="s">
        <v>99</v>
      </c>
      <c r="H303" s="112" t="s">
        <v>505</v>
      </c>
      <c r="I303" s="113">
        <v>560.27</v>
      </c>
      <c r="J303" s="111" t="s">
        <v>118</v>
      </c>
      <c r="K303" s="111" t="s">
        <v>507</v>
      </c>
      <c r="L303" s="111" t="s">
        <v>103</v>
      </c>
      <c r="M303" s="111" t="s">
        <v>104</v>
      </c>
      <c r="N303" s="111" t="s">
        <v>120</v>
      </c>
      <c r="O303" s="111" t="s">
        <v>121</v>
      </c>
      <c r="P303" s="111" t="s">
        <v>122</v>
      </c>
      <c r="Q303" s="110" t="s">
        <v>123</v>
      </c>
      <c r="R303" s="110" t="s">
        <v>124</v>
      </c>
      <c r="S303" s="111" t="s">
        <v>110</v>
      </c>
      <c r="T303" s="111" t="s">
        <v>111</v>
      </c>
      <c r="U303" s="111" t="s">
        <v>103</v>
      </c>
      <c r="V303" s="118">
        <f t="shared" si="14"/>
        <v>1.8357962084446667E-2</v>
      </c>
      <c r="W303" s="114" t="str">
        <f>IFERROR(I303-AVERAGEIFS(I$6:I302,J$6:J302,"ICIS / Platts",B$6:B302,B303),"")</f>
        <v/>
      </c>
      <c r="X303" s="110" t="s">
        <v>125</v>
      </c>
      <c r="Y303" s="117" t="str">
        <f t="shared" si="13"/>
        <v>OK</v>
      </c>
      <c r="Z303" s="111" t="s">
        <v>116</v>
      </c>
      <c r="AA303" s="111" t="s">
        <v>115</v>
      </c>
      <c r="AB303" s="111" t="s">
        <v>116</v>
      </c>
      <c r="AC303" s="111" t="s">
        <v>115</v>
      </c>
      <c r="AD303" s="111"/>
    </row>
    <row r="304" spans="2:30" ht="27.75" customHeight="1" x14ac:dyDescent="0.25">
      <c r="B304" s="108">
        <v>45448</v>
      </c>
      <c r="C304" s="109" t="s">
        <v>126</v>
      </c>
      <c r="D304" s="109">
        <v>23</v>
      </c>
      <c r="E304" s="110" t="str">
        <f t="shared" si="12"/>
        <v>20240605-299</v>
      </c>
      <c r="F304" s="111" t="s">
        <v>98</v>
      </c>
      <c r="G304" s="111" t="s">
        <v>99</v>
      </c>
      <c r="H304" s="112" t="s">
        <v>505</v>
      </c>
      <c r="I304" s="113">
        <v>551.12</v>
      </c>
      <c r="J304" s="111" t="s">
        <v>127</v>
      </c>
      <c r="K304" s="111" t="s">
        <v>508</v>
      </c>
      <c r="L304" s="111" t="s">
        <v>129</v>
      </c>
      <c r="M304" s="111" t="s">
        <v>104</v>
      </c>
      <c r="N304" s="111" t="s">
        <v>130</v>
      </c>
      <c r="O304" s="111" t="s">
        <v>131</v>
      </c>
      <c r="P304" s="111" t="s">
        <v>132</v>
      </c>
      <c r="Q304" s="110" t="s">
        <v>133</v>
      </c>
      <c r="R304" s="110" t="s">
        <v>134</v>
      </c>
      <c r="S304" s="111" t="s">
        <v>135</v>
      </c>
      <c r="T304" s="111" t="s">
        <v>136</v>
      </c>
      <c r="U304" s="111" t="s">
        <v>129</v>
      </c>
      <c r="V304" s="118">
        <f t="shared" si="14"/>
        <v>-1.0521024094222437E-2</v>
      </c>
      <c r="W304" s="114" t="str">
        <f>IFERROR(I304-AVERAGEIFS(I$6:I303,J$6:J303,"ICIS / Platts",B$6:B303,B304),"")</f>
        <v/>
      </c>
      <c r="X304" s="110" t="s">
        <v>137</v>
      </c>
      <c r="Y304" s="117" t="str">
        <f t="shared" si="13"/>
        <v>OK</v>
      </c>
      <c r="Z304" s="111" t="s">
        <v>116</v>
      </c>
      <c r="AA304" s="111" t="s">
        <v>115</v>
      </c>
      <c r="AB304" s="111" t="s">
        <v>116</v>
      </c>
      <c r="AC304" s="111" t="s">
        <v>115</v>
      </c>
      <c r="AD304" s="111"/>
    </row>
    <row r="305" spans="2:30" ht="27.75" customHeight="1" x14ac:dyDescent="0.25">
      <c r="B305" s="115">
        <v>45450</v>
      </c>
      <c r="C305" s="116" t="s">
        <v>138</v>
      </c>
      <c r="D305" s="116">
        <v>23</v>
      </c>
      <c r="E305" s="110" t="str">
        <f t="shared" si="12"/>
        <v>20240607-300</v>
      </c>
      <c r="F305" s="111" t="s">
        <v>98</v>
      </c>
      <c r="G305" s="111" t="s">
        <v>99</v>
      </c>
      <c r="H305" s="112" t="s">
        <v>505</v>
      </c>
      <c r="I305" s="113">
        <v>551.08000000000004</v>
      </c>
      <c r="J305" s="111" t="s">
        <v>139</v>
      </c>
      <c r="K305" s="111" t="s">
        <v>509</v>
      </c>
      <c r="L305" s="111" t="s">
        <v>103</v>
      </c>
      <c r="M305" s="111" t="s">
        <v>104</v>
      </c>
      <c r="N305" s="111" t="s">
        <v>105</v>
      </c>
      <c r="O305" s="111" t="s">
        <v>106</v>
      </c>
      <c r="P305" s="111" t="s">
        <v>141</v>
      </c>
      <c r="Q305" s="110" t="s">
        <v>133</v>
      </c>
      <c r="R305" s="110" t="s">
        <v>142</v>
      </c>
      <c r="S305" s="111" t="s">
        <v>110</v>
      </c>
      <c r="T305" s="111" t="s">
        <v>111</v>
      </c>
      <c r="U305" s="111" t="s">
        <v>103</v>
      </c>
      <c r="V305" s="118">
        <f t="shared" si="14"/>
        <v>-5.6221549175709655E-4</v>
      </c>
      <c r="W305" s="114" t="str">
        <f>IFERROR(I305-AVERAGEIFS(I$6:I304,J$6:J304,"ICIS / Platts",B$6:B304,B305),"")</f>
        <v/>
      </c>
      <c r="X305" s="110" t="s">
        <v>125</v>
      </c>
      <c r="Y305" s="117" t="str">
        <f t="shared" si="13"/>
        <v>OK</v>
      </c>
      <c r="Z305" s="111" t="s">
        <v>116</v>
      </c>
      <c r="AA305" s="111" t="s">
        <v>115</v>
      </c>
      <c r="AB305" s="111" t="s">
        <v>116</v>
      </c>
      <c r="AC305" s="111" t="s">
        <v>115</v>
      </c>
      <c r="AD305" s="111"/>
    </row>
    <row r="306" spans="2:30" ht="27.75" customHeight="1" x14ac:dyDescent="0.25">
      <c r="B306" s="108">
        <v>45453</v>
      </c>
      <c r="C306" s="109" t="s">
        <v>97</v>
      </c>
      <c r="D306" s="109">
        <v>24</v>
      </c>
      <c r="E306" s="110" t="str">
        <f t="shared" si="12"/>
        <v>20240610-301</v>
      </c>
      <c r="F306" s="111" t="s">
        <v>98</v>
      </c>
      <c r="G306" s="111" t="s">
        <v>99</v>
      </c>
      <c r="H306" s="112" t="s">
        <v>510</v>
      </c>
      <c r="I306" s="113">
        <v>545</v>
      </c>
      <c r="J306" s="111" t="s">
        <v>101</v>
      </c>
      <c r="K306" s="111" t="s">
        <v>511</v>
      </c>
      <c r="L306" s="111" t="s">
        <v>103</v>
      </c>
      <c r="M306" s="111" t="s">
        <v>104</v>
      </c>
      <c r="N306" s="111" t="s">
        <v>105</v>
      </c>
      <c r="O306" s="111" t="s">
        <v>106</v>
      </c>
      <c r="P306" s="111" t="s">
        <v>107</v>
      </c>
      <c r="Q306" s="110" t="s">
        <v>108</v>
      </c>
      <c r="R306" s="110" t="s">
        <v>109</v>
      </c>
      <c r="S306" s="111" t="s">
        <v>110</v>
      </c>
      <c r="T306" s="111" t="s">
        <v>111</v>
      </c>
      <c r="U306" s="111" t="s">
        <v>103</v>
      </c>
      <c r="V306" s="118">
        <f t="shared" si="14"/>
        <v>-5.4744525547445258E-3</v>
      </c>
      <c r="W306" s="114" t="str">
        <f>IFERROR(I306-AVERAGEIFS(I$6:I305,J$6:J305,"ICIS / Platts",B$6:B305,B306),"")</f>
        <v/>
      </c>
      <c r="X306" s="110" t="s">
        <v>113</v>
      </c>
      <c r="Y306" s="117" t="str">
        <f t="shared" si="13"/>
        <v>OK</v>
      </c>
      <c r="Z306" s="111" t="s">
        <v>116</v>
      </c>
      <c r="AA306" s="111" t="s">
        <v>115</v>
      </c>
      <c r="AB306" s="111" t="s">
        <v>116</v>
      </c>
      <c r="AC306" s="111" t="s">
        <v>115</v>
      </c>
      <c r="AD306" s="111"/>
    </row>
    <row r="307" spans="2:30" ht="27.75" customHeight="1" x14ac:dyDescent="0.25">
      <c r="B307" s="115">
        <v>45454</v>
      </c>
      <c r="C307" s="116" t="s">
        <v>117</v>
      </c>
      <c r="D307" s="116">
        <v>24</v>
      </c>
      <c r="E307" s="110" t="str">
        <f t="shared" si="12"/>
        <v>20240611-302</v>
      </c>
      <c r="F307" s="111" t="s">
        <v>98</v>
      </c>
      <c r="G307" s="111" t="s">
        <v>99</v>
      </c>
      <c r="H307" s="112" t="s">
        <v>510</v>
      </c>
      <c r="I307" s="113">
        <v>549.65</v>
      </c>
      <c r="J307" s="111" t="s">
        <v>118</v>
      </c>
      <c r="K307" s="111" t="s">
        <v>512</v>
      </c>
      <c r="L307" s="111" t="s">
        <v>103</v>
      </c>
      <c r="M307" s="111" t="s">
        <v>104</v>
      </c>
      <c r="N307" s="111" t="s">
        <v>120</v>
      </c>
      <c r="O307" s="111" t="s">
        <v>121</v>
      </c>
      <c r="P307" s="111" t="s">
        <v>122</v>
      </c>
      <c r="Q307" s="110" t="s">
        <v>123</v>
      </c>
      <c r="R307" s="110" t="s">
        <v>124</v>
      </c>
      <c r="S307" s="111" t="s">
        <v>110</v>
      </c>
      <c r="T307" s="111" t="s">
        <v>111</v>
      </c>
      <c r="U307" s="111" t="s">
        <v>103</v>
      </c>
      <c r="V307" s="118">
        <f t="shared" si="14"/>
        <v>-1.895514662573403E-2</v>
      </c>
      <c r="W307" s="114" t="str">
        <f>IFERROR(I307-AVERAGEIFS(I$6:I306,J$6:J306,"ICIS / Platts",B$6:B306,B307),"")</f>
        <v/>
      </c>
      <c r="X307" s="110" t="s">
        <v>125</v>
      </c>
      <c r="Y307" s="117" t="str">
        <f t="shared" si="13"/>
        <v>OK</v>
      </c>
      <c r="Z307" s="111" t="s">
        <v>116</v>
      </c>
      <c r="AA307" s="111" t="s">
        <v>115</v>
      </c>
      <c r="AB307" s="111" t="s">
        <v>116</v>
      </c>
      <c r="AC307" s="111" t="s">
        <v>115</v>
      </c>
      <c r="AD307" s="111"/>
    </row>
    <row r="308" spans="2:30" ht="27.75" customHeight="1" x14ac:dyDescent="0.25">
      <c r="B308" s="108">
        <v>45455</v>
      </c>
      <c r="C308" s="109" t="s">
        <v>126</v>
      </c>
      <c r="D308" s="109">
        <v>24</v>
      </c>
      <c r="E308" s="110" t="str">
        <f t="shared" si="12"/>
        <v>20240612-303</v>
      </c>
      <c r="F308" s="111" t="s">
        <v>98</v>
      </c>
      <c r="G308" s="111" t="s">
        <v>99</v>
      </c>
      <c r="H308" s="112" t="s">
        <v>510</v>
      </c>
      <c r="I308" s="113">
        <v>542.20000000000005</v>
      </c>
      <c r="J308" s="111" t="s">
        <v>127</v>
      </c>
      <c r="K308" s="111" t="s">
        <v>513</v>
      </c>
      <c r="L308" s="111" t="s">
        <v>129</v>
      </c>
      <c r="M308" s="111" t="s">
        <v>104</v>
      </c>
      <c r="N308" s="111" t="s">
        <v>130</v>
      </c>
      <c r="O308" s="111" t="s">
        <v>131</v>
      </c>
      <c r="P308" s="111" t="s">
        <v>132</v>
      </c>
      <c r="Q308" s="110" t="s">
        <v>133</v>
      </c>
      <c r="R308" s="110" t="s">
        <v>134</v>
      </c>
      <c r="S308" s="111" t="s">
        <v>135</v>
      </c>
      <c r="T308" s="111" t="s">
        <v>136</v>
      </c>
      <c r="U308" s="111" t="s">
        <v>129</v>
      </c>
      <c r="V308" s="118">
        <f t="shared" si="14"/>
        <v>-1.6185222818986718E-2</v>
      </c>
      <c r="W308" s="114" t="str">
        <f>IFERROR(I308-AVERAGEIFS(I$6:I307,J$6:J307,"ICIS / Platts",B$6:B307,B308),"")</f>
        <v/>
      </c>
      <c r="X308" s="110" t="s">
        <v>137</v>
      </c>
      <c r="Y308" s="117" t="str">
        <f t="shared" si="13"/>
        <v>OK</v>
      </c>
      <c r="Z308" s="111" t="s">
        <v>116</v>
      </c>
      <c r="AA308" s="111" t="s">
        <v>115</v>
      </c>
      <c r="AB308" s="111" t="s">
        <v>116</v>
      </c>
      <c r="AC308" s="111" t="s">
        <v>115</v>
      </c>
      <c r="AD308" s="111"/>
    </row>
    <row r="309" spans="2:30" ht="27.75" customHeight="1" x14ac:dyDescent="0.25">
      <c r="B309" s="115">
        <v>45457</v>
      </c>
      <c r="C309" s="116" t="s">
        <v>138</v>
      </c>
      <c r="D309" s="116">
        <v>24</v>
      </c>
      <c r="E309" s="110" t="str">
        <f t="shared" si="12"/>
        <v>20240614-304</v>
      </c>
      <c r="F309" s="111" t="s">
        <v>98</v>
      </c>
      <c r="G309" s="111" t="s">
        <v>99</v>
      </c>
      <c r="H309" s="112" t="s">
        <v>510</v>
      </c>
      <c r="I309" s="113">
        <v>537.09</v>
      </c>
      <c r="J309" s="111" t="s">
        <v>139</v>
      </c>
      <c r="K309" s="111" t="s">
        <v>514</v>
      </c>
      <c r="L309" s="111" t="s">
        <v>103</v>
      </c>
      <c r="M309" s="111" t="s">
        <v>104</v>
      </c>
      <c r="N309" s="111" t="s">
        <v>105</v>
      </c>
      <c r="O309" s="111" t="s">
        <v>106</v>
      </c>
      <c r="P309" s="111" t="s">
        <v>141</v>
      </c>
      <c r="Q309" s="110" t="s">
        <v>133</v>
      </c>
      <c r="R309" s="110" t="s">
        <v>142</v>
      </c>
      <c r="S309" s="111" t="s">
        <v>110</v>
      </c>
      <c r="T309" s="111" t="s">
        <v>111</v>
      </c>
      <c r="U309" s="111" t="s">
        <v>103</v>
      </c>
      <c r="V309" s="118">
        <f t="shared" si="14"/>
        <v>-2.5386513754808753E-2</v>
      </c>
      <c r="W309" s="114" t="str">
        <f>IFERROR(I309-AVERAGEIFS(I$6:I308,J$6:J308,"ICIS / Platts",B$6:B308,B309),"")</f>
        <v/>
      </c>
      <c r="X309" s="110" t="s">
        <v>125</v>
      </c>
      <c r="Y309" s="117" t="str">
        <f t="shared" si="13"/>
        <v>OK</v>
      </c>
      <c r="Z309" s="111" t="s">
        <v>116</v>
      </c>
      <c r="AA309" s="111" t="s">
        <v>115</v>
      </c>
      <c r="AB309" s="111" t="s">
        <v>116</v>
      </c>
      <c r="AC309" s="111" t="s">
        <v>115</v>
      </c>
      <c r="AD309" s="111"/>
    </row>
    <row r="310" spans="2:30" ht="27.75" customHeight="1" x14ac:dyDescent="0.25">
      <c r="B310" s="108">
        <v>45460</v>
      </c>
      <c r="C310" s="109" t="s">
        <v>97</v>
      </c>
      <c r="D310" s="109">
        <v>25</v>
      </c>
      <c r="E310" s="110" t="str">
        <f t="shared" si="12"/>
        <v>20240617-305</v>
      </c>
      <c r="F310" s="111" t="s">
        <v>98</v>
      </c>
      <c r="G310" s="111" t="s">
        <v>99</v>
      </c>
      <c r="H310" s="112" t="s">
        <v>515</v>
      </c>
      <c r="I310" s="113">
        <v>542</v>
      </c>
      <c r="J310" s="111" t="s">
        <v>101</v>
      </c>
      <c r="K310" s="111" t="s">
        <v>516</v>
      </c>
      <c r="L310" s="111" t="s">
        <v>103</v>
      </c>
      <c r="M310" s="111" t="s">
        <v>104</v>
      </c>
      <c r="N310" s="111" t="s">
        <v>105</v>
      </c>
      <c r="O310" s="111" t="s">
        <v>106</v>
      </c>
      <c r="P310" s="111" t="s">
        <v>107</v>
      </c>
      <c r="Q310" s="110" t="s">
        <v>108</v>
      </c>
      <c r="R310" s="110" t="s">
        <v>109</v>
      </c>
      <c r="S310" s="111" t="s">
        <v>110</v>
      </c>
      <c r="T310" s="111" t="s">
        <v>111</v>
      </c>
      <c r="U310" s="111" t="s">
        <v>103</v>
      </c>
      <c r="V310" s="118">
        <f t="shared" si="14"/>
        <v>-5.5045871559633031E-3</v>
      </c>
      <c r="W310" s="114" t="str">
        <f>IFERROR(I310-AVERAGEIFS(I$6:I309,J$6:J309,"ICIS / Platts",B$6:B309,B310),"")</f>
        <v/>
      </c>
      <c r="X310" s="110" t="s">
        <v>113</v>
      </c>
      <c r="Y310" s="117" t="str">
        <f t="shared" si="13"/>
        <v>OK</v>
      </c>
      <c r="Z310" s="111" t="s">
        <v>116</v>
      </c>
      <c r="AA310" s="111" t="s">
        <v>115</v>
      </c>
      <c r="AB310" s="111" t="s">
        <v>116</v>
      </c>
      <c r="AC310" s="111" t="s">
        <v>115</v>
      </c>
      <c r="AD310" s="111"/>
    </row>
    <row r="311" spans="2:30" ht="27.75" customHeight="1" x14ac:dyDescent="0.25">
      <c r="B311" s="115">
        <v>45461</v>
      </c>
      <c r="C311" s="116" t="s">
        <v>117</v>
      </c>
      <c r="D311" s="116">
        <v>25</v>
      </c>
      <c r="E311" s="110" t="str">
        <f t="shared" si="12"/>
        <v>20240618-306</v>
      </c>
      <c r="F311" s="111" t="s">
        <v>98</v>
      </c>
      <c r="G311" s="111" t="s">
        <v>99</v>
      </c>
      <c r="H311" s="112" t="s">
        <v>515</v>
      </c>
      <c r="I311" s="113">
        <v>549.49</v>
      </c>
      <c r="J311" s="111" t="s">
        <v>118</v>
      </c>
      <c r="K311" s="111" t="s">
        <v>517</v>
      </c>
      <c r="L311" s="111" t="s">
        <v>103</v>
      </c>
      <c r="M311" s="111" t="s">
        <v>104</v>
      </c>
      <c r="N311" s="111" t="s">
        <v>120</v>
      </c>
      <c r="O311" s="111" t="s">
        <v>121</v>
      </c>
      <c r="P311" s="111" t="s">
        <v>122</v>
      </c>
      <c r="Q311" s="110" t="s">
        <v>123</v>
      </c>
      <c r="R311" s="110" t="s">
        <v>124</v>
      </c>
      <c r="S311" s="111" t="s">
        <v>110</v>
      </c>
      <c r="T311" s="111" t="s">
        <v>111</v>
      </c>
      <c r="U311" s="111" t="s">
        <v>103</v>
      </c>
      <c r="V311" s="118">
        <f t="shared" si="14"/>
        <v>-2.9109433275715125E-4</v>
      </c>
      <c r="W311" s="114" t="str">
        <f>IFERROR(I311-AVERAGEIFS(I$6:I310,J$6:J310,"ICIS / Platts",B$6:B310,B311),"")</f>
        <v/>
      </c>
      <c r="X311" s="110" t="s">
        <v>125</v>
      </c>
      <c r="Y311" s="117" t="str">
        <f t="shared" si="13"/>
        <v>OK</v>
      </c>
      <c r="Z311" s="111" t="s">
        <v>116</v>
      </c>
      <c r="AA311" s="111" t="s">
        <v>115</v>
      </c>
      <c r="AB311" s="111" t="s">
        <v>116</v>
      </c>
      <c r="AC311" s="111" t="s">
        <v>115</v>
      </c>
      <c r="AD311" s="111"/>
    </row>
    <row r="312" spans="2:30" ht="27.75" customHeight="1" x14ac:dyDescent="0.25">
      <c r="B312" s="108">
        <v>45462</v>
      </c>
      <c r="C312" s="109" t="s">
        <v>126</v>
      </c>
      <c r="D312" s="109">
        <v>25</v>
      </c>
      <c r="E312" s="110" t="str">
        <f t="shared" si="12"/>
        <v>20240619-307</v>
      </c>
      <c r="F312" s="111" t="s">
        <v>98</v>
      </c>
      <c r="G312" s="111" t="s">
        <v>99</v>
      </c>
      <c r="H312" s="112" t="s">
        <v>515</v>
      </c>
      <c r="I312" s="113">
        <v>540.59</v>
      </c>
      <c r="J312" s="111" t="s">
        <v>127</v>
      </c>
      <c r="K312" s="111" t="s">
        <v>518</v>
      </c>
      <c r="L312" s="111" t="s">
        <v>129</v>
      </c>
      <c r="M312" s="111" t="s">
        <v>104</v>
      </c>
      <c r="N312" s="111" t="s">
        <v>130</v>
      </c>
      <c r="O312" s="111" t="s">
        <v>131</v>
      </c>
      <c r="P312" s="111" t="s">
        <v>132</v>
      </c>
      <c r="Q312" s="110" t="s">
        <v>133</v>
      </c>
      <c r="R312" s="110" t="s">
        <v>134</v>
      </c>
      <c r="S312" s="111" t="s">
        <v>135</v>
      </c>
      <c r="T312" s="111" t="s">
        <v>136</v>
      </c>
      <c r="U312" s="111" t="s">
        <v>129</v>
      </c>
      <c r="V312" s="118">
        <f t="shared" si="14"/>
        <v>-2.9693839911472033E-3</v>
      </c>
      <c r="W312" s="114" t="str">
        <f>IFERROR(I312-AVERAGEIFS(I$6:I311,J$6:J311,"ICIS / Platts",B$6:B311,B312),"")</f>
        <v/>
      </c>
      <c r="X312" s="110" t="s">
        <v>137</v>
      </c>
      <c r="Y312" s="117" t="str">
        <f t="shared" si="13"/>
        <v>OK</v>
      </c>
      <c r="Z312" s="111" t="s">
        <v>116</v>
      </c>
      <c r="AA312" s="111" t="s">
        <v>115</v>
      </c>
      <c r="AB312" s="111" t="s">
        <v>116</v>
      </c>
      <c r="AC312" s="111" t="s">
        <v>115</v>
      </c>
      <c r="AD312" s="111"/>
    </row>
    <row r="313" spans="2:30" ht="27.75" customHeight="1" x14ac:dyDescent="0.25">
      <c r="B313" s="115">
        <v>45464</v>
      </c>
      <c r="C313" s="116" t="s">
        <v>138</v>
      </c>
      <c r="D313" s="116">
        <v>25</v>
      </c>
      <c r="E313" s="110" t="str">
        <f t="shared" si="12"/>
        <v>20240621-308</v>
      </c>
      <c r="F313" s="111" t="s">
        <v>98</v>
      </c>
      <c r="G313" s="111" t="s">
        <v>99</v>
      </c>
      <c r="H313" s="112" t="s">
        <v>515</v>
      </c>
      <c r="I313" s="113">
        <v>545.91999999999996</v>
      </c>
      <c r="J313" s="111" t="s">
        <v>139</v>
      </c>
      <c r="K313" s="111" t="s">
        <v>519</v>
      </c>
      <c r="L313" s="111" t="s">
        <v>103</v>
      </c>
      <c r="M313" s="111" t="s">
        <v>104</v>
      </c>
      <c r="N313" s="111" t="s">
        <v>105</v>
      </c>
      <c r="O313" s="111" t="s">
        <v>106</v>
      </c>
      <c r="P313" s="111" t="s">
        <v>141</v>
      </c>
      <c r="Q313" s="110" t="s">
        <v>133</v>
      </c>
      <c r="R313" s="110" t="s">
        <v>142</v>
      </c>
      <c r="S313" s="111" t="s">
        <v>110</v>
      </c>
      <c r="T313" s="111" t="s">
        <v>111</v>
      </c>
      <c r="U313" s="111" t="s">
        <v>103</v>
      </c>
      <c r="V313" s="118">
        <f t="shared" si="14"/>
        <v>1.6440447597236826E-2</v>
      </c>
      <c r="W313" s="114" t="str">
        <f>IFERROR(I313-AVERAGEIFS(I$6:I312,J$6:J312,"ICIS / Platts",B$6:B312,B313),"")</f>
        <v/>
      </c>
      <c r="X313" s="110" t="s">
        <v>125</v>
      </c>
      <c r="Y313" s="117" t="str">
        <f t="shared" si="13"/>
        <v>OK</v>
      </c>
      <c r="Z313" s="111" t="s">
        <v>116</v>
      </c>
      <c r="AA313" s="111" t="s">
        <v>115</v>
      </c>
      <c r="AB313" s="111" t="s">
        <v>116</v>
      </c>
      <c r="AC313" s="111" t="s">
        <v>115</v>
      </c>
      <c r="AD313" s="111"/>
    </row>
    <row r="314" spans="2:30" ht="27.75" customHeight="1" x14ac:dyDescent="0.25">
      <c r="B314" s="108">
        <v>45467</v>
      </c>
      <c r="C314" s="109" t="s">
        <v>97</v>
      </c>
      <c r="D314" s="109">
        <v>26</v>
      </c>
      <c r="E314" s="110" t="str">
        <f t="shared" si="12"/>
        <v>20240624-309</v>
      </c>
      <c r="F314" s="111" t="s">
        <v>98</v>
      </c>
      <c r="G314" s="111" t="s">
        <v>99</v>
      </c>
      <c r="H314" s="112" t="s">
        <v>520</v>
      </c>
      <c r="I314" s="113">
        <v>545</v>
      </c>
      <c r="J314" s="111" t="s">
        <v>101</v>
      </c>
      <c r="K314" s="111" t="s">
        <v>521</v>
      </c>
      <c r="L314" s="111" t="s">
        <v>103</v>
      </c>
      <c r="M314" s="111" t="s">
        <v>104</v>
      </c>
      <c r="N314" s="111" t="s">
        <v>105</v>
      </c>
      <c r="O314" s="111" t="s">
        <v>106</v>
      </c>
      <c r="P314" s="111" t="s">
        <v>107</v>
      </c>
      <c r="Q314" s="110" t="s">
        <v>108</v>
      </c>
      <c r="R314" s="110" t="s">
        <v>109</v>
      </c>
      <c r="S314" s="111" t="s">
        <v>110</v>
      </c>
      <c r="T314" s="111" t="s">
        <v>111</v>
      </c>
      <c r="U314" s="111" t="s">
        <v>103</v>
      </c>
      <c r="V314" s="118">
        <f t="shared" si="14"/>
        <v>5.5350553505535052E-3</v>
      </c>
      <c r="W314" s="114" t="str">
        <f>IFERROR(I314-AVERAGEIFS(I$6:I313,J$6:J313,"ICIS / Platts",B$6:B313,B314),"")</f>
        <v/>
      </c>
      <c r="X314" s="110" t="s">
        <v>113</v>
      </c>
      <c r="Y314" s="117" t="str">
        <f t="shared" si="13"/>
        <v>OK</v>
      </c>
      <c r="Z314" s="111" t="s">
        <v>116</v>
      </c>
      <c r="AA314" s="111" t="s">
        <v>115</v>
      </c>
      <c r="AB314" s="111" t="s">
        <v>116</v>
      </c>
      <c r="AC314" s="111" t="s">
        <v>115</v>
      </c>
      <c r="AD314" s="111"/>
    </row>
    <row r="315" spans="2:30" ht="27.75" customHeight="1" x14ac:dyDescent="0.25">
      <c r="B315" s="115">
        <v>45468</v>
      </c>
      <c r="C315" s="116" t="s">
        <v>117</v>
      </c>
      <c r="D315" s="116">
        <v>26</v>
      </c>
      <c r="E315" s="110" t="str">
        <f t="shared" si="12"/>
        <v>20240625-310</v>
      </c>
      <c r="F315" s="111" t="s">
        <v>98</v>
      </c>
      <c r="G315" s="111" t="s">
        <v>99</v>
      </c>
      <c r="H315" s="112" t="s">
        <v>520</v>
      </c>
      <c r="I315" s="113">
        <v>540.28</v>
      </c>
      <c r="J315" s="111" t="s">
        <v>118</v>
      </c>
      <c r="K315" s="111" t="s">
        <v>522</v>
      </c>
      <c r="L315" s="111" t="s">
        <v>103</v>
      </c>
      <c r="M315" s="111" t="s">
        <v>104</v>
      </c>
      <c r="N315" s="111" t="s">
        <v>120</v>
      </c>
      <c r="O315" s="111" t="s">
        <v>121</v>
      </c>
      <c r="P315" s="111" t="s">
        <v>122</v>
      </c>
      <c r="Q315" s="110" t="s">
        <v>123</v>
      </c>
      <c r="R315" s="110" t="s">
        <v>124</v>
      </c>
      <c r="S315" s="111" t="s">
        <v>110</v>
      </c>
      <c r="T315" s="111" t="s">
        <v>111</v>
      </c>
      <c r="U315" s="111" t="s">
        <v>103</v>
      </c>
      <c r="V315" s="118">
        <f t="shared" si="14"/>
        <v>-1.6760996560447026E-2</v>
      </c>
      <c r="W315" s="114" t="str">
        <f>IFERROR(I315-AVERAGEIFS(I$6:I314,J$6:J314,"ICIS / Platts",B$6:B314,B315),"")</f>
        <v/>
      </c>
      <c r="X315" s="110" t="s">
        <v>125</v>
      </c>
      <c r="Y315" s="117" t="str">
        <f t="shared" si="13"/>
        <v>OK</v>
      </c>
      <c r="Z315" s="111" t="s">
        <v>116</v>
      </c>
      <c r="AA315" s="111" t="s">
        <v>115</v>
      </c>
      <c r="AB315" s="111" t="s">
        <v>116</v>
      </c>
      <c r="AC315" s="111" t="s">
        <v>115</v>
      </c>
      <c r="AD315" s="111"/>
    </row>
    <row r="316" spans="2:30" ht="27.75" customHeight="1" x14ac:dyDescent="0.25">
      <c r="B316" s="108">
        <v>45469</v>
      </c>
      <c r="C316" s="109" t="s">
        <v>126</v>
      </c>
      <c r="D316" s="109">
        <v>26</v>
      </c>
      <c r="E316" s="110" t="str">
        <f t="shared" si="12"/>
        <v>20240626-311</v>
      </c>
      <c r="F316" s="111" t="s">
        <v>98</v>
      </c>
      <c r="G316" s="111" t="s">
        <v>99</v>
      </c>
      <c r="H316" s="112" t="s">
        <v>520</v>
      </c>
      <c r="I316" s="113">
        <v>538.23</v>
      </c>
      <c r="J316" s="111" t="s">
        <v>127</v>
      </c>
      <c r="K316" s="111" t="s">
        <v>523</v>
      </c>
      <c r="L316" s="111" t="s">
        <v>129</v>
      </c>
      <c r="M316" s="111" t="s">
        <v>104</v>
      </c>
      <c r="N316" s="111" t="s">
        <v>130</v>
      </c>
      <c r="O316" s="111" t="s">
        <v>131</v>
      </c>
      <c r="P316" s="111" t="s">
        <v>132</v>
      </c>
      <c r="Q316" s="110" t="s">
        <v>133</v>
      </c>
      <c r="R316" s="110" t="s">
        <v>134</v>
      </c>
      <c r="S316" s="111" t="s">
        <v>135</v>
      </c>
      <c r="T316" s="111" t="s">
        <v>136</v>
      </c>
      <c r="U316" s="111" t="s">
        <v>129</v>
      </c>
      <c r="V316" s="118">
        <f t="shared" si="14"/>
        <v>-4.3656005475499245E-3</v>
      </c>
      <c r="W316" s="114" t="str">
        <f>IFERROR(I316-AVERAGEIFS(I$6:I315,J$6:J315,"ICIS / Platts",B$6:B315,B316),"")</f>
        <v/>
      </c>
      <c r="X316" s="110" t="s">
        <v>137</v>
      </c>
      <c r="Y316" s="117" t="str">
        <f t="shared" si="13"/>
        <v>OK</v>
      </c>
      <c r="Z316" s="111" t="s">
        <v>116</v>
      </c>
      <c r="AA316" s="111" t="s">
        <v>115</v>
      </c>
      <c r="AB316" s="111" t="s">
        <v>116</v>
      </c>
      <c r="AC316" s="111" t="s">
        <v>115</v>
      </c>
      <c r="AD316" s="111"/>
    </row>
    <row r="317" spans="2:30" ht="27.75" customHeight="1" x14ac:dyDescent="0.25">
      <c r="B317" s="115">
        <v>45471</v>
      </c>
      <c r="C317" s="116" t="s">
        <v>138</v>
      </c>
      <c r="D317" s="116">
        <v>26</v>
      </c>
      <c r="E317" s="110" t="str">
        <f t="shared" si="12"/>
        <v>20240628-312</v>
      </c>
      <c r="F317" s="111" t="s">
        <v>98</v>
      </c>
      <c r="G317" s="111" t="s">
        <v>99</v>
      </c>
      <c r="H317" s="112" t="s">
        <v>520</v>
      </c>
      <c r="I317" s="113">
        <v>548.45000000000005</v>
      </c>
      <c r="J317" s="111" t="s">
        <v>139</v>
      </c>
      <c r="K317" s="111" t="s">
        <v>524</v>
      </c>
      <c r="L317" s="111" t="s">
        <v>103</v>
      </c>
      <c r="M317" s="111" t="s">
        <v>104</v>
      </c>
      <c r="N317" s="111" t="s">
        <v>105</v>
      </c>
      <c r="O317" s="111" t="s">
        <v>106</v>
      </c>
      <c r="P317" s="111" t="s">
        <v>141</v>
      </c>
      <c r="Q317" s="110" t="s">
        <v>133</v>
      </c>
      <c r="R317" s="110" t="s">
        <v>142</v>
      </c>
      <c r="S317" s="111" t="s">
        <v>110</v>
      </c>
      <c r="T317" s="111" t="s">
        <v>111</v>
      </c>
      <c r="U317" s="111" t="s">
        <v>103</v>
      </c>
      <c r="V317" s="118">
        <f t="shared" si="14"/>
        <v>4.6343786635406042E-3</v>
      </c>
      <c r="W317" s="114" t="str">
        <f>IFERROR(I317-AVERAGEIFS(I$6:I316,J$6:J316,"ICIS / Platts",B$6:B316,B317),"")</f>
        <v/>
      </c>
      <c r="X317" s="110" t="s">
        <v>125</v>
      </c>
      <c r="Y317" s="117" t="str">
        <f t="shared" si="13"/>
        <v>OK</v>
      </c>
      <c r="Z317" s="111" t="s">
        <v>116</v>
      </c>
      <c r="AA317" s="111" t="s">
        <v>115</v>
      </c>
      <c r="AB317" s="111" t="s">
        <v>116</v>
      </c>
      <c r="AC317" s="111" t="s">
        <v>115</v>
      </c>
      <c r="AD317" s="111"/>
    </row>
    <row r="318" spans="2:30" ht="27.75" customHeight="1" x14ac:dyDescent="0.25">
      <c r="B318" s="108">
        <v>45474</v>
      </c>
      <c r="C318" s="109" t="s">
        <v>97</v>
      </c>
      <c r="D318" s="109">
        <v>27</v>
      </c>
      <c r="E318" s="110" t="str">
        <f t="shared" si="12"/>
        <v>20240701-313</v>
      </c>
      <c r="F318" s="111" t="s">
        <v>98</v>
      </c>
      <c r="G318" s="111" t="s">
        <v>99</v>
      </c>
      <c r="H318" s="112" t="s">
        <v>525</v>
      </c>
      <c r="I318" s="113">
        <v>548</v>
      </c>
      <c r="J318" s="111" t="s">
        <v>101</v>
      </c>
      <c r="K318" s="111" t="s">
        <v>526</v>
      </c>
      <c r="L318" s="111" t="s">
        <v>103</v>
      </c>
      <c r="M318" s="111" t="s">
        <v>104</v>
      </c>
      <c r="N318" s="111" t="s">
        <v>105</v>
      </c>
      <c r="O318" s="111" t="s">
        <v>106</v>
      </c>
      <c r="P318" s="111" t="s">
        <v>107</v>
      </c>
      <c r="Q318" s="110" t="s">
        <v>108</v>
      </c>
      <c r="R318" s="110" t="s">
        <v>109</v>
      </c>
      <c r="S318" s="111" t="s">
        <v>110</v>
      </c>
      <c r="T318" s="111" t="s">
        <v>111</v>
      </c>
      <c r="U318" s="111" t="s">
        <v>103</v>
      </c>
      <c r="V318" s="118">
        <f t="shared" si="14"/>
        <v>5.5045871559633031E-3</v>
      </c>
      <c r="W318" s="114" t="str">
        <f>IFERROR(I318-AVERAGEIFS(I$6:I317,J$6:J317,"ICIS / Platts",B$6:B317,B318),"")</f>
        <v/>
      </c>
      <c r="X318" s="110" t="s">
        <v>113</v>
      </c>
      <c r="Y318" s="117" t="str">
        <f t="shared" si="13"/>
        <v>OK</v>
      </c>
      <c r="Z318" s="111" t="s">
        <v>116</v>
      </c>
      <c r="AA318" s="111" t="s">
        <v>115</v>
      </c>
      <c r="AB318" s="111" t="s">
        <v>116</v>
      </c>
      <c r="AC318" s="111" t="s">
        <v>116</v>
      </c>
      <c r="AD318" s="111"/>
    </row>
    <row r="319" spans="2:30" ht="27.75" customHeight="1" x14ac:dyDescent="0.25">
      <c r="B319" s="115">
        <v>45475</v>
      </c>
      <c r="C319" s="116" t="s">
        <v>117</v>
      </c>
      <c r="D319" s="116">
        <v>27</v>
      </c>
      <c r="E319" s="110" t="str">
        <f t="shared" si="12"/>
        <v>20240702-314</v>
      </c>
      <c r="F319" s="111" t="s">
        <v>98</v>
      </c>
      <c r="G319" s="111" t="s">
        <v>99</v>
      </c>
      <c r="H319" s="112" t="s">
        <v>525</v>
      </c>
      <c r="I319" s="113">
        <v>559.6</v>
      </c>
      <c r="J319" s="111" t="s">
        <v>118</v>
      </c>
      <c r="K319" s="111" t="s">
        <v>527</v>
      </c>
      <c r="L319" s="111" t="s">
        <v>103</v>
      </c>
      <c r="M319" s="111" t="s">
        <v>104</v>
      </c>
      <c r="N319" s="111" t="s">
        <v>120</v>
      </c>
      <c r="O319" s="111" t="s">
        <v>121</v>
      </c>
      <c r="P319" s="111" t="s">
        <v>122</v>
      </c>
      <c r="Q319" s="110" t="s">
        <v>123</v>
      </c>
      <c r="R319" s="110" t="s">
        <v>124</v>
      </c>
      <c r="S319" s="111" t="s">
        <v>110</v>
      </c>
      <c r="T319" s="111" t="s">
        <v>111</v>
      </c>
      <c r="U319" s="111" t="s">
        <v>103</v>
      </c>
      <c r="V319" s="118">
        <f t="shared" si="14"/>
        <v>3.5759235951728828E-2</v>
      </c>
      <c r="W319" s="114" t="str">
        <f>IFERROR(I319-AVERAGEIFS(I$6:I318,J$6:J318,"ICIS / Platts",B$6:B318,B319),"")</f>
        <v/>
      </c>
      <c r="X319" s="110" t="s">
        <v>125</v>
      </c>
      <c r="Y319" s="117" t="str">
        <f t="shared" si="13"/>
        <v>OK</v>
      </c>
      <c r="Z319" s="111" t="s">
        <v>116</v>
      </c>
      <c r="AA319" s="111" t="s">
        <v>115</v>
      </c>
      <c r="AB319" s="111" t="s">
        <v>116</v>
      </c>
      <c r="AC319" s="111" t="s">
        <v>116</v>
      </c>
      <c r="AD319" s="111"/>
    </row>
    <row r="320" spans="2:30" ht="27.75" customHeight="1" x14ac:dyDescent="0.25">
      <c r="B320" s="108">
        <v>45476</v>
      </c>
      <c r="C320" s="109" t="s">
        <v>126</v>
      </c>
      <c r="D320" s="109">
        <v>27</v>
      </c>
      <c r="E320" s="110" t="str">
        <f t="shared" si="12"/>
        <v>20240703-315</v>
      </c>
      <c r="F320" s="111" t="s">
        <v>98</v>
      </c>
      <c r="G320" s="111" t="s">
        <v>99</v>
      </c>
      <c r="H320" s="112" t="s">
        <v>525</v>
      </c>
      <c r="I320" s="113">
        <v>545.67999999999995</v>
      </c>
      <c r="J320" s="111" t="s">
        <v>127</v>
      </c>
      <c r="K320" s="111" t="s">
        <v>528</v>
      </c>
      <c r="L320" s="111" t="s">
        <v>129</v>
      </c>
      <c r="M320" s="111" t="s">
        <v>104</v>
      </c>
      <c r="N320" s="111" t="s">
        <v>130</v>
      </c>
      <c r="O320" s="111" t="s">
        <v>131</v>
      </c>
      <c r="P320" s="111" t="s">
        <v>132</v>
      </c>
      <c r="Q320" s="110" t="s">
        <v>133</v>
      </c>
      <c r="R320" s="110" t="s">
        <v>134</v>
      </c>
      <c r="S320" s="111" t="s">
        <v>135</v>
      </c>
      <c r="T320" s="111" t="s">
        <v>136</v>
      </c>
      <c r="U320" s="111" t="s">
        <v>129</v>
      </c>
      <c r="V320" s="118">
        <f t="shared" si="14"/>
        <v>1.3841666202181097E-2</v>
      </c>
      <c r="W320" s="114" t="str">
        <f>IFERROR(I320-AVERAGEIFS(I$6:I319,J$6:J319,"ICIS / Platts",B$6:B319,B320),"")</f>
        <v/>
      </c>
      <c r="X320" s="110" t="s">
        <v>137</v>
      </c>
      <c r="Y320" s="117" t="str">
        <f t="shared" si="13"/>
        <v>OK</v>
      </c>
      <c r="Z320" s="111" t="s">
        <v>116</v>
      </c>
      <c r="AA320" s="111" t="s">
        <v>115</v>
      </c>
      <c r="AB320" s="111" t="s">
        <v>116</v>
      </c>
      <c r="AC320" s="111" t="s">
        <v>116</v>
      </c>
      <c r="AD320" s="111"/>
    </row>
    <row r="321" spans="2:30" ht="27.75" customHeight="1" x14ac:dyDescent="0.25">
      <c r="B321" s="115">
        <v>45478</v>
      </c>
      <c r="C321" s="116" t="s">
        <v>138</v>
      </c>
      <c r="D321" s="116">
        <v>27</v>
      </c>
      <c r="E321" s="110" t="str">
        <f t="shared" si="12"/>
        <v>20240705-316</v>
      </c>
      <c r="F321" s="111" t="s">
        <v>98</v>
      </c>
      <c r="G321" s="111" t="s">
        <v>99</v>
      </c>
      <c r="H321" s="112" t="s">
        <v>525</v>
      </c>
      <c r="I321" s="113">
        <v>541</v>
      </c>
      <c r="J321" s="111" t="s">
        <v>139</v>
      </c>
      <c r="K321" s="111" t="s">
        <v>529</v>
      </c>
      <c r="L321" s="111" t="s">
        <v>103</v>
      </c>
      <c r="M321" s="111" t="s">
        <v>104</v>
      </c>
      <c r="N321" s="111" t="s">
        <v>105</v>
      </c>
      <c r="O321" s="111" t="s">
        <v>106</v>
      </c>
      <c r="P321" s="111" t="s">
        <v>141</v>
      </c>
      <c r="Q321" s="110" t="s">
        <v>133</v>
      </c>
      <c r="R321" s="110" t="s">
        <v>142</v>
      </c>
      <c r="S321" s="111" t="s">
        <v>110</v>
      </c>
      <c r="T321" s="111" t="s">
        <v>111</v>
      </c>
      <c r="U321" s="111" t="s">
        <v>103</v>
      </c>
      <c r="V321" s="118">
        <f t="shared" si="14"/>
        <v>-1.3583735983225535E-2</v>
      </c>
      <c r="W321" s="114" t="str">
        <f>IFERROR(I321-AVERAGEIFS(I$6:I320,J$6:J320,"ICIS / Platts",B$6:B320,B321),"")</f>
        <v/>
      </c>
      <c r="X321" s="110" t="s">
        <v>125</v>
      </c>
      <c r="Y321" s="117" t="str">
        <f t="shared" si="13"/>
        <v>OK</v>
      </c>
      <c r="Z321" s="111" t="s">
        <v>116</v>
      </c>
      <c r="AA321" s="111" t="s">
        <v>115</v>
      </c>
      <c r="AB321" s="111" t="s">
        <v>116</v>
      </c>
      <c r="AC321" s="111" t="s">
        <v>116</v>
      </c>
      <c r="AD321" s="111"/>
    </row>
    <row r="322" spans="2:30" ht="27.75" customHeight="1" x14ac:dyDescent="0.25">
      <c r="B322" s="108">
        <v>45481</v>
      </c>
      <c r="C322" s="109" t="s">
        <v>97</v>
      </c>
      <c r="D322" s="109">
        <v>28</v>
      </c>
      <c r="E322" s="110" t="str">
        <f t="shared" si="12"/>
        <v>20240708-317</v>
      </c>
      <c r="F322" s="111" t="s">
        <v>98</v>
      </c>
      <c r="G322" s="111" t="s">
        <v>99</v>
      </c>
      <c r="H322" s="112" t="s">
        <v>530</v>
      </c>
      <c r="I322" s="113">
        <v>552</v>
      </c>
      <c r="J322" s="111" t="s">
        <v>101</v>
      </c>
      <c r="K322" s="111" t="s">
        <v>531</v>
      </c>
      <c r="L322" s="111" t="s">
        <v>103</v>
      </c>
      <c r="M322" s="111" t="s">
        <v>104</v>
      </c>
      <c r="N322" s="111" t="s">
        <v>105</v>
      </c>
      <c r="O322" s="111" t="s">
        <v>106</v>
      </c>
      <c r="P322" s="111" t="s">
        <v>107</v>
      </c>
      <c r="Q322" s="110" t="s">
        <v>108</v>
      </c>
      <c r="R322" s="110" t="s">
        <v>109</v>
      </c>
      <c r="S322" s="111" t="s">
        <v>110</v>
      </c>
      <c r="T322" s="111" t="s">
        <v>111</v>
      </c>
      <c r="U322" s="111" t="s">
        <v>103</v>
      </c>
      <c r="V322" s="118">
        <f t="shared" si="14"/>
        <v>7.2992700729927005E-3</v>
      </c>
      <c r="W322" s="114" t="str">
        <f>IFERROR(I322-AVERAGEIFS(I$6:I321,J$6:J321,"ICIS / Platts",B$6:B321,B322),"")</f>
        <v/>
      </c>
      <c r="X322" s="110" t="s">
        <v>113</v>
      </c>
      <c r="Y322" s="117" t="str">
        <f t="shared" si="13"/>
        <v>OK</v>
      </c>
      <c r="Z322" s="111" t="s">
        <v>116</v>
      </c>
      <c r="AA322" s="111" t="s">
        <v>115</v>
      </c>
      <c r="AB322" s="111" t="s">
        <v>116</v>
      </c>
      <c r="AC322" s="111" t="s">
        <v>116</v>
      </c>
      <c r="AD322" s="111"/>
    </row>
    <row r="323" spans="2:30" ht="27.75" customHeight="1" x14ac:dyDescent="0.25">
      <c r="B323" s="115">
        <v>45482</v>
      </c>
      <c r="C323" s="116" t="s">
        <v>117</v>
      </c>
      <c r="D323" s="116">
        <v>28</v>
      </c>
      <c r="E323" s="110" t="str">
        <f t="shared" si="12"/>
        <v>20240709-318</v>
      </c>
      <c r="F323" s="111" t="s">
        <v>98</v>
      </c>
      <c r="G323" s="111" t="s">
        <v>99</v>
      </c>
      <c r="H323" s="112" t="s">
        <v>530</v>
      </c>
      <c r="I323" s="113">
        <v>571.05999999999995</v>
      </c>
      <c r="J323" s="111" t="s">
        <v>118</v>
      </c>
      <c r="K323" s="111" t="s">
        <v>532</v>
      </c>
      <c r="L323" s="111" t="s">
        <v>103</v>
      </c>
      <c r="M323" s="111" t="s">
        <v>104</v>
      </c>
      <c r="N323" s="111" t="s">
        <v>120</v>
      </c>
      <c r="O323" s="111" t="s">
        <v>121</v>
      </c>
      <c r="P323" s="111" t="s">
        <v>122</v>
      </c>
      <c r="Q323" s="110" t="s">
        <v>123</v>
      </c>
      <c r="R323" s="110" t="s">
        <v>124</v>
      </c>
      <c r="S323" s="111" t="s">
        <v>110</v>
      </c>
      <c r="T323" s="111" t="s">
        <v>111</v>
      </c>
      <c r="U323" s="111" t="s">
        <v>103</v>
      </c>
      <c r="V323" s="118">
        <f t="shared" si="14"/>
        <v>2.0478913509649612E-2</v>
      </c>
      <c r="W323" s="114" t="str">
        <f>IFERROR(I323-AVERAGEIFS(I$6:I322,J$6:J322,"ICIS / Platts",B$6:B322,B323),"")</f>
        <v/>
      </c>
      <c r="X323" s="110" t="s">
        <v>125</v>
      </c>
      <c r="Y323" s="117" t="str">
        <f t="shared" si="13"/>
        <v>OK</v>
      </c>
      <c r="Z323" s="111" t="s">
        <v>116</v>
      </c>
      <c r="AA323" s="111" t="s">
        <v>115</v>
      </c>
      <c r="AB323" s="111" t="s">
        <v>116</v>
      </c>
      <c r="AC323" s="111" t="s">
        <v>116</v>
      </c>
      <c r="AD323" s="111"/>
    </row>
    <row r="324" spans="2:30" ht="27.75" customHeight="1" x14ac:dyDescent="0.25">
      <c r="B324" s="108">
        <v>45483</v>
      </c>
      <c r="C324" s="109" t="s">
        <v>126</v>
      </c>
      <c r="D324" s="109">
        <v>28</v>
      </c>
      <c r="E324" s="110" t="str">
        <f t="shared" si="12"/>
        <v>20240710-319</v>
      </c>
      <c r="F324" s="111" t="s">
        <v>98</v>
      </c>
      <c r="G324" s="111" t="s">
        <v>99</v>
      </c>
      <c r="H324" s="112" t="s">
        <v>530</v>
      </c>
      <c r="I324" s="113">
        <v>541</v>
      </c>
      <c r="J324" s="111" t="s">
        <v>127</v>
      </c>
      <c r="K324" s="111" t="s">
        <v>533</v>
      </c>
      <c r="L324" s="111" t="s">
        <v>129</v>
      </c>
      <c r="M324" s="111" t="s">
        <v>104</v>
      </c>
      <c r="N324" s="111" t="s">
        <v>130</v>
      </c>
      <c r="O324" s="111" t="s">
        <v>131</v>
      </c>
      <c r="P324" s="111" t="s">
        <v>132</v>
      </c>
      <c r="Q324" s="110" t="s">
        <v>133</v>
      </c>
      <c r="R324" s="110" t="s">
        <v>134</v>
      </c>
      <c r="S324" s="111" t="s">
        <v>135</v>
      </c>
      <c r="T324" s="111" t="s">
        <v>136</v>
      </c>
      <c r="U324" s="111" t="s">
        <v>129</v>
      </c>
      <c r="V324" s="118">
        <f t="shared" si="14"/>
        <v>-8.5764550652396108E-3</v>
      </c>
      <c r="W324" s="114" t="str">
        <f>IFERROR(I324-AVERAGEIFS(I$6:I323,J$6:J323,"ICIS / Platts",B$6:B323,B324),"")</f>
        <v/>
      </c>
      <c r="X324" s="110" t="s">
        <v>137</v>
      </c>
      <c r="Y324" s="117" t="str">
        <f t="shared" si="13"/>
        <v>OK</v>
      </c>
      <c r="Z324" s="111" t="s">
        <v>116</v>
      </c>
      <c r="AA324" s="111" t="s">
        <v>115</v>
      </c>
      <c r="AB324" s="111" t="s">
        <v>116</v>
      </c>
      <c r="AC324" s="111" t="s">
        <v>116</v>
      </c>
      <c r="AD324" s="111"/>
    </row>
    <row r="325" spans="2:30" ht="27.75" customHeight="1" x14ac:dyDescent="0.25">
      <c r="B325" s="115">
        <v>45485</v>
      </c>
      <c r="C325" s="116" t="s">
        <v>138</v>
      </c>
      <c r="D325" s="116">
        <v>28</v>
      </c>
      <c r="E325" s="110" t="str">
        <f t="shared" si="12"/>
        <v>20240712-320</v>
      </c>
      <c r="F325" s="111" t="s">
        <v>98</v>
      </c>
      <c r="G325" s="111" t="s">
        <v>99</v>
      </c>
      <c r="H325" s="112" t="s">
        <v>530</v>
      </c>
      <c r="I325" s="113">
        <v>557.15</v>
      </c>
      <c r="J325" s="111" t="s">
        <v>139</v>
      </c>
      <c r="K325" s="111" t="s">
        <v>534</v>
      </c>
      <c r="L325" s="111" t="s">
        <v>103</v>
      </c>
      <c r="M325" s="111" t="s">
        <v>104</v>
      </c>
      <c r="N325" s="111" t="s">
        <v>105</v>
      </c>
      <c r="O325" s="111" t="s">
        <v>106</v>
      </c>
      <c r="P325" s="111" t="s">
        <v>141</v>
      </c>
      <c r="Q325" s="110" t="s">
        <v>133</v>
      </c>
      <c r="R325" s="110" t="s">
        <v>142</v>
      </c>
      <c r="S325" s="111" t="s">
        <v>110</v>
      </c>
      <c r="T325" s="111" t="s">
        <v>111</v>
      </c>
      <c r="U325" s="111" t="s">
        <v>103</v>
      </c>
      <c r="V325" s="118">
        <f t="shared" si="14"/>
        <v>2.9852125693160772E-2</v>
      </c>
      <c r="W325" s="114" t="str">
        <f>IFERROR(I325-AVERAGEIFS(I$6:I324,J$6:J324,"ICIS / Platts",B$6:B324,B325),"")</f>
        <v/>
      </c>
      <c r="X325" s="110" t="s">
        <v>125</v>
      </c>
      <c r="Y325" s="117" t="str">
        <f t="shared" si="13"/>
        <v>OK</v>
      </c>
      <c r="Z325" s="111" t="s">
        <v>116</v>
      </c>
      <c r="AA325" s="111" t="s">
        <v>115</v>
      </c>
      <c r="AB325" s="111" t="s">
        <v>116</v>
      </c>
      <c r="AC325" s="111" t="s">
        <v>116</v>
      </c>
      <c r="AD325" s="111"/>
    </row>
    <row r="326" spans="2:30" ht="27.75" customHeight="1" x14ac:dyDescent="0.25">
      <c r="B326" s="108">
        <v>45488</v>
      </c>
      <c r="C326" s="109" t="s">
        <v>97</v>
      </c>
      <c r="D326" s="109">
        <v>29</v>
      </c>
      <c r="E326" s="110" t="str">
        <f t="shared" ref="E326:E389" si="15">TEXT(B326,"YYYYMMDD")&amp;"-"&amp;TEXT(ROW()-5,"000")</f>
        <v>20240715-321</v>
      </c>
      <c r="F326" s="111" t="s">
        <v>98</v>
      </c>
      <c r="G326" s="111" t="s">
        <v>99</v>
      </c>
      <c r="H326" s="112" t="s">
        <v>535</v>
      </c>
      <c r="I326" s="113">
        <v>555</v>
      </c>
      <c r="J326" s="111" t="s">
        <v>101</v>
      </c>
      <c r="K326" s="111" t="s">
        <v>536</v>
      </c>
      <c r="L326" s="111" t="s">
        <v>103</v>
      </c>
      <c r="M326" s="111" t="s">
        <v>104</v>
      </c>
      <c r="N326" s="111" t="s">
        <v>105</v>
      </c>
      <c r="O326" s="111" t="s">
        <v>106</v>
      </c>
      <c r="P326" s="111" t="s">
        <v>107</v>
      </c>
      <c r="Q326" s="110" t="s">
        <v>108</v>
      </c>
      <c r="R326" s="110" t="s">
        <v>109</v>
      </c>
      <c r="S326" s="111" t="s">
        <v>110</v>
      </c>
      <c r="T326" s="111" t="s">
        <v>111</v>
      </c>
      <c r="U326" s="111" t="s">
        <v>103</v>
      </c>
      <c r="V326" s="118">
        <f t="shared" si="14"/>
        <v>5.434782608695652E-3</v>
      </c>
      <c r="W326" s="114" t="str">
        <f>IFERROR(I326-AVERAGEIFS(I$6:I325,J$6:J325,"ICIS / Platts",B$6:B325,B326),"")</f>
        <v/>
      </c>
      <c r="X326" s="110" t="s">
        <v>113</v>
      </c>
      <c r="Y326" s="117" t="str">
        <f t="shared" si="13"/>
        <v>OK</v>
      </c>
      <c r="Z326" s="111" t="s">
        <v>116</v>
      </c>
      <c r="AA326" s="111" t="s">
        <v>115</v>
      </c>
      <c r="AB326" s="111" t="s">
        <v>116</v>
      </c>
      <c r="AC326" s="111" t="s">
        <v>116</v>
      </c>
      <c r="AD326" s="111"/>
    </row>
    <row r="327" spans="2:30" ht="27.75" customHeight="1" x14ac:dyDescent="0.25">
      <c r="B327" s="115">
        <v>45489</v>
      </c>
      <c r="C327" s="116" t="s">
        <v>117</v>
      </c>
      <c r="D327" s="116">
        <v>29</v>
      </c>
      <c r="E327" s="110" t="str">
        <f t="shared" si="15"/>
        <v>20240716-322</v>
      </c>
      <c r="F327" s="111" t="s">
        <v>98</v>
      </c>
      <c r="G327" s="111" t="s">
        <v>99</v>
      </c>
      <c r="H327" s="112" t="s">
        <v>535</v>
      </c>
      <c r="I327" s="113">
        <v>560.76</v>
      </c>
      <c r="J327" s="111" t="s">
        <v>118</v>
      </c>
      <c r="K327" s="111" t="s">
        <v>537</v>
      </c>
      <c r="L327" s="111" t="s">
        <v>103</v>
      </c>
      <c r="M327" s="111" t="s">
        <v>104</v>
      </c>
      <c r="N327" s="111" t="s">
        <v>120</v>
      </c>
      <c r="O327" s="111" t="s">
        <v>121</v>
      </c>
      <c r="P327" s="111" t="s">
        <v>122</v>
      </c>
      <c r="Q327" s="110" t="s">
        <v>123</v>
      </c>
      <c r="R327" s="110" t="s">
        <v>124</v>
      </c>
      <c r="S327" s="111" t="s">
        <v>110</v>
      </c>
      <c r="T327" s="111" t="s">
        <v>111</v>
      </c>
      <c r="U327" s="111" t="s">
        <v>103</v>
      </c>
      <c r="V327" s="118">
        <f t="shared" si="14"/>
        <v>-1.8036633628690426E-2</v>
      </c>
      <c r="W327" s="114" t="str">
        <f>IFERROR(I327-AVERAGEIFS(I$6:I326,J$6:J326,"ICIS / Platts",B$6:B326,B327),"")</f>
        <v/>
      </c>
      <c r="X327" s="110" t="s">
        <v>125</v>
      </c>
      <c r="Y327" s="117" t="str">
        <f t="shared" si="13"/>
        <v>OK</v>
      </c>
      <c r="Z327" s="111" t="s">
        <v>116</v>
      </c>
      <c r="AA327" s="111" t="s">
        <v>115</v>
      </c>
      <c r="AB327" s="111" t="s">
        <v>116</v>
      </c>
      <c r="AC327" s="111" t="s">
        <v>116</v>
      </c>
      <c r="AD327" s="111"/>
    </row>
    <row r="328" spans="2:30" ht="27.75" customHeight="1" x14ac:dyDescent="0.25">
      <c r="B328" s="108">
        <v>45490</v>
      </c>
      <c r="C328" s="109" t="s">
        <v>126</v>
      </c>
      <c r="D328" s="109">
        <v>29</v>
      </c>
      <c r="E328" s="110" t="str">
        <f t="shared" si="15"/>
        <v>20240717-323</v>
      </c>
      <c r="F328" s="111" t="s">
        <v>98</v>
      </c>
      <c r="G328" s="111" t="s">
        <v>99</v>
      </c>
      <c r="H328" s="112" t="s">
        <v>535</v>
      </c>
      <c r="I328" s="113">
        <v>556.80999999999995</v>
      </c>
      <c r="J328" s="111" t="s">
        <v>127</v>
      </c>
      <c r="K328" s="111" t="s">
        <v>538</v>
      </c>
      <c r="L328" s="111" t="s">
        <v>129</v>
      </c>
      <c r="M328" s="111" t="s">
        <v>104</v>
      </c>
      <c r="N328" s="111" t="s">
        <v>130</v>
      </c>
      <c r="O328" s="111" t="s">
        <v>131</v>
      </c>
      <c r="P328" s="111" t="s">
        <v>132</v>
      </c>
      <c r="Q328" s="110" t="s">
        <v>133</v>
      </c>
      <c r="R328" s="110" t="s">
        <v>134</v>
      </c>
      <c r="S328" s="111" t="s">
        <v>135</v>
      </c>
      <c r="T328" s="111" t="s">
        <v>136</v>
      </c>
      <c r="U328" s="111" t="s">
        <v>129</v>
      </c>
      <c r="V328" s="118">
        <f t="shared" si="14"/>
        <v>2.9223659889094169E-2</v>
      </c>
      <c r="W328" s="114" t="str">
        <f>IFERROR(I328-AVERAGEIFS(I$6:I327,J$6:J327,"ICIS / Platts",B$6:B327,B328),"")</f>
        <v/>
      </c>
      <c r="X328" s="110" t="s">
        <v>137</v>
      </c>
      <c r="Y328" s="117" t="str">
        <f t="shared" si="13"/>
        <v>OK</v>
      </c>
      <c r="Z328" s="111" t="s">
        <v>116</v>
      </c>
      <c r="AA328" s="111" t="s">
        <v>115</v>
      </c>
      <c r="AB328" s="111" t="s">
        <v>116</v>
      </c>
      <c r="AC328" s="111" t="s">
        <v>116</v>
      </c>
      <c r="AD328" s="111"/>
    </row>
    <row r="329" spans="2:30" ht="27.75" customHeight="1" x14ac:dyDescent="0.25">
      <c r="B329" s="115">
        <v>45492</v>
      </c>
      <c r="C329" s="116" t="s">
        <v>138</v>
      </c>
      <c r="D329" s="116">
        <v>29</v>
      </c>
      <c r="E329" s="110" t="str">
        <f t="shared" si="15"/>
        <v>20240719-324</v>
      </c>
      <c r="F329" s="111" t="s">
        <v>98</v>
      </c>
      <c r="G329" s="111" t="s">
        <v>99</v>
      </c>
      <c r="H329" s="112" t="s">
        <v>535</v>
      </c>
      <c r="I329" s="113">
        <v>548.80999999999995</v>
      </c>
      <c r="J329" s="111" t="s">
        <v>139</v>
      </c>
      <c r="K329" s="111" t="s">
        <v>539</v>
      </c>
      <c r="L329" s="111" t="s">
        <v>103</v>
      </c>
      <c r="M329" s="111" t="s">
        <v>104</v>
      </c>
      <c r="N329" s="111" t="s">
        <v>105</v>
      </c>
      <c r="O329" s="111" t="s">
        <v>106</v>
      </c>
      <c r="P329" s="111" t="s">
        <v>141</v>
      </c>
      <c r="Q329" s="110" t="s">
        <v>133</v>
      </c>
      <c r="R329" s="110" t="s">
        <v>142</v>
      </c>
      <c r="S329" s="111" t="s">
        <v>110</v>
      </c>
      <c r="T329" s="111" t="s">
        <v>111</v>
      </c>
      <c r="U329" s="111" t="s">
        <v>103</v>
      </c>
      <c r="V329" s="118">
        <f t="shared" si="14"/>
        <v>-1.4969038858476232E-2</v>
      </c>
      <c r="W329" s="114" t="str">
        <f>IFERROR(I329-AVERAGEIFS(I$6:I328,J$6:J328,"ICIS / Platts",B$6:B328,B329),"")</f>
        <v/>
      </c>
      <c r="X329" s="110" t="s">
        <v>125</v>
      </c>
      <c r="Y329" s="117" t="str">
        <f t="shared" si="13"/>
        <v>OK</v>
      </c>
      <c r="Z329" s="111" t="s">
        <v>116</v>
      </c>
      <c r="AA329" s="111" t="s">
        <v>115</v>
      </c>
      <c r="AB329" s="111" t="s">
        <v>116</v>
      </c>
      <c r="AC329" s="111" t="s">
        <v>116</v>
      </c>
      <c r="AD329" s="111"/>
    </row>
    <row r="330" spans="2:30" ht="27.75" customHeight="1" x14ac:dyDescent="0.25">
      <c r="B330" s="108">
        <v>45495</v>
      </c>
      <c r="C330" s="109" t="s">
        <v>97</v>
      </c>
      <c r="D330" s="109">
        <v>30</v>
      </c>
      <c r="E330" s="110" t="str">
        <f t="shared" si="15"/>
        <v>20240722-325</v>
      </c>
      <c r="F330" s="111" t="s">
        <v>98</v>
      </c>
      <c r="G330" s="111" t="s">
        <v>99</v>
      </c>
      <c r="H330" s="112" t="s">
        <v>540</v>
      </c>
      <c r="I330" s="113">
        <v>558</v>
      </c>
      <c r="J330" s="111" t="s">
        <v>101</v>
      </c>
      <c r="K330" s="111" t="s">
        <v>541</v>
      </c>
      <c r="L330" s="111" t="s">
        <v>103</v>
      </c>
      <c r="M330" s="111" t="s">
        <v>104</v>
      </c>
      <c r="N330" s="111" t="s">
        <v>105</v>
      </c>
      <c r="O330" s="111" t="s">
        <v>106</v>
      </c>
      <c r="P330" s="111" t="s">
        <v>107</v>
      </c>
      <c r="Q330" s="110" t="s">
        <v>108</v>
      </c>
      <c r="R330" s="110" t="s">
        <v>109</v>
      </c>
      <c r="S330" s="111" t="s">
        <v>110</v>
      </c>
      <c r="T330" s="111" t="s">
        <v>111</v>
      </c>
      <c r="U330" s="111" t="s">
        <v>103</v>
      </c>
      <c r="V330" s="118">
        <f t="shared" si="14"/>
        <v>5.4054054054054057E-3</v>
      </c>
      <c r="W330" s="114" t="str">
        <f>IFERROR(I330-AVERAGEIFS(I$6:I329,J$6:J329,"ICIS / Platts",B$6:B329,B330),"")</f>
        <v/>
      </c>
      <c r="X330" s="110" t="s">
        <v>113</v>
      </c>
      <c r="Y330" s="117" t="str">
        <f t="shared" si="13"/>
        <v>OK</v>
      </c>
      <c r="Z330" s="111" t="s">
        <v>116</v>
      </c>
      <c r="AA330" s="111" t="s">
        <v>115</v>
      </c>
      <c r="AB330" s="111" t="s">
        <v>116</v>
      </c>
      <c r="AC330" s="111" t="s">
        <v>116</v>
      </c>
      <c r="AD330" s="111"/>
    </row>
    <row r="331" spans="2:30" ht="27.75" customHeight="1" x14ac:dyDescent="0.25">
      <c r="B331" s="115">
        <v>45496</v>
      </c>
      <c r="C331" s="116" t="s">
        <v>117</v>
      </c>
      <c r="D331" s="116">
        <v>30</v>
      </c>
      <c r="E331" s="110" t="str">
        <f t="shared" si="15"/>
        <v>20240723-326</v>
      </c>
      <c r="F331" s="111" t="s">
        <v>98</v>
      </c>
      <c r="G331" s="111" t="s">
        <v>99</v>
      </c>
      <c r="H331" s="112" t="s">
        <v>540</v>
      </c>
      <c r="I331" s="113">
        <v>561.4</v>
      </c>
      <c r="J331" s="111" t="s">
        <v>118</v>
      </c>
      <c r="K331" s="111" t="s">
        <v>542</v>
      </c>
      <c r="L331" s="111" t="s">
        <v>103</v>
      </c>
      <c r="M331" s="111" t="s">
        <v>104</v>
      </c>
      <c r="N331" s="111" t="s">
        <v>120</v>
      </c>
      <c r="O331" s="111" t="s">
        <v>121</v>
      </c>
      <c r="P331" s="111" t="s">
        <v>122</v>
      </c>
      <c r="Q331" s="110" t="s">
        <v>123</v>
      </c>
      <c r="R331" s="110" t="s">
        <v>124</v>
      </c>
      <c r="S331" s="111" t="s">
        <v>110</v>
      </c>
      <c r="T331" s="111" t="s">
        <v>111</v>
      </c>
      <c r="U331" s="111" t="s">
        <v>103</v>
      </c>
      <c r="V331" s="118">
        <f t="shared" si="14"/>
        <v>1.1413082245523688E-3</v>
      </c>
      <c r="W331" s="114" t="str">
        <f>IFERROR(I331-AVERAGEIFS(I$6:I330,J$6:J330,"ICIS / Platts",B$6:B330,B331),"")</f>
        <v/>
      </c>
      <c r="X331" s="110" t="s">
        <v>125</v>
      </c>
      <c r="Y331" s="117" t="str">
        <f t="shared" si="13"/>
        <v>OK</v>
      </c>
      <c r="Z331" s="111" t="s">
        <v>116</v>
      </c>
      <c r="AA331" s="111" t="s">
        <v>115</v>
      </c>
      <c r="AB331" s="111" t="s">
        <v>116</v>
      </c>
      <c r="AC331" s="111" t="s">
        <v>116</v>
      </c>
      <c r="AD331" s="111"/>
    </row>
    <row r="332" spans="2:30" ht="27.75" customHeight="1" x14ac:dyDescent="0.25">
      <c r="B332" s="108">
        <v>45497</v>
      </c>
      <c r="C332" s="109" t="s">
        <v>126</v>
      </c>
      <c r="D332" s="109">
        <v>30</v>
      </c>
      <c r="E332" s="110" t="str">
        <f t="shared" si="15"/>
        <v>20240724-327</v>
      </c>
      <c r="F332" s="111" t="s">
        <v>98</v>
      </c>
      <c r="G332" s="111" t="s">
        <v>99</v>
      </c>
      <c r="H332" s="112" t="s">
        <v>540</v>
      </c>
      <c r="I332" s="113">
        <v>567.11</v>
      </c>
      <c r="J332" s="111" t="s">
        <v>127</v>
      </c>
      <c r="K332" s="111" t="s">
        <v>543</v>
      </c>
      <c r="L332" s="111" t="s">
        <v>129</v>
      </c>
      <c r="M332" s="111" t="s">
        <v>104</v>
      </c>
      <c r="N332" s="111" t="s">
        <v>130</v>
      </c>
      <c r="O332" s="111" t="s">
        <v>131</v>
      </c>
      <c r="P332" s="111" t="s">
        <v>132</v>
      </c>
      <c r="Q332" s="110" t="s">
        <v>133</v>
      </c>
      <c r="R332" s="110" t="s">
        <v>134</v>
      </c>
      <c r="S332" s="111" t="s">
        <v>135</v>
      </c>
      <c r="T332" s="111" t="s">
        <v>136</v>
      </c>
      <c r="U332" s="111" t="s">
        <v>129</v>
      </c>
      <c r="V332" s="118">
        <f t="shared" si="14"/>
        <v>1.8498230994414736E-2</v>
      </c>
      <c r="W332" s="114" t="str">
        <f>IFERROR(I332-AVERAGEIFS(I$6:I331,J$6:J331,"ICIS / Platts",B$6:B331,B332),"")</f>
        <v/>
      </c>
      <c r="X332" s="110" t="s">
        <v>137</v>
      </c>
      <c r="Y332" s="117" t="str">
        <f t="shared" si="13"/>
        <v>OK</v>
      </c>
      <c r="Z332" s="111" t="s">
        <v>116</v>
      </c>
      <c r="AA332" s="111" t="s">
        <v>115</v>
      </c>
      <c r="AB332" s="111" t="s">
        <v>116</v>
      </c>
      <c r="AC332" s="111" t="s">
        <v>116</v>
      </c>
      <c r="AD332" s="111"/>
    </row>
    <row r="333" spans="2:30" ht="27.75" customHeight="1" x14ac:dyDescent="0.25">
      <c r="B333" s="115">
        <v>45499</v>
      </c>
      <c r="C333" s="116" t="s">
        <v>138</v>
      </c>
      <c r="D333" s="116">
        <v>30</v>
      </c>
      <c r="E333" s="110" t="str">
        <f t="shared" si="15"/>
        <v>20240726-328</v>
      </c>
      <c r="F333" s="111" t="s">
        <v>98</v>
      </c>
      <c r="G333" s="111" t="s">
        <v>99</v>
      </c>
      <c r="H333" s="112" t="s">
        <v>540</v>
      </c>
      <c r="I333" s="113">
        <v>554.98</v>
      </c>
      <c r="J333" s="111" t="s">
        <v>139</v>
      </c>
      <c r="K333" s="111" t="s">
        <v>544</v>
      </c>
      <c r="L333" s="111" t="s">
        <v>103</v>
      </c>
      <c r="M333" s="111" t="s">
        <v>104</v>
      </c>
      <c r="N333" s="111" t="s">
        <v>105</v>
      </c>
      <c r="O333" s="111" t="s">
        <v>106</v>
      </c>
      <c r="P333" s="111" t="s">
        <v>141</v>
      </c>
      <c r="Q333" s="110" t="s">
        <v>133</v>
      </c>
      <c r="R333" s="110" t="s">
        <v>142</v>
      </c>
      <c r="S333" s="111" t="s">
        <v>110</v>
      </c>
      <c r="T333" s="111" t="s">
        <v>111</v>
      </c>
      <c r="U333" s="111" t="s">
        <v>103</v>
      </c>
      <c r="V333" s="118">
        <f t="shared" si="14"/>
        <v>1.1242506514094265E-2</v>
      </c>
      <c r="W333" s="114" t="str">
        <f>IFERROR(I333-AVERAGEIFS(I$6:I332,J$6:J332,"ICIS / Platts",B$6:B332,B333),"")</f>
        <v/>
      </c>
      <c r="X333" s="110" t="s">
        <v>125</v>
      </c>
      <c r="Y333" s="117" t="str">
        <f t="shared" si="13"/>
        <v>OK</v>
      </c>
      <c r="Z333" s="111" t="s">
        <v>116</v>
      </c>
      <c r="AA333" s="111" t="s">
        <v>115</v>
      </c>
      <c r="AB333" s="111" t="s">
        <v>116</v>
      </c>
      <c r="AC333" s="111" t="s">
        <v>116</v>
      </c>
      <c r="AD333" s="111"/>
    </row>
    <row r="334" spans="2:30" ht="27.75" customHeight="1" x14ac:dyDescent="0.25">
      <c r="B334" s="108">
        <v>45502</v>
      </c>
      <c r="C334" s="109" t="s">
        <v>97</v>
      </c>
      <c r="D334" s="109">
        <v>31</v>
      </c>
      <c r="E334" s="110" t="str">
        <f t="shared" si="15"/>
        <v>20240729-329</v>
      </c>
      <c r="F334" s="111" t="s">
        <v>98</v>
      </c>
      <c r="G334" s="111" t="s">
        <v>99</v>
      </c>
      <c r="H334" s="112" t="s">
        <v>545</v>
      </c>
      <c r="I334" s="113">
        <v>560</v>
      </c>
      <c r="J334" s="111" t="s">
        <v>101</v>
      </c>
      <c r="K334" s="111" t="s">
        <v>546</v>
      </c>
      <c r="L334" s="111" t="s">
        <v>103</v>
      </c>
      <c r="M334" s="111" t="s">
        <v>104</v>
      </c>
      <c r="N334" s="111" t="s">
        <v>105</v>
      </c>
      <c r="O334" s="111" t="s">
        <v>106</v>
      </c>
      <c r="P334" s="111" t="s">
        <v>107</v>
      </c>
      <c r="Q334" s="110" t="s">
        <v>108</v>
      </c>
      <c r="R334" s="110" t="s">
        <v>109</v>
      </c>
      <c r="S334" s="111" t="s">
        <v>110</v>
      </c>
      <c r="T334" s="111" t="s">
        <v>111</v>
      </c>
      <c r="U334" s="111" t="s">
        <v>103</v>
      </c>
      <c r="V334" s="118">
        <f t="shared" si="14"/>
        <v>3.5842293906810036E-3</v>
      </c>
      <c r="W334" s="114" t="str">
        <f>IFERROR(I334-AVERAGEIFS(I$6:I333,J$6:J333,"ICIS / Platts",B$6:B333,B334),"")</f>
        <v/>
      </c>
      <c r="X334" s="110" t="s">
        <v>113</v>
      </c>
      <c r="Y334" s="117" t="str">
        <f t="shared" si="13"/>
        <v>OK</v>
      </c>
      <c r="Z334" s="111" t="s">
        <v>116</v>
      </c>
      <c r="AA334" s="111" t="s">
        <v>115</v>
      </c>
      <c r="AB334" s="111" t="s">
        <v>116</v>
      </c>
      <c r="AC334" s="111" t="s">
        <v>116</v>
      </c>
      <c r="AD334" s="111"/>
    </row>
    <row r="335" spans="2:30" ht="27.75" customHeight="1" x14ac:dyDescent="0.25">
      <c r="B335" s="115">
        <v>45503</v>
      </c>
      <c r="C335" s="116" t="s">
        <v>117</v>
      </c>
      <c r="D335" s="116">
        <v>31</v>
      </c>
      <c r="E335" s="110" t="str">
        <f t="shared" si="15"/>
        <v>20240730-330</v>
      </c>
      <c r="F335" s="111" t="s">
        <v>98</v>
      </c>
      <c r="G335" s="111" t="s">
        <v>99</v>
      </c>
      <c r="H335" s="112" t="s">
        <v>545</v>
      </c>
      <c r="I335" s="113">
        <v>564.71</v>
      </c>
      <c r="J335" s="111" t="s">
        <v>118</v>
      </c>
      <c r="K335" s="111" t="s">
        <v>547</v>
      </c>
      <c r="L335" s="111" t="s">
        <v>103</v>
      </c>
      <c r="M335" s="111" t="s">
        <v>104</v>
      </c>
      <c r="N335" s="111" t="s">
        <v>120</v>
      </c>
      <c r="O335" s="111" t="s">
        <v>121</v>
      </c>
      <c r="P335" s="111" t="s">
        <v>122</v>
      </c>
      <c r="Q335" s="110" t="s">
        <v>123</v>
      </c>
      <c r="R335" s="110" t="s">
        <v>124</v>
      </c>
      <c r="S335" s="111" t="s">
        <v>110</v>
      </c>
      <c r="T335" s="111" t="s">
        <v>111</v>
      </c>
      <c r="U335" s="111" t="s">
        <v>103</v>
      </c>
      <c r="V335" s="118">
        <f t="shared" si="14"/>
        <v>5.8959743498397917E-3</v>
      </c>
      <c r="W335" s="114" t="str">
        <f>IFERROR(I335-AVERAGEIFS(I$6:I334,J$6:J334,"ICIS / Platts",B$6:B334,B335),"")</f>
        <v/>
      </c>
      <c r="X335" s="110" t="s">
        <v>125</v>
      </c>
      <c r="Y335" s="117" t="str">
        <f t="shared" si="13"/>
        <v>OK</v>
      </c>
      <c r="Z335" s="111" t="s">
        <v>116</v>
      </c>
      <c r="AA335" s="111" t="s">
        <v>115</v>
      </c>
      <c r="AB335" s="111" t="s">
        <v>116</v>
      </c>
      <c r="AC335" s="111" t="s">
        <v>116</v>
      </c>
      <c r="AD335" s="111"/>
    </row>
    <row r="336" spans="2:30" ht="27.75" customHeight="1" x14ac:dyDescent="0.25">
      <c r="B336" s="108">
        <v>45504</v>
      </c>
      <c r="C336" s="109" t="s">
        <v>126</v>
      </c>
      <c r="D336" s="109">
        <v>31</v>
      </c>
      <c r="E336" s="110" t="str">
        <f t="shared" si="15"/>
        <v>20240731-331</v>
      </c>
      <c r="F336" s="111" t="s">
        <v>98</v>
      </c>
      <c r="G336" s="111" t="s">
        <v>99</v>
      </c>
      <c r="H336" s="112" t="s">
        <v>545</v>
      </c>
      <c r="I336" s="113">
        <v>570.46</v>
      </c>
      <c r="J336" s="111" t="s">
        <v>127</v>
      </c>
      <c r="K336" s="111" t="s">
        <v>548</v>
      </c>
      <c r="L336" s="111" t="s">
        <v>129</v>
      </c>
      <c r="M336" s="111" t="s">
        <v>104</v>
      </c>
      <c r="N336" s="111" t="s">
        <v>130</v>
      </c>
      <c r="O336" s="111" t="s">
        <v>131</v>
      </c>
      <c r="P336" s="111" t="s">
        <v>132</v>
      </c>
      <c r="Q336" s="110" t="s">
        <v>133</v>
      </c>
      <c r="R336" s="110" t="s">
        <v>134</v>
      </c>
      <c r="S336" s="111" t="s">
        <v>135</v>
      </c>
      <c r="T336" s="111" t="s">
        <v>136</v>
      </c>
      <c r="U336" s="111" t="s">
        <v>129</v>
      </c>
      <c r="V336" s="118">
        <f t="shared" si="14"/>
        <v>5.9071432349985407E-3</v>
      </c>
      <c r="W336" s="114" t="str">
        <f>IFERROR(I336-AVERAGEIFS(I$6:I335,J$6:J335,"ICIS / Platts",B$6:B335,B336),"")</f>
        <v/>
      </c>
      <c r="X336" s="110" t="s">
        <v>137</v>
      </c>
      <c r="Y336" s="117" t="str">
        <f t="shared" si="13"/>
        <v>OK</v>
      </c>
      <c r="Z336" s="111" t="s">
        <v>116</v>
      </c>
      <c r="AA336" s="111" t="s">
        <v>115</v>
      </c>
      <c r="AB336" s="111" t="s">
        <v>116</v>
      </c>
      <c r="AC336" s="111" t="s">
        <v>116</v>
      </c>
      <c r="AD336" s="111"/>
    </row>
    <row r="337" spans="2:30" ht="27.75" customHeight="1" x14ac:dyDescent="0.25">
      <c r="B337" s="115">
        <v>45506</v>
      </c>
      <c r="C337" s="116" t="s">
        <v>138</v>
      </c>
      <c r="D337" s="116">
        <v>31</v>
      </c>
      <c r="E337" s="110" t="str">
        <f t="shared" si="15"/>
        <v>20240802-332</v>
      </c>
      <c r="F337" s="111" t="s">
        <v>98</v>
      </c>
      <c r="G337" s="111" t="s">
        <v>99</v>
      </c>
      <c r="H337" s="112" t="s">
        <v>545</v>
      </c>
      <c r="I337" s="113">
        <v>566.20000000000005</v>
      </c>
      <c r="J337" s="111" t="s">
        <v>139</v>
      </c>
      <c r="K337" s="111" t="s">
        <v>519</v>
      </c>
      <c r="L337" s="111" t="s">
        <v>103</v>
      </c>
      <c r="M337" s="111" t="s">
        <v>104</v>
      </c>
      <c r="N337" s="111" t="s">
        <v>105</v>
      </c>
      <c r="O337" s="111" t="s">
        <v>106</v>
      </c>
      <c r="P337" s="111" t="s">
        <v>141</v>
      </c>
      <c r="Q337" s="110" t="s">
        <v>133</v>
      </c>
      <c r="R337" s="110" t="s">
        <v>142</v>
      </c>
      <c r="S337" s="111" t="s">
        <v>110</v>
      </c>
      <c r="T337" s="111" t="s">
        <v>111</v>
      </c>
      <c r="U337" s="111" t="s">
        <v>103</v>
      </c>
      <c r="V337" s="118">
        <f t="shared" si="14"/>
        <v>2.0216944754765986E-2</v>
      </c>
      <c r="W337" s="114" t="str">
        <f>IFERROR(I337-AVERAGEIFS(I$6:I336,J$6:J336,"ICIS / Platts",B$6:B336,B337),"")</f>
        <v/>
      </c>
      <c r="X337" s="110" t="s">
        <v>125</v>
      </c>
      <c r="Y337" s="117" t="str">
        <f t="shared" si="13"/>
        <v>OK</v>
      </c>
      <c r="Z337" s="111" t="s">
        <v>116</v>
      </c>
      <c r="AA337" s="111" t="s">
        <v>115</v>
      </c>
      <c r="AB337" s="111" t="s">
        <v>116</v>
      </c>
      <c r="AC337" s="111" t="s">
        <v>116</v>
      </c>
      <c r="AD337" s="111"/>
    </row>
    <row r="338" spans="2:30" ht="27.75" customHeight="1" x14ac:dyDescent="0.25">
      <c r="B338" s="108">
        <v>45509</v>
      </c>
      <c r="C338" s="109" t="s">
        <v>97</v>
      </c>
      <c r="D338" s="109">
        <v>32</v>
      </c>
      <c r="E338" s="110" t="str">
        <f t="shared" si="15"/>
        <v>20240805-333</v>
      </c>
      <c r="F338" s="111" t="s">
        <v>98</v>
      </c>
      <c r="G338" s="111" t="s">
        <v>99</v>
      </c>
      <c r="H338" s="112" t="s">
        <v>549</v>
      </c>
      <c r="I338" s="113">
        <v>562</v>
      </c>
      <c r="J338" s="111" t="s">
        <v>101</v>
      </c>
      <c r="K338" s="111" t="s">
        <v>550</v>
      </c>
      <c r="L338" s="111" t="s">
        <v>103</v>
      </c>
      <c r="M338" s="111" t="s">
        <v>104</v>
      </c>
      <c r="N338" s="111" t="s">
        <v>105</v>
      </c>
      <c r="O338" s="111" t="s">
        <v>106</v>
      </c>
      <c r="P338" s="111" t="s">
        <v>107</v>
      </c>
      <c r="Q338" s="110" t="s">
        <v>108</v>
      </c>
      <c r="R338" s="110" t="s">
        <v>109</v>
      </c>
      <c r="S338" s="111" t="s">
        <v>110</v>
      </c>
      <c r="T338" s="111" t="s">
        <v>111</v>
      </c>
      <c r="U338" s="111" t="s">
        <v>103</v>
      </c>
      <c r="V338" s="118">
        <f t="shared" si="14"/>
        <v>3.5714285714285713E-3</v>
      </c>
      <c r="W338" s="114" t="str">
        <f>IFERROR(I338-AVERAGEIFS(I$6:I337,J$6:J337,"ICIS / Platts",B$6:B337,B338),"")</f>
        <v/>
      </c>
      <c r="X338" s="110" t="s">
        <v>113</v>
      </c>
      <c r="Y338" s="117" t="str">
        <f t="shared" si="13"/>
        <v>OK</v>
      </c>
      <c r="Z338" s="111" t="s">
        <v>116</v>
      </c>
      <c r="AA338" s="111" t="s">
        <v>115</v>
      </c>
      <c r="AB338" s="111" t="s">
        <v>116</v>
      </c>
      <c r="AC338" s="111" t="s">
        <v>116</v>
      </c>
      <c r="AD338" s="111"/>
    </row>
    <row r="339" spans="2:30" ht="27.75" customHeight="1" x14ac:dyDescent="0.25">
      <c r="B339" s="115">
        <v>45510</v>
      </c>
      <c r="C339" s="116" t="s">
        <v>117</v>
      </c>
      <c r="D339" s="116">
        <v>32</v>
      </c>
      <c r="E339" s="110" t="str">
        <f t="shared" si="15"/>
        <v>20240806-334</v>
      </c>
      <c r="F339" s="111" t="s">
        <v>98</v>
      </c>
      <c r="G339" s="111" t="s">
        <v>99</v>
      </c>
      <c r="H339" s="112" t="s">
        <v>549</v>
      </c>
      <c r="I339" s="113">
        <v>577.29999999999995</v>
      </c>
      <c r="J339" s="111" t="s">
        <v>118</v>
      </c>
      <c r="K339" s="111" t="s">
        <v>551</v>
      </c>
      <c r="L339" s="111" t="s">
        <v>103</v>
      </c>
      <c r="M339" s="111" t="s">
        <v>104</v>
      </c>
      <c r="N339" s="111" t="s">
        <v>120</v>
      </c>
      <c r="O339" s="111" t="s">
        <v>121</v>
      </c>
      <c r="P339" s="111" t="s">
        <v>122</v>
      </c>
      <c r="Q339" s="110" t="s">
        <v>123</v>
      </c>
      <c r="R339" s="110" t="s">
        <v>124</v>
      </c>
      <c r="S339" s="111" t="s">
        <v>110</v>
      </c>
      <c r="T339" s="111" t="s">
        <v>111</v>
      </c>
      <c r="U339" s="111" t="s">
        <v>103</v>
      </c>
      <c r="V339" s="118">
        <f t="shared" si="14"/>
        <v>2.2294629101662654E-2</v>
      </c>
      <c r="W339" s="114" t="str">
        <f>IFERROR(I339-AVERAGEIFS(I$6:I338,J$6:J338,"ICIS / Platts",B$6:B338,B339),"")</f>
        <v/>
      </c>
      <c r="X339" s="110" t="s">
        <v>125</v>
      </c>
      <c r="Y339" s="117" t="str">
        <f t="shared" si="13"/>
        <v>OK</v>
      </c>
      <c r="Z339" s="111" t="s">
        <v>116</v>
      </c>
      <c r="AA339" s="111" t="s">
        <v>115</v>
      </c>
      <c r="AB339" s="111" t="s">
        <v>116</v>
      </c>
      <c r="AC339" s="111" t="s">
        <v>116</v>
      </c>
      <c r="AD339" s="111"/>
    </row>
    <row r="340" spans="2:30" ht="27.75" customHeight="1" x14ac:dyDescent="0.25">
      <c r="B340" s="108">
        <v>45511</v>
      </c>
      <c r="C340" s="109" t="s">
        <v>126</v>
      </c>
      <c r="D340" s="109">
        <v>32</v>
      </c>
      <c r="E340" s="110" t="str">
        <f t="shared" si="15"/>
        <v>20240807-335</v>
      </c>
      <c r="F340" s="111" t="s">
        <v>98</v>
      </c>
      <c r="G340" s="111" t="s">
        <v>99</v>
      </c>
      <c r="H340" s="112" t="s">
        <v>549</v>
      </c>
      <c r="I340" s="113">
        <v>552.61</v>
      </c>
      <c r="J340" s="111" t="s">
        <v>127</v>
      </c>
      <c r="K340" s="111" t="s">
        <v>552</v>
      </c>
      <c r="L340" s="111" t="s">
        <v>129</v>
      </c>
      <c r="M340" s="111" t="s">
        <v>104</v>
      </c>
      <c r="N340" s="111" t="s">
        <v>130</v>
      </c>
      <c r="O340" s="111" t="s">
        <v>131</v>
      </c>
      <c r="P340" s="111" t="s">
        <v>132</v>
      </c>
      <c r="Q340" s="110" t="s">
        <v>133</v>
      </c>
      <c r="R340" s="110" t="s">
        <v>134</v>
      </c>
      <c r="S340" s="111" t="s">
        <v>135</v>
      </c>
      <c r="T340" s="111" t="s">
        <v>136</v>
      </c>
      <c r="U340" s="111" t="s">
        <v>129</v>
      </c>
      <c r="V340" s="118">
        <f t="shared" si="14"/>
        <v>-3.1290537460996429E-2</v>
      </c>
      <c r="W340" s="114" t="str">
        <f>IFERROR(I340-AVERAGEIFS(I$6:I339,J$6:J339,"ICIS / Platts",B$6:B339,B340),"")</f>
        <v/>
      </c>
      <c r="X340" s="110" t="s">
        <v>137</v>
      </c>
      <c r="Y340" s="117" t="str">
        <f t="shared" si="13"/>
        <v>OK</v>
      </c>
      <c r="Z340" s="111" t="s">
        <v>116</v>
      </c>
      <c r="AA340" s="111" t="s">
        <v>115</v>
      </c>
      <c r="AB340" s="111" t="s">
        <v>116</v>
      </c>
      <c r="AC340" s="111" t="s">
        <v>116</v>
      </c>
      <c r="AD340" s="111"/>
    </row>
    <row r="341" spans="2:30" ht="27.75" customHeight="1" x14ac:dyDescent="0.25">
      <c r="B341" s="115">
        <v>45513</v>
      </c>
      <c r="C341" s="116" t="s">
        <v>138</v>
      </c>
      <c r="D341" s="116">
        <v>32</v>
      </c>
      <c r="E341" s="110" t="str">
        <f t="shared" si="15"/>
        <v>20240809-336</v>
      </c>
      <c r="F341" s="111" t="s">
        <v>98</v>
      </c>
      <c r="G341" s="111" t="s">
        <v>99</v>
      </c>
      <c r="H341" s="112" t="s">
        <v>549</v>
      </c>
      <c r="I341" s="113">
        <v>556.25</v>
      </c>
      <c r="J341" s="111" t="s">
        <v>139</v>
      </c>
      <c r="K341" s="111" t="s">
        <v>553</v>
      </c>
      <c r="L341" s="111" t="s">
        <v>103</v>
      </c>
      <c r="M341" s="111" t="s">
        <v>104</v>
      </c>
      <c r="N341" s="111" t="s">
        <v>105</v>
      </c>
      <c r="O341" s="111" t="s">
        <v>106</v>
      </c>
      <c r="P341" s="111" t="s">
        <v>141</v>
      </c>
      <c r="Q341" s="110" t="s">
        <v>133</v>
      </c>
      <c r="R341" s="110" t="s">
        <v>142</v>
      </c>
      <c r="S341" s="111" t="s">
        <v>110</v>
      </c>
      <c r="T341" s="111" t="s">
        <v>111</v>
      </c>
      <c r="U341" s="111" t="s">
        <v>103</v>
      </c>
      <c r="V341" s="118">
        <f t="shared" si="14"/>
        <v>-1.7573295655245576E-2</v>
      </c>
      <c r="W341" s="114" t="str">
        <f>IFERROR(I341-AVERAGEIFS(I$6:I340,J$6:J340,"ICIS / Platts",B$6:B340,B341),"")</f>
        <v/>
      </c>
      <c r="X341" s="110" t="s">
        <v>125</v>
      </c>
      <c r="Y341" s="117" t="str">
        <f t="shared" ref="Y341:Y404" si="16">IFERROR(IF(ABS(I341-AVERAGE(I333:I340))/AVERAGE(I333:I340)&gt;0.1,"⚠ CHECK","OK"),"OK")</f>
        <v>OK</v>
      </c>
      <c r="Z341" s="111" t="s">
        <v>116</v>
      </c>
      <c r="AA341" s="111" t="s">
        <v>115</v>
      </c>
      <c r="AB341" s="111" t="s">
        <v>116</v>
      </c>
      <c r="AC341" s="111" t="s">
        <v>116</v>
      </c>
      <c r="AD341" s="111"/>
    </row>
    <row r="342" spans="2:30" ht="27.75" customHeight="1" x14ac:dyDescent="0.25">
      <c r="B342" s="108">
        <v>45516</v>
      </c>
      <c r="C342" s="109" t="s">
        <v>97</v>
      </c>
      <c r="D342" s="109">
        <v>33</v>
      </c>
      <c r="E342" s="110" t="str">
        <f t="shared" si="15"/>
        <v>20240812-337</v>
      </c>
      <c r="F342" s="111" t="s">
        <v>98</v>
      </c>
      <c r="G342" s="111" t="s">
        <v>99</v>
      </c>
      <c r="H342" s="112" t="s">
        <v>554</v>
      </c>
      <c r="I342" s="113">
        <v>558</v>
      </c>
      <c r="J342" s="111" t="s">
        <v>101</v>
      </c>
      <c r="K342" s="111" t="s">
        <v>555</v>
      </c>
      <c r="L342" s="111" t="s">
        <v>103</v>
      </c>
      <c r="M342" s="111" t="s">
        <v>104</v>
      </c>
      <c r="N342" s="111" t="s">
        <v>105</v>
      </c>
      <c r="O342" s="111" t="s">
        <v>106</v>
      </c>
      <c r="P342" s="111" t="s">
        <v>107</v>
      </c>
      <c r="Q342" s="110" t="s">
        <v>108</v>
      </c>
      <c r="R342" s="110" t="s">
        <v>109</v>
      </c>
      <c r="S342" s="111" t="s">
        <v>110</v>
      </c>
      <c r="T342" s="111" t="s">
        <v>111</v>
      </c>
      <c r="U342" s="111" t="s">
        <v>103</v>
      </c>
      <c r="V342" s="118">
        <f t="shared" si="14"/>
        <v>-7.1174377224199285E-3</v>
      </c>
      <c r="W342" s="114" t="str">
        <f>IFERROR(I342-AVERAGEIFS(I$6:I341,J$6:J341,"ICIS / Platts",B$6:B341,B342),"")</f>
        <v/>
      </c>
      <c r="X342" s="110" t="s">
        <v>113</v>
      </c>
      <c r="Y342" s="117" t="str">
        <f t="shared" si="16"/>
        <v>OK</v>
      </c>
      <c r="Z342" s="111" t="s">
        <v>116</v>
      </c>
      <c r="AA342" s="111" t="s">
        <v>115</v>
      </c>
      <c r="AB342" s="111" t="s">
        <v>116</v>
      </c>
      <c r="AC342" s="111" t="s">
        <v>116</v>
      </c>
      <c r="AD342" s="111"/>
    </row>
    <row r="343" spans="2:30" ht="27.75" customHeight="1" x14ac:dyDescent="0.25">
      <c r="B343" s="115">
        <v>45517</v>
      </c>
      <c r="C343" s="116" t="s">
        <v>117</v>
      </c>
      <c r="D343" s="116">
        <v>33</v>
      </c>
      <c r="E343" s="110" t="str">
        <f t="shared" si="15"/>
        <v>20240813-338</v>
      </c>
      <c r="F343" s="111" t="s">
        <v>98</v>
      </c>
      <c r="G343" s="111" t="s">
        <v>99</v>
      </c>
      <c r="H343" s="112" t="s">
        <v>554</v>
      </c>
      <c r="I343" s="113">
        <v>567.91</v>
      </c>
      <c r="J343" s="111" t="s">
        <v>118</v>
      </c>
      <c r="K343" s="111" t="s">
        <v>556</v>
      </c>
      <c r="L343" s="111" t="s">
        <v>103</v>
      </c>
      <c r="M343" s="111" t="s">
        <v>104</v>
      </c>
      <c r="N343" s="111" t="s">
        <v>120</v>
      </c>
      <c r="O343" s="111" t="s">
        <v>121</v>
      </c>
      <c r="P343" s="111" t="s">
        <v>122</v>
      </c>
      <c r="Q343" s="110" t="s">
        <v>123</v>
      </c>
      <c r="R343" s="110" t="s">
        <v>124</v>
      </c>
      <c r="S343" s="111" t="s">
        <v>110</v>
      </c>
      <c r="T343" s="111" t="s">
        <v>111</v>
      </c>
      <c r="U343" s="111" t="s">
        <v>103</v>
      </c>
      <c r="V343" s="118">
        <f t="shared" si="14"/>
        <v>-1.6265373289450869E-2</v>
      </c>
      <c r="W343" s="114" t="str">
        <f>IFERROR(I343-AVERAGEIFS(I$6:I342,J$6:J342,"ICIS / Platts",B$6:B342,B343),"")</f>
        <v/>
      </c>
      <c r="X343" s="110" t="s">
        <v>125</v>
      </c>
      <c r="Y343" s="117" t="str">
        <f t="shared" si="16"/>
        <v>OK</v>
      </c>
      <c r="Z343" s="111" t="s">
        <v>116</v>
      </c>
      <c r="AA343" s="111" t="s">
        <v>115</v>
      </c>
      <c r="AB343" s="111" t="s">
        <v>116</v>
      </c>
      <c r="AC343" s="111" t="s">
        <v>116</v>
      </c>
      <c r="AD343" s="111"/>
    </row>
    <row r="344" spans="2:30" ht="27.75" customHeight="1" x14ac:dyDescent="0.25">
      <c r="B344" s="108">
        <v>45518</v>
      </c>
      <c r="C344" s="109" t="s">
        <v>126</v>
      </c>
      <c r="D344" s="109">
        <v>33</v>
      </c>
      <c r="E344" s="110" t="str">
        <f t="shared" si="15"/>
        <v>20240814-339</v>
      </c>
      <c r="F344" s="111" t="s">
        <v>98</v>
      </c>
      <c r="G344" s="111" t="s">
        <v>99</v>
      </c>
      <c r="H344" s="112" t="s">
        <v>554</v>
      </c>
      <c r="I344" s="113">
        <v>549.54</v>
      </c>
      <c r="J344" s="111" t="s">
        <v>127</v>
      </c>
      <c r="K344" s="111" t="s">
        <v>557</v>
      </c>
      <c r="L344" s="111" t="s">
        <v>129</v>
      </c>
      <c r="M344" s="111" t="s">
        <v>104</v>
      </c>
      <c r="N344" s="111" t="s">
        <v>130</v>
      </c>
      <c r="O344" s="111" t="s">
        <v>131</v>
      </c>
      <c r="P344" s="111" t="s">
        <v>132</v>
      </c>
      <c r="Q344" s="110" t="s">
        <v>133</v>
      </c>
      <c r="R344" s="110" t="s">
        <v>134</v>
      </c>
      <c r="S344" s="111" t="s">
        <v>135</v>
      </c>
      <c r="T344" s="111" t="s">
        <v>136</v>
      </c>
      <c r="U344" s="111" t="s">
        <v>129</v>
      </c>
      <c r="V344" s="118">
        <f t="shared" si="14"/>
        <v>-5.5554550225295415E-3</v>
      </c>
      <c r="W344" s="114" t="str">
        <f>IFERROR(I344-AVERAGEIFS(I$6:I343,J$6:J343,"ICIS / Platts",B$6:B343,B344),"")</f>
        <v/>
      </c>
      <c r="X344" s="110" t="s">
        <v>137</v>
      </c>
      <c r="Y344" s="117" t="str">
        <f t="shared" si="16"/>
        <v>OK</v>
      </c>
      <c r="Z344" s="111" t="s">
        <v>116</v>
      </c>
      <c r="AA344" s="111" t="s">
        <v>115</v>
      </c>
      <c r="AB344" s="111" t="s">
        <v>116</v>
      </c>
      <c r="AC344" s="111" t="s">
        <v>116</v>
      </c>
      <c r="AD344" s="111"/>
    </row>
    <row r="345" spans="2:30" ht="27.75" customHeight="1" x14ac:dyDescent="0.25">
      <c r="B345" s="115">
        <v>45520</v>
      </c>
      <c r="C345" s="116" t="s">
        <v>138</v>
      </c>
      <c r="D345" s="116">
        <v>33</v>
      </c>
      <c r="E345" s="110" t="str">
        <f t="shared" si="15"/>
        <v>20240816-340</v>
      </c>
      <c r="F345" s="111" t="s">
        <v>98</v>
      </c>
      <c r="G345" s="111" t="s">
        <v>99</v>
      </c>
      <c r="H345" s="112" t="s">
        <v>554</v>
      </c>
      <c r="I345" s="113">
        <v>552.61</v>
      </c>
      <c r="J345" s="111" t="s">
        <v>139</v>
      </c>
      <c r="K345" s="111" t="s">
        <v>558</v>
      </c>
      <c r="L345" s="111" t="s">
        <v>103</v>
      </c>
      <c r="M345" s="111" t="s">
        <v>104</v>
      </c>
      <c r="N345" s="111" t="s">
        <v>105</v>
      </c>
      <c r="O345" s="111" t="s">
        <v>106</v>
      </c>
      <c r="P345" s="111" t="s">
        <v>141</v>
      </c>
      <c r="Q345" s="110" t="s">
        <v>133</v>
      </c>
      <c r="R345" s="110" t="s">
        <v>142</v>
      </c>
      <c r="S345" s="111" t="s">
        <v>110</v>
      </c>
      <c r="T345" s="111" t="s">
        <v>111</v>
      </c>
      <c r="U345" s="111" t="s">
        <v>103</v>
      </c>
      <c r="V345" s="118">
        <f t="shared" si="14"/>
        <v>-6.5438202247190764E-3</v>
      </c>
      <c r="W345" s="114" t="str">
        <f>IFERROR(I345-AVERAGEIFS(I$6:I344,J$6:J344,"ICIS / Platts",B$6:B344,B345),"")</f>
        <v/>
      </c>
      <c r="X345" s="110" t="s">
        <v>125</v>
      </c>
      <c r="Y345" s="117" t="str">
        <f t="shared" si="16"/>
        <v>OK</v>
      </c>
      <c r="Z345" s="111" t="s">
        <v>116</v>
      </c>
      <c r="AA345" s="111" t="s">
        <v>115</v>
      </c>
      <c r="AB345" s="111" t="s">
        <v>116</v>
      </c>
      <c r="AC345" s="111" t="s">
        <v>116</v>
      </c>
      <c r="AD345" s="111"/>
    </row>
    <row r="346" spans="2:30" ht="27.75" customHeight="1" x14ac:dyDescent="0.25">
      <c r="B346" s="108">
        <v>45523</v>
      </c>
      <c r="C346" s="109" t="s">
        <v>97</v>
      </c>
      <c r="D346" s="109">
        <v>34</v>
      </c>
      <c r="E346" s="110" t="str">
        <f t="shared" si="15"/>
        <v>20240819-341</v>
      </c>
      <c r="F346" s="111" t="s">
        <v>98</v>
      </c>
      <c r="G346" s="111" t="s">
        <v>99</v>
      </c>
      <c r="H346" s="112" t="s">
        <v>559</v>
      </c>
      <c r="I346" s="113">
        <v>555</v>
      </c>
      <c r="J346" s="111" t="s">
        <v>101</v>
      </c>
      <c r="K346" s="111" t="s">
        <v>560</v>
      </c>
      <c r="L346" s="111" t="s">
        <v>103</v>
      </c>
      <c r="M346" s="111" t="s">
        <v>104</v>
      </c>
      <c r="N346" s="111" t="s">
        <v>105</v>
      </c>
      <c r="O346" s="111" t="s">
        <v>106</v>
      </c>
      <c r="P346" s="111" t="s">
        <v>107</v>
      </c>
      <c r="Q346" s="110" t="s">
        <v>108</v>
      </c>
      <c r="R346" s="110" t="s">
        <v>109</v>
      </c>
      <c r="S346" s="111" t="s">
        <v>110</v>
      </c>
      <c r="T346" s="111" t="s">
        <v>111</v>
      </c>
      <c r="U346" s="111" t="s">
        <v>103</v>
      </c>
      <c r="V346" s="118">
        <f t="shared" si="14"/>
        <v>-5.3763440860215058E-3</v>
      </c>
      <c r="W346" s="114" t="str">
        <f>IFERROR(I346-AVERAGEIFS(I$6:I345,J$6:J345,"ICIS / Platts",B$6:B345,B346),"")</f>
        <v/>
      </c>
      <c r="X346" s="110" t="s">
        <v>113</v>
      </c>
      <c r="Y346" s="117" t="str">
        <f t="shared" si="16"/>
        <v>OK</v>
      </c>
      <c r="Z346" s="111" t="s">
        <v>116</v>
      </c>
      <c r="AA346" s="111" t="s">
        <v>115</v>
      </c>
      <c r="AB346" s="111" t="s">
        <v>116</v>
      </c>
      <c r="AC346" s="111" t="s">
        <v>116</v>
      </c>
      <c r="AD346" s="111"/>
    </row>
    <row r="347" spans="2:30" ht="27.75" customHeight="1" x14ac:dyDescent="0.25">
      <c r="B347" s="115">
        <v>45524</v>
      </c>
      <c r="C347" s="116" t="s">
        <v>117</v>
      </c>
      <c r="D347" s="116">
        <v>34</v>
      </c>
      <c r="E347" s="110" t="str">
        <f t="shared" si="15"/>
        <v>20240820-342</v>
      </c>
      <c r="F347" s="111" t="s">
        <v>98</v>
      </c>
      <c r="G347" s="111" t="s">
        <v>99</v>
      </c>
      <c r="H347" s="112" t="s">
        <v>559</v>
      </c>
      <c r="I347" s="113">
        <v>559.11</v>
      </c>
      <c r="J347" s="111" t="s">
        <v>118</v>
      </c>
      <c r="K347" s="111" t="s">
        <v>561</v>
      </c>
      <c r="L347" s="111" t="s">
        <v>103</v>
      </c>
      <c r="M347" s="111" t="s">
        <v>104</v>
      </c>
      <c r="N347" s="111" t="s">
        <v>120</v>
      </c>
      <c r="O347" s="111" t="s">
        <v>121</v>
      </c>
      <c r="P347" s="111" t="s">
        <v>122</v>
      </c>
      <c r="Q347" s="110" t="s">
        <v>123</v>
      </c>
      <c r="R347" s="110" t="s">
        <v>124</v>
      </c>
      <c r="S347" s="111" t="s">
        <v>110</v>
      </c>
      <c r="T347" s="111" t="s">
        <v>111</v>
      </c>
      <c r="U347" s="111" t="s">
        <v>103</v>
      </c>
      <c r="V347" s="118">
        <f t="shared" si="14"/>
        <v>-1.5495413005581792E-2</v>
      </c>
      <c r="W347" s="114" t="str">
        <f>IFERROR(I347-AVERAGEIFS(I$6:I346,J$6:J346,"ICIS / Platts",B$6:B346,B347),"")</f>
        <v/>
      </c>
      <c r="X347" s="110" t="s">
        <v>125</v>
      </c>
      <c r="Y347" s="117" t="str">
        <f t="shared" si="16"/>
        <v>OK</v>
      </c>
      <c r="Z347" s="111" t="s">
        <v>116</v>
      </c>
      <c r="AA347" s="111" t="s">
        <v>115</v>
      </c>
      <c r="AB347" s="111" t="s">
        <v>116</v>
      </c>
      <c r="AC347" s="111" t="s">
        <v>116</v>
      </c>
      <c r="AD347" s="111"/>
    </row>
    <row r="348" spans="2:30" ht="27.75" customHeight="1" x14ac:dyDescent="0.25">
      <c r="B348" s="108">
        <v>45525</v>
      </c>
      <c r="C348" s="109" t="s">
        <v>126</v>
      </c>
      <c r="D348" s="109">
        <v>34</v>
      </c>
      <c r="E348" s="110" t="str">
        <f t="shared" si="15"/>
        <v>20240821-343</v>
      </c>
      <c r="F348" s="111" t="s">
        <v>98</v>
      </c>
      <c r="G348" s="111" t="s">
        <v>99</v>
      </c>
      <c r="H348" s="112" t="s">
        <v>559</v>
      </c>
      <c r="I348" s="113">
        <v>557.54999999999995</v>
      </c>
      <c r="J348" s="111" t="s">
        <v>127</v>
      </c>
      <c r="K348" s="111" t="s">
        <v>562</v>
      </c>
      <c r="L348" s="111" t="s">
        <v>129</v>
      </c>
      <c r="M348" s="111" t="s">
        <v>104</v>
      </c>
      <c r="N348" s="111" t="s">
        <v>130</v>
      </c>
      <c r="O348" s="111" t="s">
        <v>131</v>
      </c>
      <c r="P348" s="111" t="s">
        <v>132</v>
      </c>
      <c r="Q348" s="110" t="s">
        <v>133</v>
      </c>
      <c r="R348" s="110" t="s">
        <v>134</v>
      </c>
      <c r="S348" s="111" t="s">
        <v>135</v>
      </c>
      <c r="T348" s="111" t="s">
        <v>136</v>
      </c>
      <c r="U348" s="111" t="s">
        <v>129</v>
      </c>
      <c r="V348" s="118">
        <f t="shared" si="14"/>
        <v>1.4575827055355373E-2</v>
      </c>
      <c r="W348" s="114" t="str">
        <f>IFERROR(I348-AVERAGEIFS(I$6:I347,J$6:J347,"ICIS / Platts",B$6:B347,B348),"")</f>
        <v/>
      </c>
      <c r="X348" s="110" t="s">
        <v>137</v>
      </c>
      <c r="Y348" s="117" t="str">
        <f t="shared" si="16"/>
        <v>OK</v>
      </c>
      <c r="Z348" s="111" t="s">
        <v>116</v>
      </c>
      <c r="AA348" s="111" t="s">
        <v>115</v>
      </c>
      <c r="AB348" s="111" t="s">
        <v>116</v>
      </c>
      <c r="AC348" s="111" t="s">
        <v>116</v>
      </c>
      <c r="AD348" s="111"/>
    </row>
    <row r="349" spans="2:30" ht="27.75" customHeight="1" x14ac:dyDescent="0.25">
      <c r="B349" s="115">
        <v>45527</v>
      </c>
      <c r="C349" s="116" t="s">
        <v>138</v>
      </c>
      <c r="D349" s="116">
        <v>34</v>
      </c>
      <c r="E349" s="110" t="str">
        <f t="shared" si="15"/>
        <v>20240823-344</v>
      </c>
      <c r="F349" s="111" t="s">
        <v>98</v>
      </c>
      <c r="G349" s="111" t="s">
        <v>99</v>
      </c>
      <c r="H349" s="112" t="s">
        <v>559</v>
      </c>
      <c r="I349" s="113">
        <v>557.63</v>
      </c>
      <c r="J349" s="111" t="s">
        <v>139</v>
      </c>
      <c r="K349" s="111" t="s">
        <v>563</v>
      </c>
      <c r="L349" s="111" t="s">
        <v>103</v>
      </c>
      <c r="M349" s="111" t="s">
        <v>104</v>
      </c>
      <c r="N349" s="111" t="s">
        <v>105</v>
      </c>
      <c r="O349" s="111" t="s">
        <v>106</v>
      </c>
      <c r="P349" s="111" t="s">
        <v>141</v>
      </c>
      <c r="Q349" s="110" t="s">
        <v>133</v>
      </c>
      <c r="R349" s="110" t="s">
        <v>142</v>
      </c>
      <c r="S349" s="111" t="s">
        <v>110</v>
      </c>
      <c r="T349" s="111" t="s">
        <v>111</v>
      </c>
      <c r="U349" s="111" t="s">
        <v>103</v>
      </c>
      <c r="V349" s="118">
        <f t="shared" si="14"/>
        <v>9.0841642387940527E-3</v>
      </c>
      <c r="W349" s="114" t="str">
        <f>IFERROR(I349-AVERAGEIFS(I$6:I348,J$6:J348,"ICIS / Platts",B$6:B348,B349),"")</f>
        <v/>
      </c>
      <c r="X349" s="110" t="s">
        <v>125</v>
      </c>
      <c r="Y349" s="117" t="str">
        <f t="shared" si="16"/>
        <v>OK</v>
      </c>
      <c r="Z349" s="111" t="s">
        <v>116</v>
      </c>
      <c r="AA349" s="111" t="s">
        <v>115</v>
      </c>
      <c r="AB349" s="111" t="s">
        <v>116</v>
      </c>
      <c r="AC349" s="111" t="s">
        <v>116</v>
      </c>
      <c r="AD349" s="111"/>
    </row>
    <row r="350" spans="2:30" ht="27.75" customHeight="1" x14ac:dyDescent="0.25">
      <c r="B350" s="108">
        <v>45530</v>
      </c>
      <c r="C350" s="109" t="s">
        <v>97</v>
      </c>
      <c r="D350" s="109">
        <v>35</v>
      </c>
      <c r="E350" s="110" t="str">
        <f t="shared" si="15"/>
        <v>20240826-345</v>
      </c>
      <c r="F350" s="111" t="s">
        <v>98</v>
      </c>
      <c r="G350" s="111" t="s">
        <v>99</v>
      </c>
      <c r="H350" s="112" t="s">
        <v>564</v>
      </c>
      <c r="I350" s="113">
        <v>552</v>
      </c>
      <c r="J350" s="111" t="s">
        <v>101</v>
      </c>
      <c r="K350" s="111" t="s">
        <v>565</v>
      </c>
      <c r="L350" s="111" t="s">
        <v>103</v>
      </c>
      <c r="M350" s="111" t="s">
        <v>104</v>
      </c>
      <c r="N350" s="111" t="s">
        <v>105</v>
      </c>
      <c r="O350" s="111" t="s">
        <v>106</v>
      </c>
      <c r="P350" s="111" t="s">
        <v>107</v>
      </c>
      <c r="Q350" s="110" t="s">
        <v>108</v>
      </c>
      <c r="R350" s="110" t="s">
        <v>109</v>
      </c>
      <c r="S350" s="111" t="s">
        <v>110</v>
      </c>
      <c r="T350" s="111" t="s">
        <v>111</v>
      </c>
      <c r="U350" s="111" t="s">
        <v>103</v>
      </c>
      <c r="V350" s="118">
        <f t="shared" si="14"/>
        <v>-5.4054054054054057E-3</v>
      </c>
      <c r="W350" s="114" t="str">
        <f>IFERROR(I350-AVERAGEIFS(I$6:I349,J$6:J349,"ICIS / Platts",B$6:B349,B350),"")</f>
        <v/>
      </c>
      <c r="X350" s="110" t="s">
        <v>113</v>
      </c>
      <c r="Y350" s="117" t="str">
        <f t="shared" si="16"/>
        <v>OK</v>
      </c>
      <c r="Z350" s="111" t="s">
        <v>116</v>
      </c>
      <c r="AA350" s="111" t="s">
        <v>115</v>
      </c>
      <c r="AB350" s="111" t="s">
        <v>116</v>
      </c>
      <c r="AC350" s="111" t="s">
        <v>115</v>
      </c>
      <c r="AD350" s="111"/>
    </row>
    <row r="351" spans="2:30" ht="27.75" customHeight="1" x14ac:dyDescent="0.25">
      <c r="B351" s="115">
        <v>45531</v>
      </c>
      <c r="C351" s="116" t="s">
        <v>117</v>
      </c>
      <c r="D351" s="116">
        <v>35</v>
      </c>
      <c r="E351" s="110" t="str">
        <f t="shared" si="15"/>
        <v>20240827-346</v>
      </c>
      <c r="F351" s="111" t="s">
        <v>98</v>
      </c>
      <c r="G351" s="111" t="s">
        <v>99</v>
      </c>
      <c r="H351" s="112" t="s">
        <v>564</v>
      </c>
      <c r="I351" s="113">
        <v>548.27</v>
      </c>
      <c r="J351" s="111" t="s">
        <v>118</v>
      </c>
      <c r="K351" s="111" t="s">
        <v>566</v>
      </c>
      <c r="L351" s="111" t="s">
        <v>103</v>
      </c>
      <c r="M351" s="111" t="s">
        <v>104</v>
      </c>
      <c r="N351" s="111" t="s">
        <v>120</v>
      </c>
      <c r="O351" s="111" t="s">
        <v>121</v>
      </c>
      <c r="P351" s="111" t="s">
        <v>122</v>
      </c>
      <c r="Q351" s="110" t="s">
        <v>123</v>
      </c>
      <c r="R351" s="110" t="s">
        <v>124</v>
      </c>
      <c r="S351" s="111" t="s">
        <v>110</v>
      </c>
      <c r="T351" s="111" t="s">
        <v>111</v>
      </c>
      <c r="U351" s="111" t="s">
        <v>103</v>
      </c>
      <c r="V351" s="118">
        <f t="shared" ref="V351:V414" si="17">IFERROR((I351-I347)/I347,"")</f>
        <v>-1.9387955858417898E-2</v>
      </c>
      <c r="W351" s="114" t="str">
        <f>IFERROR(I351-AVERAGEIFS(I$6:I350,J$6:J350,"ICIS / Platts",B$6:B350,B351),"")</f>
        <v/>
      </c>
      <c r="X351" s="110" t="s">
        <v>125</v>
      </c>
      <c r="Y351" s="117" t="str">
        <f t="shared" si="16"/>
        <v>OK</v>
      </c>
      <c r="Z351" s="111" t="s">
        <v>116</v>
      </c>
      <c r="AA351" s="111" t="s">
        <v>115</v>
      </c>
      <c r="AB351" s="111" t="s">
        <v>116</v>
      </c>
      <c r="AC351" s="111" t="s">
        <v>115</v>
      </c>
      <c r="AD351" s="111"/>
    </row>
    <row r="352" spans="2:30" ht="27.75" customHeight="1" x14ac:dyDescent="0.25">
      <c r="B352" s="108">
        <v>45532</v>
      </c>
      <c r="C352" s="109" t="s">
        <v>126</v>
      </c>
      <c r="D352" s="109">
        <v>35</v>
      </c>
      <c r="E352" s="110" t="str">
        <f t="shared" si="15"/>
        <v>20240828-347</v>
      </c>
      <c r="F352" s="111" t="s">
        <v>98</v>
      </c>
      <c r="G352" s="111" t="s">
        <v>99</v>
      </c>
      <c r="H352" s="112" t="s">
        <v>564</v>
      </c>
      <c r="I352" s="113">
        <v>563.42999999999995</v>
      </c>
      <c r="J352" s="111" t="s">
        <v>127</v>
      </c>
      <c r="K352" s="111" t="s">
        <v>567</v>
      </c>
      <c r="L352" s="111" t="s">
        <v>129</v>
      </c>
      <c r="M352" s="111" t="s">
        <v>104</v>
      </c>
      <c r="N352" s="111" t="s">
        <v>130</v>
      </c>
      <c r="O352" s="111" t="s">
        <v>131</v>
      </c>
      <c r="P352" s="111" t="s">
        <v>132</v>
      </c>
      <c r="Q352" s="110" t="s">
        <v>133</v>
      </c>
      <c r="R352" s="110" t="s">
        <v>134</v>
      </c>
      <c r="S352" s="111" t="s">
        <v>135</v>
      </c>
      <c r="T352" s="111" t="s">
        <v>136</v>
      </c>
      <c r="U352" s="111" t="s">
        <v>129</v>
      </c>
      <c r="V352" s="118">
        <f t="shared" si="17"/>
        <v>1.0546139359698675E-2</v>
      </c>
      <c r="W352" s="114" t="str">
        <f>IFERROR(I352-AVERAGEIFS(I$6:I351,J$6:J351,"ICIS / Platts",B$6:B351,B352),"")</f>
        <v/>
      </c>
      <c r="X352" s="110" t="s">
        <v>137</v>
      </c>
      <c r="Y352" s="117" t="str">
        <f t="shared" si="16"/>
        <v>OK</v>
      </c>
      <c r="Z352" s="111" t="s">
        <v>116</v>
      </c>
      <c r="AA352" s="111" t="s">
        <v>115</v>
      </c>
      <c r="AB352" s="111" t="s">
        <v>116</v>
      </c>
      <c r="AC352" s="111" t="s">
        <v>115</v>
      </c>
      <c r="AD352" s="111"/>
    </row>
    <row r="353" spans="2:30" ht="27.75" customHeight="1" x14ac:dyDescent="0.25">
      <c r="B353" s="115">
        <v>45534</v>
      </c>
      <c r="C353" s="116" t="s">
        <v>138</v>
      </c>
      <c r="D353" s="116">
        <v>35</v>
      </c>
      <c r="E353" s="110" t="str">
        <f t="shared" si="15"/>
        <v>20240830-348</v>
      </c>
      <c r="F353" s="111" t="s">
        <v>98</v>
      </c>
      <c r="G353" s="111" t="s">
        <v>99</v>
      </c>
      <c r="H353" s="112" t="s">
        <v>564</v>
      </c>
      <c r="I353" s="113">
        <v>546.55999999999995</v>
      </c>
      <c r="J353" s="111" t="s">
        <v>139</v>
      </c>
      <c r="K353" s="111" t="s">
        <v>356</v>
      </c>
      <c r="L353" s="111" t="s">
        <v>103</v>
      </c>
      <c r="M353" s="111" t="s">
        <v>104</v>
      </c>
      <c r="N353" s="111" t="s">
        <v>105</v>
      </c>
      <c r="O353" s="111" t="s">
        <v>106</v>
      </c>
      <c r="P353" s="111" t="s">
        <v>141</v>
      </c>
      <c r="Q353" s="110" t="s">
        <v>133</v>
      </c>
      <c r="R353" s="110" t="s">
        <v>142</v>
      </c>
      <c r="S353" s="111" t="s">
        <v>110</v>
      </c>
      <c r="T353" s="111" t="s">
        <v>111</v>
      </c>
      <c r="U353" s="111" t="s">
        <v>103</v>
      </c>
      <c r="V353" s="118">
        <f t="shared" si="17"/>
        <v>-1.9851873105822947E-2</v>
      </c>
      <c r="W353" s="114" t="str">
        <f>IFERROR(I353-AVERAGEIFS(I$6:I352,J$6:J352,"ICIS / Platts",B$6:B352,B353),"")</f>
        <v/>
      </c>
      <c r="X353" s="110" t="s">
        <v>125</v>
      </c>
      <c r="Y353" s="117" t="str">
        <f t="shared" si="16"/>
        <v>OK</v>
      </c>
      <c r="Z353" s="111" t="s">
        <v>116</v>
      </c>
      <c r="AA353" s="111" t="s">
        <v>115</v>
      </c>
      <c r="AB353" s="111" t="s">
        <v>116</v>
      </c>
      <c r="AC353" s="111" t="s">
        <v>115</v>
      </c>
      <c r="AD353" s="111"/>
    </row>
    <row r="354" spans="2:30" ht="27.75" customHeight="1" x14ac:dyDescent="0.25">
      <c r="B354" s="108">
        <v>45537</v>
      </c>
      <c r="C354" s="109" t="s">
        <v>97</v>
      </c>
      <c r="D354" s="109">
        <v>36</v>
      </c>
      <c r="E354" s="110" t="str">
        <f t="shared" si="15"/>
        <v>20240902-349</v>
      </c>
      <c r="F354" s="111" t="s">
        <v>98</v>
      </c>
      <c r="G354" s="111" t="s">
        <v>99</v>
      </c>
      <c r="H354" s="112" t="s">
        <v>568</v>
      </c>
      <c r="I354" s="113">
        <v>555</v>
      </c>
      <c r="J354" s="111" t="s">
        <v>101</v>
      </c>
      <c r="K354" s="111" t="s">
        <v>569</v>
      </c>
      <c r="L354" s="111" t="s">
        <v>103</v>
      </c>
      <c r="M354" s="111" t="s">
        <v>104</v>
      </c>
      <c r="N354" s="111" t="s">
        <v>105</v>
      </c>
      <c r="O354" s="111" t="s">
        <v>106</v>
      </c>
      <c r="P354" s="111" t="s">
        <v>107</v>
      </c>
      <c r="Q354" s="110" t="s">
        <v>108</v>
      </c>
      <c r="R354" s="110" t="s">
        <v>109</v>
      </c>
      <c r="S354" s="111" t="s">
        <v>110</v>
      </c>
      <c r="T354" s="111" t="s">
        <v>111</v>
      </c>
      <c r="U354" s="111" t="s">
        <v>103</v>
      </c>
      <c r="V354" s="118">
        <f t="shared" si="17"/>
        <v>5.434782608695652E-3</v>
      </c>
      <c r="W354" s="114" t="str">
        <f>IFERROR(I354-AVERAGEIFS(I$6:I353,J$6:J353,"ICIS / Platts",B$6:B353,B354),"")</f>
        <v/>
      </c>
      <c r="X354" s="110" t="s">
        <v>113</v>
      </c>
      <c r="Y354" s="117" t="str">
        <f t="shared" si="16"/>
        <v>OK</v>
      </c>
      <c r="Z354" s="111" t="s">
        <v>116</v>
      </c>
      <c r="AA354" s="111" t="s">
        <v>115</v>
      </c>
      <c r="AB354" s="111" t="s">
        <v>116</v>
      </c>
      <c r="AC354" s="111" t="s">
        <v>116</v>
      </c>
      <c r="AD354" s="111"/>
    </row>
    <row r="355" spans="2:30" ht="27.75" customHeight="1" x14ac:dyDescent="0.25">
      <c r="B355" s="115">
        <v>45538</v>
      </c>
      <c r="C355" s="116" t="s">
        <v>117</v>
      </c>
      <c r="D355" s="116">
        <v>36</v>
      </c>
      <c r="E355" s="110" t="str">
        <f t="shared" si="15"/>
        <v>20240903-350</v>
      </c>
      <c r="F355" s="111" t="s">
        <v>98</v>
      </c>
      <c r="G355" s="111" t="s">
        <v>99</v>
      </c>
      <c r="H355" s="112" t="s">
        <v>568</v>
      </c>
      <c r="I355" s="113">
        <v>564.41</v>
      </c>
      <c r="J355" s="111" t="s">
        <v>118</v>
      </c>
      <c r="K355" s="111" t="s">
        <v>570</v>
      </c>
      <c r="L355" s="111" t="s">
        <v>103</v>
      </c>
      <c r="M355" s="111" t="s">
        <v>104</v>
      </c>
      <c r="N355" s="111" t="s">
        <v>120</v>
      </c>
      <c r="O355" s="111" t="s">
        <v>121</v>
      </c>
      <c r="P355" s="111" t="s">
        <v>122</v>
      </c>
      <c r="Q355" s="110" t="s">
        <v>123</v>
      </c>
      <c r="R355" s="110" t="s">
        <v>124</v>
      </c>
      <c r="S355" s="111" t="s">
        <v>110</v>
      </c>
      <c r="T355" s="111" t="s">
        <v>111</v>
      </c>
      <c r="U355" s="111" t="s">
        <v>103</v>
      </c>
      <c r="V355" s="118">
        <f t="shared" si="17"/>
        <v>2.9438050595509489E-2</v>
      </c>
      <c r="W355" s="114" t="str">
        <f>IFERROR(I355-AVERAGEIFS(I$6:I354,J$6:J354,"ICIS / Platts",B$6:B354,B355),"")</f>
        <v/>
      </c>
      <c r="X355" s="110" t="s">
        <v>125</v>
      </c>
      <c r="Y355" s="117" t="str">
        <f t="shared" si="16"/>
        <v>OK</v>
      </c>
      <c r="Z355" s="111" t="s">
        <v>116</v>
      </c>
      <c r="AA355" s="111" t="s">
        <v>115</v>
      </c>
      <c r="AB355" s="111" t="s">
        <v>116</v>
      </c>
      <c r="AC355" s="111" t="s">
        <v>116</v>
      </c>
      <c r="AD355" s="111"/>
    </row>
    <row r="356" spans="2:30" ht="27.75" customHeight="1" x14ac:dyDescent="0.25">
      <c r="B356" s="108">
        <v>45539</v>
      </c>
      <c r="C356" s="109" t="s">
        <v>126</v>
      </c>
      <c r="D356" s="109">
        <v>36</v>
      </c>
      <c r="E356" s="110" t="str">
        <f t="shared" si="15"/>
        <v>20240904-351</v>
      </c>
      <c r="F356" s="111" t="s">
        <v>98</v>
      </c>
      <c r="G356" s="111" t="s">
        <v>99</v>
      </c>
      <c r="H356" s="112" t="s">
        <v>568</v>
      </c>
      <c r="I356" s="113">
        <v>544.27</v>
      </c>
      <c r="J356" s="111" t="s">
        <v>127</v>
      </c>
      <c r="K356" s="111" t="s">
        <v>571</v>
      </c>
      <c r="L356" s="111" t="s">
        <v>129</v>
      </c>
      <c r="M356" s="111" t="s">
        <v>104</v>
      </c>
      <c r="N356" s="111" t="s">
        <v>130</v>
      </c>
      <c r="O356" s="111" t="s">
        <v>131</v>
      </c>
      <c r="P356" s="111" t="s">
        <v>132</v>
      </c>
      <c r="Q356" s="110" t="s">
        <v>133</v>
      </c>
      <c r="R356" s="110" t="s">
        <v>134</v>
      </c>
      <c r="S356" s="111" t="s">
        <v>135</v>
      </c>
      <c r="T356" s="111" t="s">
        <v>136</v>
      </c>
      <c r="U356" s="111" t="s">
        <v>129</v>
      </c>
      <c r="V356" s="118">
        <f t="shared" si="17"/>
        <v>-3.4005998970590791E-2</v>
      </c>
      <c r="W356" s="114" t="str">
        <f>IFERROR(I356-AVERAGEIFS(I$6:I355,J$6:J355,"ICIS / Platts",B$6:B355,B356),"")</f>
        <v/>
      </c>
      <c r="X356" s="110" t="s">
        <v>137</v>
      </c>
      <c r="Y356" s="117" t="str">
        <f t="shared" si="16"/>
        <v>OK</v>
      </c>
      <c r="Z356" s="111" t="s">
        <v>116</v>
      </c>
      <c r="AA356" s="111" t="s">
        <v>115</v>
      </c>
      <c r="AB356" s="111" t="s">
        <v>116</v>
      </c>
      <c r="AC356" s="111" t="s">
        <v>116</v>
      </c>
      <c r="AD356" s="111"/>
    </row>
    <row r="357" spans="2:30" ht="27.75" customHeight="1" x14ac:dyDescent="0.25">
      <c r="B357" s="115">
        <v>45541</v>
      </c>
      <c r="C357" s="116" t="s">
        <v>138</v>
      </c>
      <c r="D357" s="116">
        <v>36</v>
      </c>
      <c r="E357" s="110" t="str">
        <f t="shared" si="15"/>
        <v>20240906-352</v>
      </c>
      <c r="F357" s="111" t="s">
        <v>98</v>
      </c>
      <c r="G357" s="111" t="s">
        <v>99</v>
      </c>
      <c r="H357" s="112" t="s">
        <v>568</v>
      </c>
      <c r="I357" s="113">
        <v>549.1</v>
      </c>
      <c r="J357" s="111" t="s">
        <v>139</v>
      </c>
      <c r="K357" s="111" t="s">
        <v>572</v>
      </c>
      <c r="L357" s="111" t="s">
        <v>103</v>
      </c>
      <c r="M357" s="111" t="s">
        <v>104</v>
      </c>
      <c r="N357" s="111" t="s">
        <v>105</v>
      </c>
      <c r="O357" s="111" t="s">
        <v>106</v>
      </c>
      <c r="P357" s="111" t="s">
        <v>141</v>
      </c>
      <c r="Q357" s="110" t="s">
        <v>133</v>
      </c>
      <c r="R357" s="110" t="s">
        <v>142</v>
      </c>
      <c r="S357" s="111" t="s">
        <v>110</v>
      </c>
      <c r="T357" s="111" t="s">
        <v>111</v>
      </c>
      <c r="U357" s="111" t="s">
        <v>103</v>
      </c>
      <c r="V357" s="118">
        <f t="shared" si="17"/>
        <v>4.6472482435598612E-3</v>
      </c>
      <c r="W357" s="114" t="str">
        <f>IFERROR(I357-AVERAGEIFS(I$6:I356,J$6:J356,"ICIS / Platts",B$6:B356,B357),"")</f>
        <v/>
      </c>
      <c r="X357" s="110" t="s">
        <v>125</v>
      </c>
      <c r="Y357" s="117" t="str">
        <f t="shared" si="16"/>
        <v>OK</v>
      </c>
      <c r="Z357" s="111" t="s">
        <v>116</v>
      </c>
      <c r="AA357" s="111" t="s">
        <v>115</v>
      </c>
      <c r="AB357" s="111" t="s">
        <v>116</v>
      </c>
      <c r="AC357" s="111" t="s">
        <v>116</v>
      </c>
      <c r="AD357" s="111"/>
    </row>
    <row r="358" spans="2:30" ht="27.75" customHeight="1" x14ac:dyDescent="0.25">
      <c r="B358" s="108">
        <v>45544</v>
      </c>
      <c r="C358" s="109" t="s">
        <v>97</v>
      </c>
      <c r="D358" s="109">
        <v>37</v>
      </c>
      <c r="E358" s="110" t="str">
        <f t="shared" si="15"/>
        <v>20240909-353</v>
      </c>
      <c r="F358" s="111" t="s">
        <v>98</v>
      </c>
      <c r="G358" s="111" t="s">
        <v>99</v>
      </c>
      <c r="H358" s="112" t="s">
        <v>573</v>
      </c>
      <c r="I358" s="113">
        <v>558</v>
      </c>
      <c r="J358" s="111" t="s">
        <v>101</v>
      </c>
      <c r="K358" s="111" t="s">
        <v>574</v>
      </c>
      <c r="L358" s="111" t="s">
        <v>103</v>
      </c>
      <c r="M358" s="111" t="s">
        <v>104</v>
      </c>
      <c r="N358" s="111" t="s">
        <v>105</v>
      </c>
      <c r="O358" s="111" t="s">
        <v>106</v>
      </c>
      <c r="P358" s="111" t="s">
        <v>107</v>
      </c>
      <c r="Q358" s="110" t="s">
        <v>108</v>
      </c>
      <c r="R358" s="110" t="s">
        <v>109</v>
      </c>
      <c r="S358" s="111" t="s">
        <v>110</v>
      </c>
      <c r="T358" s="111" t="s">
        <v>111</v>
      </c>
      <c r="U358" s="111" t="s">
        <v>103</v>
      </c>
      <c r="V358" s="118">
        <f t="shared" si="17"/>
        <v>5.4054054054054057E-3</v>
      </c>
      <c r="W358" s="114" t="str">
        <f>IFERROR(I358-AVERAGEIFS(I$6:I357,J$6:J357,"ICIS / Platts",B$6:B357,B358),"")</f>
        <v/>
      </c>
      <c r="X358" s="110" t="s">
        <v>113</v>
      </c>
      <c r="Y358" s="117" t="str">
        <f t="shared" si="16"/>
        <v>OK</v>
      </c>
      <c r="Z358" s="111" t="s">
        <v>116</v>
      </c>
      <c r="AA358" s="111" t="s">
        <v>115</v>
      </c>
      <c r="AB358" s="111" t="s">
        <v>116</v>
      </c>
      <c r="AC358" s="111" t="s">
        <v>116</v>
      </c>
      <c r="AD358" s="111"/>
    </row>
    <row r="359" spans="2:30" ht="27.75" customHeight="1" x14ac:dyDescent="0.25">
      <c r="B359" s="115">
        <v>45545</v>
      </c>
      <c r="C359" s="116" t="s">
        <v>117</v>
      </c>
      <c r="D359" s="116">
        <v>37</v>
      </c>
      <c r="E359" s="110" t="str">
        <f t="shared" si="15"/>
        <v>20240910-354</v>
      </c>
      <c r="F359" s="111" t="s">
        <v>98</v>
      </c>
      <c r="G359" s="111" t="s">
        <v>99</v>
      </c>
      <c r="H359" s="112" t="s">
        <v>573</v>
      </c>
      <c r="I359" s="113">
        <v>558.34</v>
      </c>
      <c r="J359" s="111" t="s">
        <v>118</v>
      </c>
      <c r="K359" s="111" t="s">
        <v>575</v>
      </c>
      <c r="L359" s="111" t="s">
        <v>103</v>
      </c>
      <c r="M359" s="111" t="s">
        <v>104</v>
      </c>
      <c r="N359" s="111" t="s">
        <v>120</v>
      </c>
      <c r="O359" s="111" t="s">
        <v>121</v>
      </c>
      <c r="P359" s="111" t="s">
        <v>122</v>
      </c>
      <c r="Q359" s="110" t="s">
        <v>123</v>
      </c>
      <c r="R359" s="110" t="s">
        <v>124</v>
      </c>
      <c r="S359" s="111" t="s">
        <v>110</v>
      </c>
      <c r="T359" s="111" t="s">
        <v>111</v>
      </c>
      <c r="U359" s="111" t="s">
        <v>103</v>
      </c>
      <c r="V359" s="118">
        <f t="shared" si="17"/>
        <v>-1.0754593292110233E-2</v>
      </c>
      <c r="W359" s="114" t="str">
        <f>IFERROR(I359-AVERAGEIFS(I$6:I358,J$6:J358,"ICIS / Platts",B$6:B358,B359),"")</f>
        <v/>
      </c>
      <c r="X359" s="110" t="s">
        <v>125</v>
      </c>
      <c r="Y359" s="117" t="str">
        <f t="shared" si="16"/>
        <v>OK</v>
      </c>
      <c r="Z359" s="111" t="s">
        <v>116</v>
      </c>
      <c r="AA359" s="111" t="s">
        <v>115</v>
      </c>
      <c r="AB359" s="111" t="s">
        <v>116</v>
      </c>
      <c r="AC359" s="111" t="s">
        <v>116</v>
      </c>
      <c r="AD359" s="111"/>
    </row>
    <row r="360" spans="2:30" ht="27.75" customHeight="1" x14ac:dyDescent="0.25">
      <c r="B360" s="108">
        <v>45546</v>
      </c>
      <c r="C360" s="109" t="s">
        <v>126</v>
      </c>
      <c r="D360" s="109">
        <v>37</v>
      </c>
      <c r="E360" s="110" t="str">
        <f t="shared" si="15"/>
        <v>20240911-355</v>
      </c>
      <c r="F360" s="111" t="s">
        <v>98</v>
      </c>
      <c r="G360" s="111" t="s">
        <v>99</v>
      </c>
      <c r="H360" s="112" t="s">
        <v>573</v>
      </c>
      <c r="I360" s="113">
        <v>570.44000000000005</v>
      </c>
      <c r="J360" s="111" t="s">
        <v>127</v>
      </c>
      <c r="K360" s="111" t="s">
        <v>576</v>
      </c>
      <c r="L360" s="111" t="s">
        <v>129</v>
      </c>
      <c r="M360" s="111" t="s">
        <v>104</v>
      </c>
      <c r="N360" s="111" t="s">
        <v>130</v>
      </c>
      <c r="O360" s="111" t="s">
        <v>131</v>
      </c>
      <c r="P360" s="111" t="s">
        <v>132</v>
      </c>
      <c r="Q360" s="110" t="s">
        <v>133</v>
      </c>
      <c r="R360" s="110" t="s">
        <v>134</v>
      </c>
      <c r="S360" s="111" t="s">
        <v>135</v>
      </c>
      <c r="T360" s="111" t="s">
        <v>136</v>
      </c>
      <c r="U360" s="111" t="s">
        <v>129</v>
      </c>
      <c r="V360" s="118">
        <f t="shared" si="17"/>
        <v>4.8082753045363649E-2</v>
      </c>
      <c r="W360" s="114" t="str">
        <f>IFERROR(I360-AVERAGEIFS(I$6:I359,J$6:J359,"ICIS / Platts",B$6:B359,B360),"")</f>
        <v/>
      </c>
      <c r="X360" s="110" t="s">
        <v>137</v>
      </c>
      <c r="Y360" s="117" t="str">
        <f t="shared" si="16"/>
        <v>OK</v>
      </c>
      <c r="Z360" s="111" t="s">
        <v>116</v>
      </c>
      <c r="AA360" s="111" t="s">
        <v>115</v>
      </c>
      <c r="AB360" s="111" t="s">
        <v>116</v>
      </c>
      <c r="AC360" s="111" t="s">
        <v>116</v>
      </c>
      <c r="AD360" s="111"/>
    </row>
    <row r="361" spans="2:30" ht="27.75" customHeight="1" x14ac:dyDescent="0.25">
      <c r="B361" s="115">
        <v>45548</v>
      </c>
      <c r="C361" s="116" t="s">
        <v>138</v>
      </c>
      <c r="D361" s="116">
        <v>37</v>
      </c>
      <c r="E361" s="110" t="str">
        <f t="shared" si="15"/>
        <v>20240913-356</v>
      </c>
      <c r="F361" s="111" t="s">
        <v>98</v>
      </c>
      <c r="G361" s="111" t="s">
        <v>99</v>
      </c>
      <c r="H361" s="112" t="s">
        <v>573</v>
      </c>
      <c r="I361" s="113">
        <v>555.02</v>
      </c>
      <c r="J361" s="111" t="s">
        <v>139</v>
      </c>
      <c r="K361" s="111" t="s">
        <v>577</v>
      </c>
      <c r="L361" s="111" t="s">
        <v>103</v>
      </c>
      <c r="M361" s="111" t="s">
        <v>104</v>
      </c>
      <c r="N361" s="111" t="s">
        <v>105</v>
      </c>
      <c r="O361" s="111" t="s">
        <v>106</v>
      </c>
      <c r="P361" s="111" t="s">
        <v>141</v>
      </c>
      <c r="Q361" s="110" t="s">
        <v>133</v>
      </c>
      <c r="R361" s="110" t="s">
        <v>142</v>
      </c>
      <c r="S361" s="111" t="s">
        <v>110</v>
      </c>
      <c r="T361" s="111" t="s">
        <v>111</v>
      </c>
      <c r="U361" s="111" t="s">
        <v>103</v>
      </c>
      <c r="V361" s="118">
        <f t="shared" si="17"/>
        <v>1.0781278455654632E-2</v>
      </c>
      <c r="W361" s="114" t="str">
        <f>IFERROR(I361-AVERAGEIFS(I$6:I360,J$6:J360,"ICIS / Platts",B$6:B360,B361),"")</f>
        <v/>
      </c>
      <c r="X361" s="110" t="s">
        <v>125</v>
      </c>
      <c r="Y361" s="117" t="str">
        <f t="shared" si="16"/>
        <v>OK</v>
      </c>
      <c r="Z361" s="111" t="s">
        <v>116</v>
      </c>
      <c r="AA361" s="111" t="s">
        <v>115</v>
      </c>
      <c r="AB361" s="111" t="s">
        <v>116</v>
      </c>
      <c r="AC361" s="111" t="s">
        <v>116</v>
      </c>
      <c r="AD361" s="111"/>
    </row>
    <row r="362" spans="2:30" ht="27.75" customHeight="1" x14ac:dyDescent="0.25">
      <c r="B362" s="108">
        <v>45551</v>
      </c>
      <c r="C362" s="109" t="s">
        <v>97</v>
      </c>
      <c r="D362" s="109">
        <v>38</v>
      </c>
      <c r="E362" s="110" t="str">
        <f t="shared" si="15"/>
        <v>20240916-357</v>
      </c>
      <c r="F362" s="111" t="s">
        <v>98</v>
      </c>
      <c r="G362" s="111" t="s">
        <v>99</v>
      </c>
      <c r="H362" s="112" t="s">
        <v>578</v>
      </c>
      <c r="I362" s="113">
        <v>560</v>
      </c>
      <c r="J362" s="111" t="s">
        <v>101</v>
      </c>
      <c r="K362" s="111" t="s">
        <v>579</v>
      </c>
      <c r="L362" s="111" t="s">
        <v>103</v>
      </c>
      <c r="M362" s="111" t="s">
        <v>104</v>
      </c>
      <c r="N362" s="111" t="s">
        <v>105</v>
      </c>
      <c r="O362" s="111" t="s">
        <v>106</v>
      </c>
      <c r="P362" s="111" t="s">
        <v>107</v>
      </c>
      <c r="Q362" s="110" t="s">
        <v>108</v>
      </c>
      <c r="R362" s="110" t="s">
        <v>109</v>
      </c>
      <c r="S362" s="111" t="s">
        <v>110</v>
      </c>
      <c r="T362" s="111" t="s">
        <v>111</v>
      </c>
      <c r="U362" s="111" t="s">
        <v>103</v>
      </c>
      <c r="V362" s="118">
        <f t="shared" si="17"/>
        <v>3.5842293906810036E-3</v>
      </c>
      <c r="W362" s="114" t="str">
        <f>IFERROR(I362-AVERAGEIFS(I$6:I361,J$6:J361,"ICIS / Platts",B$6:B361,B362),"")</f>
        <v/>
      </c>
      <c r="X362" s="110" t="s">
        <v>113</v>
      </c>
      <c r="Y362" s="117" t="str">
        <f t="shared" si="16"/>
        <v>OK</v>
      </c>
      <c r="Z362" s="111" t="s">
        <v>116</v>
      </c>
      <c r="AA362" s="111" t="s">
        <v>115</v>
      </c>
      <c r="AB362" s="111" t="s">
        <v>116</v>
      </c>
      <c r="AC362" s="111" t="s">
        <v>116</v>
      </c>
      <c r="AD362" s="111"/>
    </row>
    <row r="363" spans="2:30" ht="27.75" customHeight="1" x14ac:dyDescent="0.25">
      <c r="B363" s="115">
        <v>45552</v>
      </c>
      <c r="C363" s="116" t="s">
        <v>117</v>
      </c>
      <c r="D363" s="116">
        <v>38</v>
      </c>
      <c r="E363" s="110" t="str">
        <f t="shared" si="15"/>
        <v>20240917-358</v>
      </c>
      <c r="F363" s="111" t="s">
        <v>98</v>
      </c>
      <c r="G363" s="111" t="s">
        <v>99</v>
      </c>
      <c r="H363" s="112" t="s">
        <v>578</v>
      </c>
      <c r="I363" s="113">
        <v>570.53</v>
      </c>
      <c r="J363" s="111" t="s">
        <v>118</v>
      </c>
      <c r="K363" s="111" t="s">
        <v>580</v>
      </c>
      <c r="L363" s="111" t="s">
        <v>103</v>
      </c>
      <c r="M363" s="111" t="s">
        <v>104</v>
      </c>
      <c r="N363" s="111" t="s">
        <v>120</v>
      </c>
      <c r="O363" s="111" t="s">
        <v>121</v>
      </c>
      <c r="P363" s="111" t="s">
        <v>122</v>
      </c>
      <c r="Q363" s="110" t="s">
        <v>123</v>
      </c>
      <c r="R363" s="110" t="s">
        <v>124</v>
      </c>
      <c r="S363" s="111" t="s">
        <v>110</v>
      </c>
      <c r="T363" s="111" t="s">
        <v>111</v>
      </c>
      <c r="U363" s="111" t="s">
        <v>103</v>
      </c>
      <c r="V363" s="118">
        <f t="shared" si="17"/>
        <v>2.1832575133431134E-2</v>
      </c>
      <c r="W363" s="114" t="str">
        <f>IFERROR(I363-AVERAGEIFS(I$6:I362,J$6:J362,"ICIS / Platts",B$6:B362,B363),"")</f>
        <v/>
      </c>
      <c r="X363" s="110" t="s">
        <v>125</v>
      </c>
      <c r="Y363" s="117" t="str">
        <f t="shared" si="16"/>
        <v>OK</v>
      </c>
      <c r="Z363" s="111" t="s">
        <v>116</v>
      </c>
      <c r="AA363" s="111" t="s">
        <v>115</v>
      </c>
      <c r="AB363" s="111" t="s">
        <v>116</v>
      </c>
      <c r="AC363" s="111" t="s">
        <v>116</v>
      </c>
      <c r="AD363" s="111"/>
    </row>
    <row r="364" spans="2:30" ht="27.75" customHeight="1" x14ac:dyDescent="0.25">
      <c r="B364" s="108">
        <v>45553</v>
      </c>
      <c r="C364" s="109" t="s">
        <v>126</v>
      </c>
      <c r="D364" s="109">
        <v>38</v>
      </c>
      <c r="E364" s="110" t="str">
        <f t="shared" si="15"/>
        <v>20240918-359</v>
      </c>
      <c r="F364" s="111" t="s">
        <v>98</v>
      </c>
      <c r="G364" s="111" t="s">
        <v>99</v>
      </c>
      <c r="H364" s="112" t="s">
        <v>578</v>
      </c>
      <c r="I364" s="113">
        <v>571.76</v>
      </c>
      <c r="J364" s="111" t="s">
        <v>127</v>
      </c>
      <c r="K364" s="111" t="s">
        <v>581</v>
      </c>
      <c r="L364" s="111" t="s">
        <v>129</v>
      </c>
      <c r="M364" s="111" t="s">
        <v>104</v>
      </c>
      <c r="N364" s="111" t="s">
        <v>130</v>
      </c>
      <c r="O364" s="111" t="s">
        <v>131</v>
      </c>
      <c r="P364" s="111" t="s">
        <v>132</v>
      </c>
      <c r="Q364" s="110" t="s">
        <v>133</v>
      </c>
      <c r="R364" s="110" t="s">
        <v>134</v>
      </c>
      <c r="S364" s="111" t="s">
        <v>135</v>
      </c>
      <c r="T364" s="111" t="s">
        <v>136</v>
      </c>
      <c r="U364" s="111" t="s">
        <v>129</v>
      </c>
      <c r="V364" s="118">
        <f t="shared" si="17"/>
        <v>2.314003225580142E-3</v>
      </c>
      <c r="W364" s="114" t="str">
        <f>IFERROR(I364-AVERAGEIFS(I$6:I363,J$6:J363,"ICIS / Platts",B$6:B363,B364),"")</f>
        <v/>
      </c>
      <c r="X364" s="110" t="s">
        <v>137</v>
      </c>
      <c r="Y364" s="117" t="str">
        <f t="shared" si="16"/>
        <v>OK</v>
      </c>
      <c r="Z364" s="111" t="s">
        <v>116</v>
      </c>
      <c r="AA364" s="111" t="s">
        <v>115</v>
      </c>
      <c r="AB364" s="111" t="s">
        <v>116</v>
      </c>
      <c r="AC364" s="111" t="s">
        <v>116</v>
      </c>
      <c r="AD364" s="111"/>
    </row>
    <row r="365" spans="2:30" ht="27.75" customHeight="1" x14ac:dyDescent="0.25">
      <c r="B365" s="115">
        <v>45555</v>
      </c>
      <c r="C365" s="116" t="s">
        <v>138</v>
      </c>
      <c r="D365" s="116">
        <v>38</v>
      </c>
      <c r="E365" s="110" t="str">
        <f t="shared" si="15"/>
        <v>20240920-360</v>
      </c>
      <c r="F365" s="111" t="s">
        <v>98</v>
      </c>
      <c r="G365" s="111" t="s">
        <v>99</v>
      </c>
      <c r="H365" s="112" t="s">
        <v>578</v>
      </c>
      <c r="I365" s="113">
        <v>569.24</v>
      </c>
      <c r="J365" s="111" t="s">
        <v>139</v>
      </c>
      <c r="K365" s="111" t="s">
        <v>582</v>
      </c>
      <c r="L365" s="111" t="s">
        <v>103</v>
      </c>
      <c r="M365" s="111" t="s">
        <v>104</v>
      </c>
      <c r="N365" s="111" t="s">
        <v>105</v>
      </c>
      <c r="O365" s="111" t="s">
        <v>106</v>
      </c>
      <c r="P365" s="111" t="s">
        <v>141</v>
      </c>
      <c r="Q365" s="110" t="s">
        <v>133</v>
      </c>
      <c r="R365" s="110" t="s">
        <v>142</v>
      </c>
      <c r="S365" s="111" t="s">
        <v>110</v>
      </c>
      <c r="T365" s="111" t="s">
        <v>111</v>
      </c>
      <c r="U365" s="111" t="s">
        <v>103</v>
      </c>
      <c r="V365" s="118">
        <f t="shared" si="17"/>
        <v>2.5620698353212547E-2</v>
      </c>
      <c r="W365" s="114" t="str">
        <f>IFERROR(I365-AVERAGEIFS(I$6:I364,J$6:J364,"ICIS / Platts",B$6:B364,B365),"")</f>
        <v/>
      </c>
      <c r="X365" s="110" t="s">
        <v>125</v>
      </c>
      <c r="Y365" s="117" t="str">
        <f t="shared" si="16"/>
        <v>OK</v>
      </c>
      <c r="Z365" s="111" t="s">
        <v>116</v>
      </c>
      <c r="AA365" s="111" t="s">
        <v>115</v>
      </c>
      <c r="AB365" s="111" t="s">
        <v>116</v>
      </c>
      <c r="AC365" s="111" t="s">
        <v>116</v>
      </c>
      <c r="AD365" s="111"/>
    </row>
    <row r="366" spans="2:30" ht="27.75" customHeight="1" x14ac:dyDescent="0.25">
      <c r="B366" s="108">
        <v>45558</v>
      </c>
      <c r="C366" s="109" t="s">
        <v>97</v>
      </c>
      <c r="D366" s="109">
        <v>39</v>
      </c>
      <c r="E366" s="110" t="str">
        <f t="shared" si="15"/>
        <v>20240923-361</v>
      </c>
      <c r="F366" s="111" t="s">
        <v>98</v>
      </c>
      <c r="G366" s="111" t="s">
        <v>99</v>
      </c>
      <c r="H366" s="112" t="s">
        <v>583</v>
      </c>
      <c r="I366" s="113">
        <v>562</v>
      </c>
      <c r="J366" s="111" t="s">
        <v>101</v>
      </c>
      <c r="K366" s="111" t="s">
        <v>584</v>
      </c>
      <c r="L366" s="111" t="s">
        <v>103</v>
      </c>
      <c r="M366" s="111" t="s">
        <v>104</v>
      </c>
      <c r="N366" s="111" t="s">
        <v>105</v>
      </c>
      <c r="O366" s="111" t="s">
        <v>106</v>
      </c>
      <c r="P366" s="111" t="s">
        <v>107</v>
      </c>
      <c r="Q366" s="110" t="s">
        <v>108</v>
      </c>
      <c r="R366" s="110" t="s">
        <v>109</v>
      </c>
      <c r="S366" s="111" t="s">
        <v>110</v>
      </c>
      <c r="T366" s="111" t="s">
        <v>111</v>
      </c>
      <c r="U366" s="111" t="s">
        <v>103</v>
      </c>
      <c r="V366" s="118">
        <f t="shared" si="17"/>
        <v>3.5714285714285713E-3</v>
      </c>
      <c r="W366" s="114" t="str">
        <f>IFERROR(I366-AVERAGEIFS(I$6:I365,J$6:J365,"ICIS / Platts",B$6:B365,B366),"")</f>
        <v/>
      </c>
      <c r="X366" s="110" t="s">
        <v>113</v>
      </c>
      <c r="Y366" s="117" t="str">
        <f t="shared" si="16"/>
        <v>OK</v>
      </c>
      <c r="Z366" s="111" t="s">
        <v>116</v>
      </c>
      <c r="AA366" s="111" t="s">
        <v>115</v>
      </c>
      <c r="AB366" s="111" t="s">
        <v>116</v>
      </c>
      <c r="AC366" s="111" t="s">
        <v>116</v>
      </c>
      <c r="AD366" s="111"/>
    </row>
    <row r="367" spans="2:30" ht="27.75" customHeight="1" x14ac:dyDescent="0.25">
      <c r="B367" s="115">
        <v>45559</v>
      </c>
      <c r="C367" s="116" t="s">
        <v>117</v>
      </c>
      <c r="D367" s="116">
        <v>39</v>
      </c>
      <c r="E367" s="110" t="str">
        <f t="shared" si="15"/>
        <v>20240924-362</v>
      </c>
      <c r="F367" s="111" t="s">
        <v>98</v>
      </c>
      <c r="G367" s="111" t="s">
        <v>99</v>
      </c>
      <c r="H367" s="112" t="s">
        <v>583</v>
      </c>
      <c r="I367" s="113">
        <v>575.95000000000005</v>
      </c>
      <c r="J367" s="111" t="s">
        <v>118</v>
      </c>
      <c r="K367" s="111" t="s">
        <v>585</v>
      </c>
      <c r="L367" s="111" t="s">
        <v>103</v>
      </c>
      <c r="M367" s="111" t="s">
        <v>104</v>
      </c>
      <c r="N367" s="111" t="s">
        <v>120</v>
      </c>
      <c r="O367" s="111" t="s">
        <v>121</v>
      </c>
      <c r="P367" s="111" t="s">
        <v>122</v>
      </c>
      <c r="Q367" s="110" t="s">
        <v>123</v>
      </c>
      <c r="R367" s="110" t="s">
        <v>124</v>
      </c>
      <c r="S367" s="111" t="s">
        <v>110</v>
      </c>
      <c r="T367" s="111" t="s">
        <v>111</v>
      </c>
      <c r="U367" s="111" t="s">
        <v>103</v>
      </c>
      <c r="V367" s="118">
        <f t="shared" si="17"/>
        <v>9.4999386535328089E-3</v>
      </c>
      <c r="W367" s="114" t="str">
        <f>IFERROR(I367-AVERAGEIFS(I$6:I366,J$6:J366,"ICIS / Platts",B$6:B366,B367),"")</f>
        <v/>
      </c>
      <c r="X367" s="110" t="s">
        <v>125</v>
      </c>
      <c r="Y367" s="117" t="str">
        <f t="shared" si="16"/>
        <v>OK</v>
      </c>
      <c r="Z367" s="111" t="s">
        <v>116</v>
      </c>
      <c r="AA367" s="111" t="s">
        <v>115</v>
      </c>
      <c r="AB367" s="111" t="s">
        <v>116</v>
      </c>
      <c r="AC367" s="111" t="s">
        <v>116</v>
      </c>
      <c r="AD367" s="111"/>
    </row>
    <row r="368" spans="2:30" ht="27.75" customHeight="1" x14ac:dyDescent="0.25">
      <c r="B368" s="108">
        <v>45560</v>
      </c>
      <c r="C368" s="109" t="s">
        <v>126</v>
      </c>
      <c r="D368" s="109">
        <v>39</v>
      </c>
      <c r="E368" s="110" t="str">
        <f t="shared" si="15"/>
        <v>20240925-363</v>
      </c>
      <c r="F368" s="111" t="s">
        <v>98</v>
      </c>
      <c r="G368" s="111" t="s">
        <v>99</v>
      </c>
      <c r="H368" s="112" t="s">
        <v>583</v>
      </c>
      <c r="I368" s="113">
        <v>557.25</v>
      </c>
      <c r="J368" s="111" t="s">
        <v>127</v>
      </c>
      <c r="K368" s="111" t="s">
        <v>586</v>
      </c>
      <c r="L368" s="111" t="s">
        <v>129</v>
      </c>
      <c r="M368" s="111" t="s">
        <v>104</v>
      </c>
      <c r="N368" s="111" t="s">
        <v>130</v>
      </c>
      <c r="O368" s="111" t="s">
        <v>131</v>
      </c>
      <c r="P368" s="111" t="s">
        <v>132</v>
      </c>
      <c r="Q368" s="110" t="s">
        <v>133</v>
      </c>
      <c r="R368" s="110" t="s">
        <v>134</v>
      </c>
      <c r="S368" s="111" t="s">
        <v>135</v>
      </c>
      <c r="T368" s="111" t="s">
        <v>136</v>
      </c>
      <c r="U368" s="111" t="s">
        <v>129</v>
      </c>
      <c r="V368" s="118">
        <f t="shared" si="17"/>
        <v>-2.5377780887085474E-2</v>
      </c>
      <c r="W368" s="114" t="str">
        <f>IFERROR(I368-AVERAGEIFS(I$6:I367,J$6:J367,"ICIS / Platts",B$6:B367,B368),"")</f>
        <v/>
      </c>
      <c r="X368" s="110" t="s">
        <v>137</v>
      </c>
      <c r="Y368" s="117" t="str">
        <f t="shared" si="16"/>
        <v>OK</v>
      </c>
      <c r="Z368" s="111" t="s">
        <v>116</v>
      </c>
      <c r="AA368" s="111" t="s">
        <v>115</v>
      </c>
      <c r="AB368" s="111" t="s">
        <v>116</v>
      </c>
      <c r="AC368" s="111" t="s">
        <v>116</v>
      </c>
      <c r="AD368" s="111"/>
    </row>
    <row r="369" spans="2:30" ht="27.75" customHeight="1" x14ac:dyDescent="0.25">
      <c r="B369" s="115">
        <v>45562</v>
      </c>
      <c r="C369" s="116" t="s">
        <v>138</v>
      </c>
      <c r="D369" s="116">
        <v>39</v>
      </c>
      <c r="E369" s="110" t="str">
        <f t="shared" si="15"/>
        <v>20240927-364</v>
      </c>
      <c r="F369" s="111" t="s">
        <v>98</v>
      </c>
      <c r="G369" s="111" t="s">
        <v>99</v>
      </c>
      <c r="H369" s="112" t="s">
        <v>583</v>
      </c>
      <c r="I369" s="113">
        <v>564.83000000000004</v>
      </c>
      <c r="J369" s="111" t="s">
        <v>139</v>
      </c>
      <c r="K369" s="111" t="s">
        <v>587</v>
      </c>
      <c r="L369" s="111" t="s">
        <v>103</v>
      </c>
      <c r="M369" s="111" t="s">
        <v>104</v>
      </c>
      <c r="N369" s="111" t="s">
        <v>105</v>
      </c>
      <c r="O369" s="111" t="s">
        <v>106</v>
      </c>
      <c r="P369" s="111" t="s">
        <v>141</v>
      </c>
      <c r="Q369" s="110" t="s">
        <v>133</v>
      </c>
      <c r="R369" s="110" t="s">
        <v>142</v>
      </c>
      <c r="S369" s="111" t="s">
        <v>110</v>
      </c>
      <c r="T369" s="111" t="s">
        <v>111</v>
      </c>
      <c r="U369" s="111" t="s">
        <v>103</v>
      </c>
      <c r="V369" s="118">
        <f t="shared" si="17"/>
        <v>-7.7471716674864174E-3</v>
      </c>
      <c r="W369" s="114" t="str">
        <f>IFERROR(I369-AVERAGEIFS(I$6:I368,J$6:J368,"ICIS / Platts",B$6:B368,B369),"")</f>
        <v/>
      </c>
      <c r="X369" s="110" t="s">
        <v>125</v>
      </c>
      <c r="Y369" s="117" t="str">
        <f t="shared" si="16"/>
        <v>OK</v>
      </c>
      <c r="Z369" s="111" t="s">
        <v>116</v>
      </c>
      <c r="AA369" s="111" t="s">
        <v>115</v>
      </c>
      <c r="AB369" s="111" t="s">
        <v>116</v>
      </c>
      <c r="AC369" s="111" t="s">
        <v>116</v>
      </c>
      <c r="AD369" s="111"/>
    </row>
    <row r="370" spans="2:30" ht="27.75" customHeight="1" x14ac:dyDescent="0.25">
      <c r="B370" s="108">
        <v>45565</v>
      </c>
      <c r="C370" s="109" t="s">
        <v>97</v>
      </c>
      <c r="D370" s="109">
        <v>40</v>
      </c>
      <c r="E370" s="110" t="str">
        <f t="shared" si="15"/>
        <v>20240930-365</v>
      </c>
      <c r="F370" s="111" t="s">
        <v>98</v>
      </c>
      <c r="G370" s="111" t="s">
        <v>99</v>
      </c>
      <c r="H370" s="112" t="s">
        <v>588</v>
      </c>
      <c r="I370" s="113">
        <v>565</v>
      </c>
      <c r="J370" s="111" t="s">
        <v>101</v>
      </c>
      <c r="K370" s="111" t="s">
        <v>589</v>
      </c>
      <c r="L370" s="111" t="s">
        <v>103</v>
      </c>
      <c r="M370" s="111" t="s">
        <v>104</v>
      </c>
      <c r="N370" s="111" t="s">
        <v>105</v>
      </c>
      <c r="O370" s="111" t="s">
        <v>106</v>
      </c>
      <c r="P370" s="111" t="s">
        <v>107</v>
      </c>
      <c r="Q370" s="110" t="s">
        <v>108</v>
      </c>
      <c r="R370" s="110" t="s">
        <v>109</v>
      </c>
      <c r="S370" s="111" t="s">
        <v>110</v>
      </c>
      <c r="T370" s="111" t="s">
        <v>111</v>
      </c>
      <c r="U370" s="111" t="s">
        <v>103</v>
      </c>
      <c r="V370" s="118">
        <f t="shared" si="17"/>
        <v>5.3380782918149468E-3</v>
      </c>
      <c r="W370" s="114" t="str">
        <f>IFERROR(I370-AVERAGEIFS(I$6:I369,J$6:J369,"ICIS / Platts",B$6:B369,B370),"")</f>
        <v/>
      </c>
      <c r="X370" s="110" t="s">
        <v>113</v>
      </c>
      <c r="Y370" s="117" t="str">
        <f t="shared" si="16"/>
        <v>OK</v>
      </c>
      <c r="Z370" s="111" t="s">
        <v>116</v>
      </c>
      <c r="AA370" s="111" t="s">
        <v>115</v>
      </c>
      <c r="AB370" s="111" t="s">
        <v>116</v>
      </c>
      <c r="AC370" s="111" t="s">
        <v>116</v>
      </c>
      <c r="AD370" s="111"/>
    </row>
    <row r="371" spans="2:30" ht="27.75" customHeight="1" x14ac:dyDescent="0.25">
      <c r="B371" s="115">
        <v>45566</v>
      </c>
      <c r="C371" s="116" t="s">
        <v>117</v>
      </c>
      <c r="D371" s="116">
        <v>40</v>
      </c>
      <c r="E371" s="110" t="str">
        <f t="shared" si="15"/>
        <v>20241001-366</v>
      </c>
      <c r="F371" s="111" t="s">
        <v>98</v>
      </c>
      <c r="G371" s="111" t="s">
        <v>99</v>
      </c>
      <c r="H371" s="112" t="s">
        <v>588</v>
      </c>
      <c r="I371" s="113">
        <v>565.51</v>
      </c>
      <c r="J371" s="111" t="s">
        <v>118</v>
      </c>
      <c r="K371" s="111" t="s">
        <v>590</v>
      </c>
      <c r="L371" s="111" t="s">
        <v>103</v>
      </c>
      <c r="M371" s="111" t="s">
        <v>104</v>
      </c>
      <c r="N371" s="111" t="s">
        <v>120</v>
      </c>
      <c r="O371" s="111" t="s">
        <v>121</v>
      </c>
      <c r="P371" s="111" t="s">
        <v>122</v>
      </c>
      <c r="Q371" s="110" t="s">
        <v>123</v>
      </c>
      <c r="R371" s="110" t="s">
        <v>124</v>
      </c>
      <c r="S371" s="111" t="s">
        <v>110</v>
      </c>
      <c r="T371" s="111" t="s">
        <v>111</v>
      </c>
      <c r="U371" s="111" t="s">
        <v>103</v>
      </c>
      <c r="V371" s="118">
        <f t="shared" si="17"/>
        <v>-1.8126573487281975E-2</v>
      </c>
      <c r="W371" s="114" t="str">
        <f>IFERROR(I371-AVERAGEIFS(I$6:I370,J$6:J370,"ICIS / Platts",B$6:B370,B371),"")</f>
        <v/>
      </c>
      <c r="X371" s="110" t="s">
        <v>125</v>
      </c>
      <c r="Y371" s="117" t="str">
        <f t="shared" si="16"/>
        <v>OK</v>
      </c>
      <c r="Z371" s="111" t="s">
        <v>116</v>
      </c>
      <c r="AA371" s="111" t="s">
        <v>115</v>
      </c>
      <c r="AB371" s="111" t="s">
        <v>116</v>
      </c>
      <c r="AC371" s="111" t="s">
        <v>116</v>
      </c>
      <c r="AD371" s="111"/>
    </row>
    <row r="372" spans="2:30" ht="27.75" customHeight="1" x14ac:dyDescent="0.25">
      <c r="B372" s="108">
        <v>45567</v>
      </c>
      <c r="C372" s="109" t="s">
        <v>126</v>
      </c>
      <c r="D372" s="109">
        <v>40</v>
      </c>
      <c r="E372" s="110" t="str">
        <f t="shared" si="15"/>
        <v>20241002-367</v>
      </c>
      <c r="F372" s="111" t="s">
        <v>98</v>
      </c>
      <c r="G372" s="111" t="s">
        <v>99</v>
      </c>
      <c r="H372" s="112" t="s">
        <v>588</v>
      </c>
      <c r="I372" s="113">
        <v>554.38</v>
      </c>
      <c r="J372" s="111" t="s">
        <v>127</v>
      </c>
      <c r="K372" s="111" t="s">
        <v>591</v>
      </c>
      <c r="L372" s="111" t="s">
        <v>129</v>
      </c>
      <c r="M372" s="111" t="s">
        <v>104</v>
      </c>
      <c r="N372" s="111" t="s">
        <v>130</v>
      </c>
      <c r="O372" s="111" t="s">
        <v>131</v>
      </c>
      <c r="P372" s="111" t="s">
        <v>132</v>
      </c>
      <c r="Q372" s="110" t="s">
        <v>133</v>
      </c>
      <c r="R372" s="110" t="s">
        <v>134</v>
      </c>
      <c r="S372" s="111" t="s">
        <v>135</v>
      </c>
      <c r="T372" s="111" t="s">
        <v>136</v>
      </c>
      <c r="U372" s="111" t="s">
        <v>129</v>
      </c>
      <c r="V372" s="118">
        <f t="shared" si="17"/>
        <v>-5.1502916105877154E-3</v>
      </c>
      <c r="W372" s="114" t="str">
        <f>IFERROR(I372-AVERAGEIFS(I$6:I371,J$6:J371,"ICIS / Platts",B$6:B371,B372),"")</f>
        <v/>
      </c>
      <c r="X372" s="110" t="s">
        <v>137</v>
      </c>
      <c r="Y372" s="117" t="str">
        <f t="shared" si="16"/>
        <v>OK</v>
      </c>
      <c r="Z372" s="111" t="s">
        <v>116</v>
      </c>
      <c r="AA372" s="111" t="s">
        <v>115</v>
      </c>
      <c r="AB372" s="111" t="s">
        <v>116</v>
      </c>
      <c r="AC372" s="111" t="s">
        <v>116</v>
      </c>
      <c r="AD372" s="111"/>
    </row>
    <row r="373" spans="2:30" ht="27.75" customHeight="1" x14ac:dyDescent="0.25">
      <c r="B373" s="115">
        <v>45569</v>
      </c>
      <c r="C373" s="116" t="s">
        <v>138</v>
      </c>
      <c r="D373" s="116">
        <v>40</v>
      </c>
      <c r="E373" s="110" t="str">
        <f t="shared" si="15"/>
        <v>20241004-368</v>
      </c>
      <c r="F373" s="111" t="s">
        <v>98</v>
      </c>
      <c r="G373" s="111" t="s">
        <v>99</v>
      </c>
      <c r="H373" s="112" t="s">
        <v>588</v>
      </c>
      <c r="I373" s="113">
        <v>569.44000000000005</v>
      </c>
      <c r="J373" s="111" t="s">
        <v>139</v>
      </c>
      <c r="K373" s="111" t="s">
        <v>592</v>
      </c>
      <c r="L373" s="111" t="s">
        <v>103</v>
      </c>
      <c r="M373" s="111" t="s">
        <v>104</v>
      </c>
      <c r="N373" s="111" t="s">
        <v>105</v>
      </c>
      <c r="O373" s="111" t="s">
        <v>106</v>
      </c>
      <c r="P373" s="111" t="s">
        <v>141</v>
      </c>
      <c r="Q373" s="110" t="s">
        <v>133</v>
      </c>
      <c r="R373" s="110" t="s">
        <v>142</v>
      </c>
      <c r="S373" s="111" t="s">
        <v>110</v>
      </c>
      <c r="T373" s="111" t="s">
        <v>111</v>
      </c>
      <c r="U373" s="111" t="s">
        <v>103</v>
      </c>
      <c r="V373" s="118">
        <f t="shared" si="17"/>
        <v>8.161747782518658E-3</v>
      </c>
      <c r="W373" s="114" t="str">
        <f>IFERROR(I373-AVERAGEIFS(I$6:I372,J$6:J372,"ICIS / Platts",B$6:B372,B373),"")</f>
        <v/>
      </c>
      <c r="X373" s="110" t="s">
        <v>125</v>
      </c>
      <c r="Y373" s="117" t="str">
        <f t="shared" si="16"/>
        <v>OK</v>
      </c>
      <c r="Z373" s="111" t="s">
        <v>116</v>
      </c>
      <c r="AA373" s="111" t="s">
        <v>115</v>
      </c>
      <c r="AB373" s="111" t="s">
        <v>116</v>
      </c>
      <c r="AC373" s="111" t="s">
        <v>116</v>
      </c>
      <c r="AD373" s="111"/>
    </row>
    <row r="374" spans="2:30" ht="27.75" customHeight="1" x14ac:dyDescent="0.25">
      <c r="B374" s="108">
        <v>45572</v>
      </c>
      <c r="C374" s="109" t="s">
        <v>97</v>
      </c>
      <c r="D374" s="109">
        <v>41</v>
      </c>
      <c r="E374" s="110" t="str">
        <f t="shared" si="15"/>
        <v>20241007-369</v>
      </c>
      <c r="F374" s="111" t="s">
        <v>98</v>
      </c>
      <c r="G374" s="111" t="s">
        <v>99</v>
      </c>
      <c r="H374" s="112" t="s">
        <v>593</v>
      </c>
      <c r="I374" s="113">
        <v>568</v>
      </c>
      <c r="J374" s="111" t="s">
        <v>101</v>
      </c>
      <c r="K374" s="111" t="s">
        <v>594</v>
      </c>
      <c r="L374" s="111" t="s">
        <v>103</v>
      </c>
      <c r="M374" s="111" t="s">
        <v>104</v>
      </c>
      <c r="N374" s="111" t="s">
        <v>105</v>
      </c>
      <c r="O374" s="111" t="s">
        <v>106</v>
      </c>
      <c r="P374" s="111" t="s">
        <v>107</v>
      </c>
      <c r="Q374" s="110" t="s">
        <v>108</v>
      </c>
      <c r="R374" s="110" t="s">
        <v>109</v>
      </c>
      <c r="S374" s="111" t="s">
        <v>110</v>
      </c>
      <c r="T374" s="111" t="s">
        <v>111</v>
      </c>
      <c r="U374" s="111" t="s">
        <v>103</v>
      </c>
      <c r="V374" s="118">
        <f t="shared" si="17"/>
        <v>5.3097345132743362E-3</v>
      </c>
      <c r="W374" s="114" t="str">
        <f>IFERROR(I374-AVERAGEIFS(I$6:I373,J$6:J373,"ICIS / Platts",B$6:B373,B374),"")</f>
        <v/>
      </c>
      <c r="X374" s="110" t="s">
        <v>113</v>
      </c>
      <c r="Y374" s="117" t="str">
        <f t="shared" si="16"/>
        <v>OK</v>
      </c>
      <c r="Z374" s="111" t="s">
        <v>116</v>
      </c>
      <c r="AA374" s="111" t="s">
        <v>116</v>
      </c>
      <c r="AB374" s="111" t="s">
        <v>116</v>
      </c>
      <c r="AC374" s="111" t="s">
        <v>116</v>
      </c>
      <c r="AD374" s="111"/>
    </row>
    <row r="375" spans="2:30" ht="27.75" customHeight="1" x14ac:dyDescent="0.25">
      <c r="B375" s="115">
        <v>45573</v>
      </c>
      <c r="C375" s="116" t="s">
        <v>117</v>
      </c>
      <c r="D375" s="116">
        <v>41</v>
      </c>
      <c r="E375" s="110" t="str">
        <f t="shared" si="15"/>
        <v>20241008-370</v>
      </c>
      <c r="F375" s="111" t="s">
        <v>98</v>
      </c>
      <c r="G375" s="111" t="s">
        <v>99</v>
      </c>
      <c r="H375" s="112" t="s">
        <v>593</v>
      </c>
      <c r="I375" s="113">
        <v>564.73</v>
      </c>
      <c r="J375" s="111" t="s">
        <v>118</v>
      </c>
      <c r="K375" s="111" t="s">
        <v>595</v>
      </c>
      <c r="L375" s="111" t="s">
        <v>103</v>
      </c>
      <c r="M375" s="111" t="s">
        <v>104</v>
      </c>
      <c r="N375" s="111" t="s">
        <v>120</v>
      </c>
      <c r="O375" s="111" t="s">
        <v>121</v>
      </c>
      <c r="P375" s="111" t="s">
        <v>122</v>
      </c>
      <c r="Q375" s="110" t="s">
        <v>123</v>
      </c>
      <c r="R375" s="110" t="s">
        <v>124</v>
      </c>
      <c r="S375" s="111" t="s">
        <v>110</v>
      </c>
      <c r="T375" s="111" t="s">
        <v>111</v>
      </c>
      <c r="U375" s="111" t="s">
        <v>103</v>
      </c>
      <c r="V375" s="118">
        <f t="shared" si="17"/>
        <v>-1.3792859542713174E-3</v>
      </c>
      <c r="W375" s="114" t="str">
        <f>IFERROR(I375-AVERAGEIFS(I$6:I374,J$6:J374,"ICIS / Platts",B$6:B374,B375),"")</f>
        <v/>
      </c>
      <c r="X375" s="110" t="s">
        <v>125</v>
      </c>
      <c r="Y375" s="117" t="str">
        <f t="shared" si="16"/>
        <v>OK</v>
      </c>
      <c r="Z375" s="111" t="s">
        <v>116</v>
      </c>
      <c r="AA375" s="111" t="s">
        <v>116</v>
      </c>
      <c r="AB375" s="111" t="s">
        <v>116</v>
      </c>
      <c r="AC375" s="111" t="s">
        <v>116</v>
      </c>
      <c r="AD375" s="111"/>
    </row>
    <row r="376" spans="2:30" ht="27.75" customHeight="1" x14ac:dyDescent="0.25">
      <c r="B376" s="108">
        <v>45574</v>
      </c>
      <c r="C376" s="109" t="s">
        <v>126</v>
      </c>
      <c r="D376" s="109">
        <v>41</v>
      </c>
      <c r="E376" s="110" t="str">
        <f t="shared" si="15"/>
        <v>20241009-371</v>
      </c>
      <c r="F376" s="111" t="s">
        <v>98</v>
      </c>
      <c r="G376" s="111" t="s">
        <v>99</v>
      </c>
      <c r="H376" s="112" t="s">
        <v>593</v>
      </c>
      <c r="I376" s="113">
        <v>574.96</v>
      </c>
      <c r="J376" s="111" t="s">
        <v>127</v>
      </c>
      <c r="K376" s="111" t="s">
        <v>596</v>
      </c>
      <c r="L376" s="111" t="s">
        <v>129</v>
      </c>
      <c r="M376" s="111" t="s">
        <v>104</v>
      </c>
      <c r="N376" s="111" t="s">
        <v>130</v>
      </c>
      <c r="O376" s="111" t="s">
        <v>131</v>
      </c>
      <c r="P376" s="111" t="s">
        <v>132</v>
      </c>
      <c r="Q376" s="110" t="s">
        <v>133</v>
      </c>
      <c r="R376" s="110" t="s">
        <v>134</v>
      </c>
      <c r="S376" s="111" t="s">
        <v>135</v>
      </c>
      <c r="T376" s="111" t="s">
        <v>136</v>
      </c>
      <c r="U376" s="111" t="s">
        <v>129</v>
      </c>
      <c r="V376" s="118">
        <f t="shared" si="17"/>
        <v>3.7122551318590213E-2</v>
      </c>
      <c r="W376" s="114" t="str">
        <f>IFERROR(I376-AVERAGEIFS(I$6:I375,J$6:J375,"ICIS / Platts",B$6:B375,B376),"")</f>
        <v/>
      </c>
      <c r="X376" s="110" t="s">
        <v>137</v>
      </c>
      <c r="Y376" s="117" t="str">
        <f t="shared" si="16"/>
        <v>OK</v>
      </c>
      <c r="Z376" s="111" t="s">
        <v>116</v>
      </c>
      <c r="AA376" s="111" t="s">
        <v>116</v>
      </c>
      <c r="AB376" s="111" t="s">
        <v>116</v>
      </c>
      <c r="AC376" s="111" t="s">
        <v>116</v>
      </c>
      <c r="AD376" s="111"/>
    </row>
    <row r="377" spans="2:30" ht="27.75" customHeight="1" x14ac:dyDescent="0.25">
      <c r="B377" s="115">
        <v>45576</v>
      </c>
      <c r="C377" s="116" t="s">
        <v>138</v>
      </c>
      <c r="D377" s="116">
        <v>41</v>
      </c>
      <c r="E377" s="110" t="str">
        <f t="shared" si="15"/>
        <v>20241011-372</v>
      </c>
      <c r="F377" s="111" t="s">
        <v>98</v>
      </c>
      <c r="G377" s="111" t="s">
        <v>99</v>
      </c>
      <c r="H377" s="112" t="s">
        <v>593</v>
      </c>
      <c r="I377" s="113">
        <v>574.39</v>
      </c>
      <c r="J377" s="111" t="s">
        <v>139</v>
      </c>
      <c r="K377" s="111" t="s">
        <v>597</v>
      </c>
      <c r="L377" s="111" t="s">
        <v>103</v>
      </c>
      <c r="M377" s="111" t="s">
        <v>104</v>
      </c>
      <c r="N377" s="111" t="s">
        <v>105</v>
      </c>
      <c r="O377" s="111" t="s">
        <v>106</v>
      </c>
      <c r="P377" s="111" t="s">
        <v>141</v>
      </c>
      <c r="Q377" s="110" t="s">
        <v>133</v>
      </c>
      <c r="R377" s="110" t="s">
        <v>142</v>
      </c>
      <c r="S377" s="111" t="s">
        <v>110</v>
      </c>
      <c r="T377" s="111" t="s">
        <v>111</v>
      </c>
      <c r="U377" s="111" t="s">
        <v>103</v>
      </c>
      <c r="V377" s="118">
        <f t="shared" si="17"/>
        <v>8.6927507726888373E-3</v>
      </c>
      <c r="W377" s="114" t="str">
        <f>IFERROR(I377-AVERAGEIFS(I$6:I376,J$6:J376,"ICIS / Platts",B$6:B376,B377),"")</f>
        <v/>
      </c>
      <c r="X377" s="110" t="s">
        <v>125</v>
      </c>
      <c r="Y377" s="117" t="str">
        <f t="shared" si="16"/>
        <v>OK</v>
      </c>
      <c r="Z377" s="111" t="s">
        <v>116</v>
      </c>
      <c r="AA377" s="111" t="s">
        <v>116</v>
      </c>
      <c r="AB377" s="111" t="s">
        <v>116</v>
      </c>
      <c r="AC377" s="111" t="s">
        <v>116</v>
      </c>
      <c r="AD377" s="111"/>
    </row>
    <row r="378" spans="2:30" ht="27.75" customHeight="1" x14ac:dyDescent="0.25">
      <c r="B378" s="108">
        <v>45579</v>
      </c>
      <c r="C378" s="109" t="s">
        <v>97</v>
      </c>
      <c r="D378" s="109">
        <v>42</v>
      </c>
      <c r="E378" s="110" t="str">
        <f t="shared" si="15"/>
        <v>20241014-373</v>
      </c>
      <c r="F378" s="111" t="s">
        <v>98</v>
      </c>
      <c r="G378" s="111" t="s">
        <v>99</v>
      </c>
      <c r="H378" s="112" t="s">
        <v>598</v>
      </c>
      <c r="I378" s="113">
        <v>572</v>
      </c>
      <c r="J378" s="111" t="s">
        <v>101</v>
      </c>
      <c r="K378" s="111" t="s">
        <v>599</v>
      </c>
      <c r="L378" s="111" t="s">
        <v>103</v>
      </c>
      <c r="M378" s="111" t="s">
        <v>104</v>
      </c>
      <c r="N378" s="111" t="s">
        <v>105</v>
      </c>
      <c r="O378" s="111" t="s">
        <v>106</v>
      </c>
      <c r="P378" s="111" t="s">
        <v>107</v>
      </c>
      <c r="Q378" s="110" t="s">
        <v>108</v>
      </c>
      <c r="R378" s="110" t="s">
        <v>109</v>
      </c>
      <c r="S378" s="111" t="s">
        <v>110</v>
      </c>
      <c r="T378" s="111" t="s">
        <v>111</v>
      </c>
      <c r="U378" s="111" t="s">
        <v>103</v>
      </c>
      <c r="V378" s="118">
        <f t="shared" si="17"/>
        <v>7.0422535211267607E-3</v>
      </c>
      <c r="W378" s="114" t="str">
        <f>IFERROR(I378-AVERAGEIFS(I$6:I377,J$6:J377,"ICIS / Platts",B$6:B377,B378),"")</f>
        <v/>
      </c>
      <c r="X378" s="110" t="s">
        <v>113</v>
      </c>
      <c r="Y378" s="117" t="str">
        <f t="shared" si="16"/>
        <v>OK</v>
      </c>
      <c r="Z378" s="111" t="s">
        <v>116</v>
      </c>
      <c r="AA378" s="111" t="s">
        <v>116</v>
      </c>
      <c r="AB378" s="111" t="s">
        <v>116</v>
      </c>
      <c r="AC378" s="111" t="s">
        <v>116</v>
      </c>
      <c r="AD378" s="111"/>
    </row>
    <row r="379" spans="2:30" ht="27.75" customHeight="1" x14ac:dyDescent="0.25">
      <c r="B379" s="115">
        <v>45580</v>
      </c>
      <c r="C379" s="116" t="s">
        <v>117</v>
      </c>
      <c r="D379" s="116">
        <v>42</v>
      </c>
      <c r="E379" s="110" t="str">
        <f t="shared" si="15"/>
        <v>20241015-374</v>
      </c>
      <c r="F379" s="111" t="s">
        <v>98</v>
      </c>
      <c r="G379" s="111" t="s">
        <v>99</v>
      </c>
      <c r="H379" s="112" t="s">
        <v>598</v>
      </c>
      <c r="I379" s="113">
        <v>589.23</v>
      </c>
      <c r="J379" s="111" t="s">
        <v>118</v>
      </c>
      <c r="K379" s="111" t="s">
        <v>600</v>
      </c>
      <c r="L379" s="111" t="s">
        <v>103</v>
      </c>
      <c r="M379" s="111" t="s">
        <v>104</v>
      </c>
      <c r="N379" s="111" t="s">
        <v>120</v>
      </c>
      <c r="O379" s="111" t="s">
        <v>121</v>
      </c>
      <c r="P379" s="111" t="s">
        <v>122</v>
      </c>
      <c r="Q379" s="110" t="s">
        <v>123</v>
      </c>
      <c r="R379" s="110" t="s">
        <v>124</v>
      </c>
      <c r="S379" s="111" t="s">
        <v>110</v>
      </c>
      <c r="T379" s="111" t="s">
        <v>111</v>
      </c>
      <c r="U379" s="111" t="s">
        <v>103</v>
      </c>
      <c r="V379" s="118">
        <f t="shared" si="17"/>
        <v>4.3383563826961555E-2</v>
      </c>
      <c r="W379" s="114" t="str">
        <f>IFERROR(I379-AVERAGEIFS(I$6:I378,J$6:J378,"ICIS / Platts",B$6:B378,B379),"")</f>
        <v/>
      </c>
      <c r="X379" s="110" t="s">
        <v>125</v>
      </c>
      <c r="Y379" s="117" t="str">
        <f t="shared" si="16"/>
        <v>OK</v>
      </c>
      <c r="Z379" s="111" t="s">
        <v>116</v>
      </c>
      <c r="AA379" s="111" t="s">
        <v>116</v>
      </c>
      <c r="AB379" s="111" t="s">
        <v>116</v>
      </c>
      <c r="AC379" s="111" t="s">
        <v>116</v>
      </c>
      <c r="AD379" s="111"/>
    </row>
    <row r="380" spans="2:30" ht="27.75" customHeight="1" x14ac:dyDescent="0.25">
      <c r="B380" s="108">
        <v>45581</v>
      </c>
      <c r="C380" s="109" t="s">
        <v>126</v>
      </c>
      <c r="D380" s="109">
        <v>42</v>
      </c>
      <c r="E380" s="110" t="str">
        <f t="shared" si="15"/>
        <v>20241016-375</v>
      </c>
      <c r="F380" s="111" t="s">
        <v>98</v>
      </c>
      <c r="G380" s="111" t="s">
        <v>99</v>
      </c>
      <c r="H380" s="112" t="s">
        <v>598</v>
      </c>
      <c r="I380" s="113">
        <v>565.98</v>
      </c>
      <c r="J380" s="111" t="s">
        <v>127</v>
      </c>
      <c r="K380" s="111" t="s">
        <v>601</v>
      </c>
      <c r="L380" s="111" t="s">
        <v>129</v>
      </c>
      <c r="M380" s="111" t="s">
        <v>104</v>
      </c>
      <c r="N380" s="111" t="s">
        <v>130</v>
      </c>
      <c r="O380" s="111" t="s">
        <v>131</v>
      </c>
      <c r="P380" s="111" t="s">
        <v>132</v>
      </c>
      <c r="Q380" s="110" t="s">
        <v>133</v>
      </c>
      <c r="R380" s="110" t="s">
        <v>134</v>
      </c>
      <c r="S380" s="111" t="s">
        <v>135</v>
      </c>
      <c r="T380" s="111" t="s">
        <v>136</v>
      </c>
      <c r="U380" s="111" t="s">
        <v>129</v>
      </c>
      <c r="V380" s="118">
        <f t="shared" si="17"/>
        <v>-1.5618477807151832E-2</v>
      </c>
      <c r="W380" s="114" t="str">
        <f>IFERROR(I380-AVERAGEIFS(I$6:I379,J$6:J379,"ICIS / Platts",B$6:B379,B380),"")</f>
        <v/>
      </c>
      <c r="X380" s="110" t="s">
        <v>137</v>
      </c>
      <c r="Y380" s="117" t="str">
        <f t="shared" si="16"/>
        <v>OK</v>
      </c>
      <c r="Z380" s="111" t="s">
        <v>116</v>
      </c>
      <c r="AA380" s="111" t="s">
        <v>116</v>
      </c>
      <c r="AB380" s="111" t="s">
        <v>116</v>
      </c>
      <c r="AC380" s="111" t="s">
        <v>116</v>
      </c>
      <c r="AD380" s="111"/>
    </row>
    <row r="381" spans="2:30" ht="27.75" customHeight="1" x14ac:dyDescent="0.25">
      <c r="B381" s="115">
        <v>45583</v>
      </c>
      <c r="C381" s="116" t="s">
        <v>138</v>
      </c>
      <c r="D381" s="116">
        <v>42</v>
      </c>
      <c r="E381" s="110" t="str">
        <f t="shared" si="15"/>
        <v>20241018-376</v>
      </c>
      <c r="F381" s="111" t="s">
        <v>98</v>
      </c>
      <c r="G381" s="111" t="s">
        <v>99</v>
      </c>
      <c r="H381" s="112" t="s">
        <v>598</v>
      </c>
      <c r="I381" s="113">
        <v>583.02</v>
      </c>
      <c r="J381" s="111" t="s">
        <v>139</v>
      </c>
      <c r="K381" s="111" t="s">
        <v>602</v>
      </c>
      <c r="L381" s="111" t="s">
        <v>103</v>
      </c>
      <c r="M381" s="111" t="s">
        <v>104</v>
      </c>
      <c r="N381" s="111" t="s">
        <v>105</v>
      </c>
      <c r="O381" s="111" t="s">
        <v>106</v>
      </c>
      <c r="P381" s="111" t="s">
        <v>141</v>
      </c>
      <c r="Q381" s="110" t="s">
        <v>133</v>
      </c>
      <c r="R381" s="110" t="s">
        <v>142</v>
      </c>
      <c r="S381" s="111" t="s">
        <v>110</v>
      </c>
      <c r="T381" s="111" t="s">
        <v>111</v>
      </c>
      <c r="U381" s="111" t="s">
        <v>103</v>
      </c>
      <c r="V381" s="118">
        <f t="shared" si="17"/>
        <v>1.5024634829993552E-2</v>
      </c>
      <c r="W381" s="114" t="str">
        <f>IFERROR(I381-AVERAGEIFS(I$6:I380,J$6:J380,"ICIS / Platts",B$6:B380,B381),"")</f>
        <v/>
      </c>
      <c r="X381" s="110" t="s">
        <v>125</v>
      </c>
      <c r="Y381" s="117" t="str">
        <f t="shared" si="16"/>
        <v>OK</v>
      </c>
      <c r="Z381" s="111" t="s">
        <v>116</v>
      </c>
      <c r="AA381" s="111" t="s">
        <v>116</v>
      </c>
      <c r="AB381" s="111" t="s">
        <v>116</v>
      </c>
      <c r="AC381" s="111" t="s">
        <v>116</v>
      </c>
      <c r="AD381" s="111"/>
    </row>
    <row r="382" spans="2:30" ht="27.75" customHeight="1" x14ac:dyDescent="0.25">
      <c r="B382" s="108">
        <v>45586</v>
      </c>
      <c r="C382" s="109" t="s">
        <v>97</v>
      </c>
      <c r="D382" s="109">
        <v>43</v>
      </c>
      <c r="E382" s="110" t="str">
        <f t="shared" si="15"/>
        <v>20241021-377</v>
      </c>
      <c r="F382" s="111" t="s">
        <v>98</v>
      </c>
      <c r="G382" s="111" t="s">
        <v>99</v>
      </c>
      <c r="H382" s="112" t="s">
        <v>603</v>
      </c>
      <c r="I382" s="113">
        <v>575</v>
      </c>
      <c r="J382" s="111" t="s">
        <v>101</v>
      </c>
      <c r="K382" s="111" t="s">
        <v>604</v>
      </c>
      <c r="L382" s="111" t="s">
        <v>103</v>
      </c>
      <c r="M382" s="111" t="s">
        <v>104</v>
      </c>
      <c r="N382" s="111" t="s">
        <v>105</v>
      </c>
      <c r="O382" s="111" t="s">
        <v>106</v>
      </c>
      <c r="P382" s="111" t="s">
        <v>107</v>
      </c>
      <c r="Q382" s="110" t="s">
        <v>108</v>
      </c>
      <c r="R382" s="110" t="s">
        <v>109</v>
      </c>
      <c r="S382" s="111" t="s">
        <v>110</v>
      </c>
      <c r="T382" s="111" t="s">
        <v>111</v>
      </c>
      <c r="U382" s="111" t="s">
        <v>103</v>
      </c>
      <c r="V382" s="118">
        <f t="shared" si="17"/>
        <v>5.244755244755245E-3</v>
      </c>
      <c r="W382" s="114" t="str">
        <f>IFERROR(I382-AVERAGEIFS(I$6:I381,J$6:J381,"ICIS / Platts",B$6:B381,B382),"")</f>
        <v/>
      </c>
      <c r="X382" s="110" t="s">
        <v>113</v>
      </c>
      <c r="Y382" s="117" t="str">
        <f t="shared" si="16"/>
        <v>OK</v>
      </c>
      <c r="Z382" s="111" t="s">
        <v>116</v>
      </c>
      <c r="AA382" s="111" t="s">
        <v>116</v>
      </c>
      <c r="AB382" s="111" t="s">
        <v>116</v>
      </c>
      <c r="AC382" s="111" t="s">
        <v>116</v>
      </c>
      <c r="AD382" s="111"/>
    </row>
    <row r="383" spans="2:30" ht="27.75" customHeight="1" x14ac:dyDescent="0.25">
      <c r="B383" s="115">
        <v>45587</v>
      </c>
      <c r="C383" s="116" t="s">
        <v>117</v>
      </c>
      <c r="D383" s="116">
        <v>43</v>
      </c>
      <c r="E383" s="110" t="str">
        <f t="shared" si="15"/>
        <v>20241022-378</v>
      </c>
      <c r="F383" s="111" t="s">
        <v>98</v>
      </c>
      <c r="G383" s="111" t="s">
        <v>99</v>
      </c>
      <c r="H383" s="112" t="s">
        <v>603</v>
      </c>
      <c r="I383" s="113">
        <v>590.33000000000004</v>
      </c>
      <c r="J383" s="111" t="s">
        <v>118</v>
      </c>
      <c r="K383" s="111" t="s">
        <v>605</v>
      </c>
      <c r="L383" s="111" t="s">
        <v>103</v>
      </c>
      <c r="M383" s="111" t="s">
        <v>104</v>
      </c>
      <c r="N383" s="111" t="s">
        <v>120</v>
      </c>
      <c r="O383" s="111" t="s">
        <v>121</v>
      </c>
      <c r="P383" s="111" t="s">
        <v>122</v>
      </c>
      <c r="Q383" s="110" t="s">
        <v>123</v>
      </c>
      <c r="R383" s="110" t="s">
        <v>124</v>
      </c>
      <c r="S383" s="111" t="s">
        <v>110</v>
      </c>
      <c r="T383" s="111" t="s">
        <v>111</v>
      </c>
      <c r="U383" s="111" t="s">
        <v>103</v>
      </c>
      <c r="V383" s="118">
        <f t="shared" si="17"/>
        <v>1.8668431682026081E-3</v>
      </c>
      <c r="W383" s="114" t="str">
        <f>IFERROR(I383-AVERAGEIFS(I$6:I382,J$6:J382,"ICIS / Platts",B$6:B382,B383),"")</f>
        <v/>
      </c>
      <c r="X383" s="110" t="s">
        <v>125</v>
      </c>
      <c r="Y383" s="117" t="str">
        <f t="shared" si="16"/>
        <v>OK</v>
      </c>
      <c r="Z383" s="111" t="s">
        <v>116</v>
      </c>
      <c r="AA383" s="111" t="s">
        <v>116</v>
      </c>
      <c r="AB383" s="111" t="s">
        <v>116</v>
      </c>
      <c r="AC383" s="111" t="s">
        <v>116</v>
      </c>
      <c r="AD383" s="111"/>
    </row>
    <row r="384" spans="2:30" ht="27.75" customHeight="1" x14ac:dyDescent="0.25">
      <c r="B384" s="108">
        <v>45588</v>
      </c>
      <c r="C384" s="109" t="s">
        <v>126</v>
      </c>
      <c r="D384" s="109">
        <v>43</v>
      </c>
      <c r="E384" s="110" t="str">
        <f t="shared" si="15"/>
        <v>20241023-379</v>
      </c>
      <c r="F384" s="111" t="s">
        <v>98</v>
      </c>
      <c r="G384" s="111" t="s">
        <v>99</v>
      </c>
      <c r="H384" s="112" t="s">
        <v>603</v>
      </c>
      <c r="I384" s="113">
        <v>571.75</v>
      </c>
      <c r="J384" s="111" t="s">
        <v>127</v>
      </c>
      <c r="K384" s="111" t="s">
        <v>161</v>
      </c>
      <c r="L384" s="111" t="s">
        <v>129</v>
      </c>
      <c r="M384" s="111" t="s">
        <v>104</v>
      </c>
      <c r="N384" s="111" t="s">
        <v>130</v>
      </c>
      <c r="O384" s="111" t="s">
        <v>131</v>
      </c>
      <c r="P384" s="111" t="s">
        <v>132</v>
      </c>
      <c r="Q384" s="110" t="s">
        <v>133</v>
      </c>
      <c r="R384" s="110" t="s">
        <v>134</v>
      </c>
      <c r="S384" s="111" t="s">
        <v>135</v>
      </c>
      <c r="T384" s="111" t="s">
        <v>136</v>
      </c>
      <c r="U384" s="111" t="s">
        <v>129</v>
      </c>
      <c r="V384" s="118">
        <f t="shared" si="17"/>
        <v>1.019470652673236E-2</v>
      </c>
      <c r="W384" s="114" t="str">
        <f>IFERROR(I384-AVERAGEIFS(I$6:I383,J$6:J383,"ICIS / Platts",B$6:B383,B384),"")</f>
        <v/>
      </c>
      <c r="X384" s="110" t="s">
        <v>137</v>
      </c>
      <c r="Y384" s="117" t="str">
        <f t="shared" si="16"/>
        <v>OK</v>
      </c>
      <c r="Z384" s="111" t="s">
        <v>116</v>
      </c>
      <c r="AA384" s="111" t="s">
        <v>116</v>
      </c>
      <c r="AB384" s="111" t="s">
        <v>116</v>
      </c>
      <c r="AC384" s="111" t="s">
        <v>116</v>
      </c>
      <c r="AD384" s="111"/>
    </row>
    <row r="385" spans="2:30" ht="27.75" customHeight="1" x14ac:dyDescent="0.25">
      <c r="B385" s="115">
        <v>45590</v>
      </c>
      <c r="C385" s="116" t="s">
        <v>138</v>
      </c>
      <c r="D385" s="116">
        <v>43</v>
      </c>
      <c r="E385" s="110" t="str">
        <f t="shared" si="15"/>
        <v>20241025-380</v>
      </c>
      <c r="F385" s="111" t="s">
        <v>98</v>
      </c>
      <c r="G385" s="111" t="s">
        <v>99</v>
      </c>
      <c r="H385" s="112" t="s">
        <v>603</v>
      </c>
      <c r="I385" s="113">
        <v>572.03</v>
      </c>
      <c r="J385" s="111" t="s">
        <v>139</v>
      </c>
      <c r="K385" s="111" t="s">
        <v>606</v>
      </c>
      <c r="L385" s="111" t="s">
        <v>103</v>
      </c>
      <c r="M385" s="111" t="s">
        <v>104</v>
      </c>
      <c r="N385" s="111" t="s">
        <v>105</v>
      </c>
      <c r="O385" s="111" t="s">
        <v>106</v>
      </c>
      <c r="P385" s="111" t="s">
        <v>141</v>
      </c>
      <c r="Q385" s="110" t="s">
        <v>133</v>
      </c>
      <c r="R385" s="110" t="s">
        <v>142</v>
      </c>
      <c r="S385" s="111" t="s">
        <v>110</v>
      </c>
      <c r="T385" s="111" t="s">
        <v>111</v>
      </c>
      <c r="U385" s="111" t="s">
        <v>103</v>
      </c>
      <c r="V385" s="118">
        <f t="shared" si="17"/>
        <v>-1.8850125210112877E-2</v>
      </c>
      <c r="W385" s="114" t="str">
        <f>IFERROR(I385-AVERAGEIFS(I$6:I384,J$6:J384,"ICIS / Platts",B$6:B384,B385),"")</f>
        <v/>
      </c>
      <c r="X385" s="110" t="s">
        <v>125</v>
      </c>
      <c r="Y385" s="117" t="str">
        <f t="shared" si="16"/>
        <v>OK</v>
      </c>
      <c r="Z385" s="111" t="s">
        <v>116</v>
      </c>
      <c r="AA385" s="111" t="s">
        <v>116</v>
      </c>
      <c r="AB385" s="111" t="s">
        <v>116</v>
      </c>
      <c r="AC385" s="111" t="s">
        <v>116</v>
      </c>
      <c r="AD385" s="111"/>
    </row>
    <row r="386" spans="2:30" ht="27.75" customHeight="1" x14ac:dyDescent="0.25">
      <c r="B386" s="108">
        <v>45593</v>
      </c>
      <c r="C386" s="109" t="s">
        <v>97</v>
      </c>
      <c r="D386" s="109">
        <v>44</v>
      </c>
      <c r="E386" s="110" t="str">
        <f t="shared" si="15"/>
        <v>20241028-381</v>
      </c>
      <c r="F386" s="111" t="s">
        <v>98</v>
      </c>
      <c r="G386" s="111" t="s">
        <v>99</v>
      </c>
      <c r="H386" s="112" t="s">
        <v>607</v>
      </c>
      <c r="I386" s="113">
        <v>572</v>
      </c>
      <c r="J386" s="111" t="s">
        <v>101</v>
      </c>
      <c r="K386" s="111" t="s">
        <v>608</v>
      </c>
      <c r="L386" s="111" t="s">
        <v>103</v>
      </c>
      <c r="M386" s="111" t="s">
        <v>104</v>
      </c>
      <c r="N386" s="111" t="s">
        <v>105</v>
      </c>
      <c r="O386" s="111" t="s">
        <v>106</v>
      </c>
      <c r="P386" s="111" t="s">
        <v>107</v>
      </c>
      <c r="Q386" s="110" t="s">
        <v>108</v>
      </c>
      <c r="R386" s="110" t="s">
        <v>109</v>
      </c>
      <c r="S386" s="111" t="s">
        <v>110</v>
      </c>
      <c r="T386" s="111" t="s">
        <v>111</v>
      </c>
      <c r="U386" s="111" t="s">
        <v>103</v>
      </c>
      <c r="V386" s="118">
        <f t="shared" si="17"/>
        <v>-5.2173913043478265E-3</v>
      </c>
      <c r="W386" s="114" t="str">
        <f>IFERROR(I386-AVERAGEIFS(I$6:I385,J$6:J385,"ICIS / Platts",B$6:B385,B386),"")</f>
        <v/>
      </c>
      <c r="X386" s="110" t="s">
        <v>113</v>
      </c>
      <c r="Y386" s="117" t="str">
        <f t="shared" si="16"/>
        <v>OK</v>
      </c>
      <c r="Z386" s="111" t="s">
        <v>116</v>
      </c>
      <c r="AA386" s="111" t="s">
        <v>116</v>
      </c>
      <c r="AB386" s="111" t="s">
        <v>116</v>
      </c>
      <c r="AC386" s="111" t="s">
        <v>115</v>
      </c>
      <c r="AD386" s="111"/>
    </row>
    <row r="387" spans="2:30" ht="27.75" customHeight="1" x14ac:dyDescent="0.25">
      <c r="B387" s="115">
        <v>45594</v>
      </c>
      <c r="C387" s="116" t="s">
        <v>117</v>
      </c>
      <c r="D387" s="116">
        <v>44</v>
      </c>
      <c r="E387" s="110" t="str">
        <f t="shared" si="15"/>
        <v>20241029-382</v>
      </c>
      <c r="F387" s="111" t="s">
        <v>98</v>
      </c>
      <c r="G387" s="111" t="s">
        <v>99</v>
      </c>
      <c r="H387" s="112" t="s">
        <v>607</v>
      </c>
      <c r="I387" s="113">
        <v>590.73</v>
      </c>
      <c r="J387" s="111" t="s">
        <v>118</v>
      </c>
      <c r="K387" s="111" t="s">
        <v>609</v>
      </c>
      <c r="L387" s="111" t="s">
        <v>103</v>
      </c>
      <c r="M387" s="111" t="s">
        <v>104</v>
      </c>
      <c r="N387" s="111" t="s">
        <v>120</v>
      </c>
      <c r="O387" s="111" t="s">
        <v>121</v>
      </c>
      <c r="P387" s="111" t="s">
        <v>122</v>
      </c>
      <c r="Q387" s="110" t="s">
        <v>123</v>
      </c>
      <c r="R387" s="110" t="s">
        <v>124</v>
      </c>
      <c r="S387" s="111" t="s">
        <v>110</v>
      </c>
      <c r="T387" s="111" t="s">
        <v>111</v>
      </c>
      <c r="U387" s="111" t="s">
        <v>103</v>
      </c>
      <c r="V387" s="118">
        <f t="shared" si="17"/>
        <v>6.7758711229308564E-4</v>
      </c>
      <c r="W387" s="114" t="str">
        <f>IFERROR(I387-AVERAGEIFS(I$6:I386,J$6:J386,"ICIS / Platts",B$6:B386,B387),"")</f>
        <v/>
      </c>
      <c r="X387" s="110" t="s">
        <v>125</v>
      </c>
      <c r="Y387" s="117" t="str">
        <f t="shared" si="16"/>
        <v>OK</v>
      </c>
      <c r="Z387" s="111" t="s">
        <v>116</v>
      </c>
      <c r="AA387" s="111" t="s">
        <v>116</v>
      </c>
      <c r="AB387" s="111" t="s">
        <v>116</v>
      </c>
      <c r="AC387" s="111" t="s">
        <v>115</v>
      </c>
      <c r="AD387" s="111"/>
    </row>
    <row r="388" spans="2:30" ht="27.75" customHeight="1" x14ac:dyDescent="0.25">
      <c r="B388" s="108">
        <v>45595</v>
      </c>
      <c r="C388" s="109" t="s">
        <v>126</v>
      </c>
      <c r="D388" s="109">
        <v>44</v>
      </c>
      <c r="E388" s="110" t="str">
        <f t="shared" si="15"/>
        <v>20241030-383</v>
      </c>
      <c r="F388" s="111" t="s">
        <v>98</v>
      </c>
      <c r="G388" s="111" t="s">
        <v>99</v>
      </c>
      <c r="H388" s="112" t="s">
        <v>607</v>
      </c>
      <c r="I388" s="113">
        <v>562.83000000000004</v>
      </c>
      <c r="J388" s="111" t="s">
        <v>127</v>
      </c>
      <c r="K388" s="111" t="s">
        <v>610</v>
      </c>
      <c r="L388" s="111" t="s">
        <v>129</v>
      </c>
      <c r="M388" s="111" t="s">
        <v>104</v>
      </c>
      <c r="N388" s="111" t="s">
        <v>130</v>
      </c>
      <c r="O388" s="111" t="s">
        <v>131</v>
      </c>
      <c r="P388" s="111" t="s">
        <v>132</v>
      </c>
      <c r="Q388" s="110" t="s">
        <v>133</v>
      </c>
      <c r="R388" s="110" t="s">
        <v>134</v>
      </c>
      <c r="S388" s="111" t="s">
        <v>135</v>
      </c>
      <c r="T388" s="111" t="s">
        <v>136</v>
      </c>
      <c r="U388" s="111" t="s">
        <v>129</v>
      </c>
      <c r="V388" s="118">
        <f t="shared" si="17"/>
        <v>-1.5601224311324808E-2</v>
      </c>
      <c r="W388" s="114" t="str">
        <f>IFERROR(I388-AVERAGEIFS(I$6:I387,J$6:J387,"ICIS / Platts",B$6:B387,B388),"")</f>
        <v/>
      </c>
      <c r="X388" s="110" t="s">
        <v>137</v>
      </c>
      <c r="Y388" s="117" t="str">
        <f t="shared" si="16"/>
        <v>OK</v>
      </c>
      <c r="Z388" s="111" t="s">
        <v>116</v>
      </c>
      <c r="AA388" s="111" t="s">
        <v>116</v>
      </c>
      <c r="AB388" s="111" t="s">
        <v>116</v>
      </c>
      <c r="AC388" s="111" t="s">
        <v>115</v>
      </c>
      <c r="AD388" s="111"/>
    </row>
    <row r="389" spans="2:30" ht="27.75" customHeight="1" x14ac:dyDescent="0.25">
      <c r="B389" s="115">
        <v>45597</v>
      </c>
      <c r="C389" s="116" t="s">
        <v>138</v>
      </c>
      <c r="D389" s="116">
        <v>44</v>
      </c>
      <c r="E389" s="110" t="str">
        <f t="shared" si="15"/>
        <v>20241101-384</v>
      </c>
      <c r="F389" s="111" t="s">
        <v>98</v>
      </c>
      <c r="G389" s="111" t="s">
        <v>99</v>
      </c>
      <c r="H389" s="112" t="s">
        <v>607</v>
      </c>
      <c r="I389" s="113">
        <v>567.47</v>
      </c>
      <c r="J389" s="111" t="s">
        <v>139</v>
      </c>
      <c r="K389" s="111" t="s">
        <v>611</v>
      </c>
      <c r="L389" s="111" t="s">
        <v>103</v>
      </c>
      <c r="M389" s="111" t="s">
        <v>104</v>
      </c>
      <c r="N389" s="111" t="s">
        <v>105</v>
      </c>
      <c r="O389" s="111" t="s">
        <v>106</v>
      </c>
      <c r="P389" s="111" t="s">
        <v>141</v>
      </c>
      <c r="Q389" s="110" t="s">
        <v>133</v>
      </c>
      <c r="R389" s="110" t="s">
        <v>142</v>
      </c>
      <c r="S389" s="111" t="s">
        <v>110</v>
      </c>
      <c r="T389" s="111" t="s">
        <v>111</v>
      </c>
      <c r="U389" s="111" t="s">
        <v>103</v>
      </c>
      <c r="V389" s="118">
        <f t="shared" si="17"/>
        <v>-7.9716098806005727E-3</v>
      </c>
      <c r="W389" s="114" t="str">
        <f>IFERROR(I389-AVERAGEIFS(I$6:I388,J$6:J388,"ICIS / Platts",B$6:B388,B389),"")</f>
        <v/>
      </c>
      <c r="X389" s="110" t="s">
        <v>125</v>
      </c>
      <c r="Y389" s="117" t="str">
        <f t="shared" si="16"/>
        <v>OK</v>
      </c>
      <c r="Z389" s="111" t="s">
        <v>116</v>
      </c>
      <c r="AA389" s="111" t="s">
        <v>116</v>
      </c>
      <c r="AB389" s="111" t="s">
        <v>116</v>
      </c>
      <c r="AC389" s="111" t="s">
        <v>115</v>
      </c>
      <c r="AD389" s="111"/>
    </row>
    <row r="390" spans="2:30" ht="27.75" customHeight="1" x14ac:dyDescent="0.25">
      <c r="B390" s="108">
        <v>45600</v>
      </c>
      <c r="C390" s="109" t="s">
        <v>97</v>
      </c>
      <c r="D390" s="109">
        <v>45</v>
      </c>
      <c r="E390" s="110" t="str">
        <f t="shared" ref="E390:E425" si="18">TEXT(B390,"YYYYMMDD")&amp;"-"&amp;TEXT(ROW()-5,"000")</f>
        <v>20241104-385</v>
      </c>
      <c r="F390" s="111" t="s">
        <v>98</v>
      </c>
      <c r="G390" s="111" t="s">
        <v>99</v>
      </c>
      <c r="H390" s="112" t="s">
        <v>612</v>
      </c>
      <c r="I390" s="113">
        <v>570</v>
      </c>
      <c r="J390" s="111" t="s">
        <v>101</v>
      </c>
      <c r="K390" s="111" t="s">
        <v>613</v>
      </c>
      <c r="L390" s="111" t="s">
        <v>103</v>
      </c>
      <c r="M390" s="111" t="s">
        <v>104</v>
      </c>
      <c r="N390" s="111" t="s">
        <v>105</v>
      </c>
      <c r="O390" s="111" t="s">
        <v>106</v>
      </c>
      <c r="P390" s="111" t="s">
        <v>107</v>
      </c>
      <c r="Q390" s="110" t="s">
        <v>108</v>
      </c>
      <c r="R390" s="110" t="s">
        <v>109</v>
      </c>
      <c r="S390" s="111" t="s">
        <v>110</v>
      </c>
      <c r="T390" s="111" t="s">
        <v>111</v>
      </c>
      <c r="U390" s="111" t="s">
        <v>103</v>
      </c>
      <c r="V390" s="118">
        <f t="shared" si="17"/>
        <v>-3.4965034965034965E-3</v>
      </c>
      <c r="W390" s="114" t="str">
        <f>IFERROR(I390-AVERAGEIFS(I$6:I389,J$6:J389,"ICIS / Platts",B$6:B389,B390),"")</f>
        <v/>
      </c>
      <c r="X390" s="110" t="s">
        <v>113</v>
      </c>
      <c r="Y390" s="117" t="str">
        <f t="shared" si="16"/>
        <v>OK</v>
      </c>
      <c r="Z390" s="111" t="s">
        <v>116</v>
      </c>
      <c r="AA390" s="111" t="s">
        <v>115</v>
      </c>
      <c r="AB390" s="111" t="s">
        <v>116</v>
      </c>
      <c r="AC390" s="111" t="s">
        <v>115</v>
      </c>
      <c r="AD390" s="111"/>
    </row>
    <row r="391" spans="2:30" ht="27.75" customHeight="1" x14ac:dyDescent="0.25">
      <c r="B391" s="115">
        <v>45601</v>
      </c>
      <c r="C391" s="116" t="s">
        <v>117</v>
      </c>
      <c r="D391" s="116">
        <v>45</v>
      </c>
      <c r="E391" s="110" t="str">
        <f t="shared" si="18"/>
        <v>20241105-386</v>
      </c>
      <c r="F391" s="111" t="s">
        <v>98</v>
      </c>
      <c r="G391" s="111" t="s">
        <v>99</v>
      </c>
      <c r="H391" s="112" t="s">
        <v>612</v>
      </c>
      <c r="I391" s="113">
        <v>567.17999999999995</v>
      </c>
      <c r="J391" s="111" t="s">
        <v>118</v>
      </c>
      <c r="K391" s="111" t="s">
        <v>614</v>
      </c>
      <c r="L391" s="111" t="s">
        <v>103</v>
      </c>
      <c r="M391" s="111" t="s">
        <v>104</v>
      </c>
      <c r="N391" s="111" t="s">
        <v>120</v>
      </c>
      <c r="O391" s="111" t="s">
        <v>121</v>
      </c>
      <c r="P391" s="111" t="s">
        <v>122</v>
      </c>
      <c r="Q391" s="110" t="s">
        <v>123</v>
      </c>
      <c r="R391" s="110" t="s">
        <v>124</v>
      </c>
      <c r="S391" s="111" t="s">
        <v>110</v>
      </c>
      <c r="T391" s="111" t="s">
        <v>111</v>
      </c>
      <c r="U391" s="111" t="s">
        <v>103</v>
      </c>
      <c r="V391" s="118">
        <f t="shared" si="17"/>
        <v>-3.9865928596820997E-2</v>
      </c>
      <c r="W391" s="114" t="str">
        <f>IFERROR(I391-AVERAGEIFS(I$6:I390,J$6:J390,"ICIS / Platts",B$6:B390,B391),"")</f>
        <v/>
      </c>
      <c r="X391" s="110" t="s">
        <v>125</v>
      </c>
      <c r="Y391" s="117" t="str">
        <f t="shared" si="16"/>
        <v>OK</v>
      </c>
      <c r="Z391" s="111" t="s">
        <v>116</v>
      </c>
      <c r="AA391" s="111" t="s">
        <v>115</v>
      </c>
      <c r="AB391" s="111" t="s">
        <v>116</v>
      </c>
      <c r="AC391" s="111" t="s">
        <v>115</v>
      </c>
      <c r="AD391" s="111"/>
    </row>
    <row r="392" spans="2:30" ht="27.75" customHeight="1" x14ac:dyDescent="0.25">
      <c r="B392" s="108">
        <v>45602</v>
      </c>
      <c r="C392" s="109" t="s">
        <v>126</v>
      </c>
      <c r="D392" s="109">
        <v>45</v>
      </c>
      <c r="E392" s="110" t="str">
        <f t="shared" si="18"/>
        <v>20241106-387</v>
      </c>
      <c r="F392" s="111" t="s">
        <v>98</v>
      </c>
      <c r="G392" s="111" t="s">
        <v>99</v>
      </c>
      <c r="H392" s="112" t="s">
        <v>612</v>
      </c>
      <c r="I392" s="113">
        <v>582.91</v>
      </c>
      <c r="J392" s="111" t="s">
        <v>127</v>
      </c>
      <c r="K392" s="111" t="s">
        <v>538</v>
      </c>
      <c r="L392" s="111" t="s">
        <v>129</v>
      </c>
      <c r="M392" s="111" t="s">
        <v>104</v>
      </c>
      <c r="N392" s="111" t="s">
        <v>130</v>
      </c>
      <c r="O392" s="111" t="s">
        <v>131</v>
      </c>
      <c r="P392" s="111" t="s">
        <v>132</v>
      </c>
      <c r="Q392" s="110" t="s">
        <v>133</v>
      </c>
      <c r="R392" s="110" t="s">
        <v>134</v>
      </c>
      <c r="S392" s="111" t="s">
        <v>135</v>
      </c>
      <c r="T392" s="111" t="s">
        <v>136</v>
      </c>
      <c r="U392" s="111" t="s">
        <v>129</v>
      </c>
      <c r="V392" s="118">
        <f t="shared" si="17"/>
        <v>3.5676847360659389E-2</v>
      </c>
      <c r="W392" s="114" t="str">
        <f>IFERROR(I392-AVERAGEIFS(I$6:I391,J$6:J391,"ICIS / Platts",B$6:B391,B392),"")</f>
        <v/>
      </c>
      <c r="X392" s="110" t="s">
        <v>137</v>
      </c>
      <c r="Y392" s="117" t="str">
        <f t="shared" si="16"/>
        <v>OK</v>
      </c>
      <c r="Z392" s="111" t="s">
        <v>116</v>
      </c>
      <c r="AA392" s="111" t="s">
        <v>115</v>
      </c>
      <c r="AB392" s="111" t="s">
        <v>116</v>
      </c>
      <c r="AC392" s="111" t="s">
        <v>115</v>
      </c>
      <c r="AD392" s="111"/>
    </row>
    <row r="393" spans="2:30" ht="27.75" customHeight="1" x14ac:dyDescent="0.25">
      <c r="B393" s="115">
        <v>45604</v>
      </c>
      <c r="C393" s="116" t="s">
        <v>138</v>
      </c>
      <c r="D393" s="116">
        <v>45</v>
      </c>
      <c r="E393" s="110" t="str">
        <f t="shared" si="18"/>
        <v>20241108-388</v>
      </c>
      <c r="F393" s="111" t="s">
        <v>98</v>
      </c>
      <c r="G393" s="111" t="s">
        <v>99</v>
      </c>
      <c r="H393" s="112" t="s">
        <v>612</v>
      </c>
      <c r="I393" s="113">
        <v>579</v>
      </c>
      <c r="J393" s="111" t="s">
        <v>139</v>
      </c>
      <c r="K393" s="111" t="s">
        <v>615</v>
      </c>
      <c r="L393" s="111" t="s">
        <v>103</v>
      </c>
      <c r="M393" s="111" t="s">
        <v>104</v>
      </c>
      <c r="N393" s="111" t="s">
        <v>105</v>
      </c>
      <c r="O393" s="111" t="s">
        <v>106</v>
      </c>
      <c r="P393" s="111" t="s">
        <v>141</v>
      </c>
      <c r="Q393" s="110" t="s">
        <v>133</v>
      </c>
      <c r="R393" s="110" t="s">
        <v>142</v>
      </c>
      <c r="S393" s="111" t="s">
        <v>110</v>
      </c>
      <c r="T393" s="111" t="s">
        <v>111</v>
      </c>
      <c r="U393" s="111" t="s">
        <v>103</v>
      </c>
      <c r="V393" s="118">
        <f t="shared" si="17"/>
        <v>2.0318254709500012E-2</v>
      </c>
      <c r="W393" s="114" t="str">
        <f>IFERROR(I393-AVERAGEIFS(I$6:I392,J$6:J392,"ICIS / Platts",B$6:B392,B393),"")</f>
        <v/>
      </c>
      <c r="X393" s="110" t="s">
        <v>125</v>
      </c>
      <c r="Y393" s="117" t="str">
        <f t="shared" si="16"/>
        <v>OK</v>
      </c>
      <c r="Z393" s="111" t="s">
        <v>116</v>
      </c>
      <c r="AA393" s="111" t="s">
        <v>115</v>
      </c>
      <c r="AB393" s="111" t="s">
        <v>116</v>
      </c>
      <c r="AC393" s="111" t="s">
        <v>115</v>
      </c>
      <c r="AD393" s="111"/>
    </row>
    <row r="394" spans="2:30" ht="27.75" customHeight="1" x14ac:dyDescent="0.25">
      <c r="B394" s="108">
        <v>45607</v>
      </c>
      <c r="C394" s="109" t="s">
        <v>97</v>
      </c>
      <c r="D394" s="109">
        <v>46</v>
      </c>
      <c r="E394" s="110" t="str">
        <f t="shared" si="18"/>
        <v>20241111-389</v>
      </c>
      <c r="F394" s="111" t="s">
        <v>98</v>
      </c>
      <c r="G394" s="111" t="s">
        <v>99</v>
      </c>
      <c r="H394" s="112" t="s">
        <v>616</v>
      </c>
      <c r="I394" s="113">
        <v>568</v>
      </c>
      <c r="J394" s="111" t="s">
        <v>101</v>
      </c>
      <c r="K394" s="111" t="s">
        <v>617</v>
      </c>
      <c r="L394" s="111" t="s">
        <v>103</v>
      </c>
      <c r="M394" s="111" t="s">
        <v>104</v>
      </c>
      <c r="N394" s="111" t="s">
        <v>105</v>
      </c>
      <c r="O394" s="111" t="s">
        <v>106</v>
      </c>
      <c r="P394" s="111" t="s">
        <v>107</v>
      </c>
      <c r="Q394" s="110" t="s">
        <v>108</v>
      </c>
      <c r="R394" s="110" t="s">
        <v>109</v>
      </c>
      <c r="S394" s="111" t="s">
        <v>110</v>
      </c>
      <c r="T394" s="111" t="s">
        <v>111</v>
      </c>
      <c r="U394" s="111" t="s">
        <v>103</v>
      </c>
      <c r="V394" s="118">
        <f t="shared" si="17"/>
        <v>-3.5087719298245615E-3</v>
      </c>
      <c r="W394" s="114" t="str">
        <f>IFERROR(I394-AVERAGEIFS(I$6:I393,J$6:J393,"ICIS / Platts",B$6:B393,B394),"")</f>
        <v/>
      </c>
      <c r="X394" s="110" t="s">
        <v>113</v>
      </c>
      <c r="Y394" s="117" t="str">
        <f t="shared" si="16"/>
        <v>OK</v>
      </c>
      <c r="Z394" s="111" t="s">
        <v>116</v>
      </c>
      <c r="AA394" s="111" t="s">
        <v>115</v>
      </c>
      <c r="AB394" s="111" t="s">
        <v>116</v>
      </c>
      <c r="AC394" s="111" t="s">
        <v>115</v>
      </c>
      <c r="AD394" s="111"/>
    </row>
    <row r="395" spans="2:30" ht="27.75" customHeight="1" x14ac:dyDescent="0.25">
      <c r="B395" s="115">
        <v>45608</v>
      </c>
      <c r="C395" s="116" t="s">
        <v>117</v>
      </c>
      <c r="D395" s="116">
        <v>46</v>
      </c>
      <c r="E395" s="110" t="str">
        <f t="shared" si="18"/>
        <v>20241112-390</v>
      </c>
      <c r="F395" s="111" t="s">
        <v>98</v>
      </c>
      <c r="G395" s="111" t="s">
        <v>99</v>
      </c>
      <c r="H395" s="112" t="s">
        <v>616</v>
      </c>
      <c r="I395" s="113">
        <v>584.99</v>
      </c>
      <c r="J395" s="111" t="s">
        <v>118</v>
      </c>
      <c r="K395" s="111" t="s">
        <v>618</v>
      </c>
      <c r="L395" s="111" t="s">
        <v>103</v>
      </c>
      <c r="M395" s="111" t="s">
        <v>104</v>
      </c>
      <c r="N395" s="111" t="s">
        <v>120</v>
      </c>
      <c r="O395" s="111" t="s">
        <v>121</v>
      </c>
      <c r="P395" s="111" t="s">
        <v>122</v>
      </c>
      <c r="Q395" s="110" t="s">
        <v>123</v>
      </c>
      <c r="R395" s="110" t="s">
        <v>124</v>
      </c>
      <c r="S395" s="111" t="s">
        <v>110</v>
      </c>
      <c r="T395" s="111" t="s">
        <v>111</v>
      </c>
      <c r="U395" s="111" t="s">
        <v>103</v>
      </c>
      <c r="V395" s="118">
        <f t="shared" si="17"/>
        <v>3.1400966183574984E-2</v>
      </c>
      <c r="W395" s="114" t="str">
        <f>IFERROR(I395-AVERAGEIFS(I$6:I394,J$6:J394,"ICIS / Platts",B$6:B394,B395),"")</f>
        <v/>
      </c>
      <c r="X395" s="110" t="s">
        <v>125</v>
      </c>
      <c r="Y395" s="117" t="str">
        <f t="shared" si="16"/>
        <v>OK</v>
      </c>
      <c r="Z395" s="111" t="s">
        <v>116</v>
      </c>
      <c r="AA395" s="111" t="s">
        <v>115</v>
      </c>
      <c r="AB395" s="111" t="s">
        <v>116</v>
      </c>
      <c r="AC395" s="111" t="s">
        <v>115</v>
      </c>
      <c r="AD395" s="111"/>
    </row>
    <row r="396" spans="2:30" ht="27.75" customHeight="1" x14ac:dyDescent="0.25">
      <c r="B396" s="108">
        <v>45609</v>
      </c>
      <c r="C396" s="109" t="s">
        <v>126</v>
      </c>
      <c r="D396" s="109">
        <v>46</v>
      </c>
      <c r="E396" s="110" t="str">
        <f t="shared" si="18"/>
        <v>20241113-391</v>
      </c>
      <c r="F396" s="111" t="s">
        <v>98</v>
      </c>
      <c r="G396" s="111" t="s">
        <v>99</v>
      </c>
      <c r="H396" s="112" t="s">
        <v>616</v>
      </c>
      <c r="I396" s="113">
        <v>563.66999999999996</v>
      </c>
      <c r="J396" s="111" t="s">
        <v>127</v>
      </c>
      <c r="K396" s="111" t="s">
        <v>619</v>
      </c>
      <c r="L396" s="111" t="s">
        <v>129</v>
      </c>
      <c r="M396" s="111" t="s">
        <v>104</v>
      </c>
      <c r="N396" s="111" t="s">
        <v>130</v>
      </c>
      <c r="O396" s="111" t="s">
        <v>131</v>
      </c>
      <c r="P396" s="111" t="s">
        <v>132</v>
      </c>
      <c r="Q396" s="110" t="s">
        <v>133</v>
      </c>
      <c r="R396" s="110" t="s">
        <v>134</v>
      </c>
      <c r="S396" s="111" t="s">
        <v>135</v>
      </c>
      <c r="T396" s="111" t="s">
        <v>136</v>
      </c>
      <c r="U396" s="111" t="s">
        <v>129</v>
      </c>
      <c r="V396" s="118">
        <f t="shared" si="17"/>
        <v>-3.3006810656876724E-2</v>
      </c>
      <c r="W396" s="114" t="str">
        <f>IFERROR(I396-AVERAGEIFS(I$6:I395,J$6:J395,"ICIS / Platts",B$6:B395,B396),"")</f>
        <v/>
      </c>
      <c r="X396" s="110" t="s">
        <v>137</v>
      </c>
      <c r="Y396" s="117" t="str">
        <f t="shared" si="16"/>
        <v>OK</v>
      </c>
      <c r="Z396" s="111" t="s">
        <v>116</v>
      </c>
      <c r="AA396" s="111" t="s">
        <v>115</v>
      </c>
      <c r="AB396" s="111" t="s">
        <v>116</v>
      </c>
      <c r="AC396" s="111" t="s">
        <v>115</v>
      </c>
      <c r="AD396" s="111"/>
    </row>
    <row r="397" spans="2:30" ht="27.75" customHeight="1" x14ac:dyDescent="0.25">
      <c r="B397" s="115">
        <v>45611</v>
      </c>
      <c r="C397" s="116" t="s">
        <v>138</v>
      </c>
      <c r="D397" s="116">
        <v>46</v>
      </c>
      <c r="E397" s="110" t="str">
        <f t="shared" si="18"/>
        <v>20241115-392</v>
      </c>
      <c r="F397" s="111" t="s">
        <v>98</v>
      </c>
      <c r="G397" s="111" t="s">
        <v>99</v>
      </c>
      <c r="H397" s="112" t="s">
        <v>616</v>
      </c>
      <c r="I397" s="113">
        <v>575.46</v>
      </c>
      <c r="J397" s="111" t="s">
        <v>139</v>
      </c>
      <c r="K397" s="111" t="s">
        <v>620</v>
      </c>
      <c r="L397" s="111" t="s">
        <v>103</v>
      </c>
      <c r="M397" s="111" t="s">
        <v>104</v>
      </c>
      <c r="N397" s="111" t="s">
        <v>105</v>
      </c>
      <c r="O397" s="111" t="s">
        <v>106</v>
      </c>
      <c r="P397" s="111" t="s">
        <v>141</v>
      </c>
      <c r="Q397" s="110" t="s">
        <v>133</v>
      </c>
      <c r="R397" s="110" t="s">
        <v>142</v>
      </c>
      <c r="S397" s="111" t="s">
        <v>110</v>
      </c>
      <c r="T397" s="111" t="s">
        <v>111</v>
      </c>
      <c r="U397" s="111" t="s">
        <v>103</v>
      </c>
      <c r="V397" s="118">
        <f t="shared" si="17"/>
        <v>-6.1139896373056364E-3</v>
      </c>
      <c r="W397" s="114" t="str">
        <f>IFERROR(I397-AVERAGEIFS(I$6:I396,J$6:J396,"ICIS / Platts",B$6:B396,B397),"")</f>
        <v/>
      </c>
      <c r="X397" s="110" t="s">
        <v>125</v>
      </c>
      <c r="Y397" s="117" t="str">
        <f t="shared" si="16"/>
        <v>OK</v>
      </c>
      <c r="Z397" s="111" t="s">
        <v>116</v>
      </c>
      <c r="AA397" s="111" t="s">
        <v>115</v>
      </c>
      <c r="AB397" s="111" t="s">
        <v>116</v>
      </c>
      <c r="AC397" s="111" t="s">
        <v>115</v>
      </c>
      <c r="AD397" s="111"/>
    </row>
    <row r="398" spans="2:30" ht="27.75" customHeight="1" x14ac:dyDescent="0.25">
      <c r="B398" s="108">
        <v>45614</v>
      </c>
      <c r="C398" s="109" t="s">
        <v>97</v>
      </c>
      <c r="D398" s="109">
        <v>47</v>
      </c>
      <c r="E398" s="110" t="str">
        <f t="shared" si="18"/>
        <v>20241118-393</v>
      </c>
      <c r="F398" s="111" t="s">
        <v>98</v>
      </c>
      <c r="G398" s="111" t="s">
        <v>99</v>
      </c>
      <c r="H398" s="112" t="s">
        <v>621</v>
      </c>
      <c r="I398" s="113">
        <v>572</v>
      </c>
      <c r="J398" s="111" t="s">
        <v>101</v>
      </c>
      <c r="K398" s="111" t="s">
        <v>622</v>
      </c>
      <c r="L398" s="111" t="s">
        <v>103</v>
      </c>
      <c r="M398" s="111" t="s">
        <v>104</v>
      </c>
      <c r="N398" s="111" t="s">
        <v>105</v>
      </c>
      <c r="O398" s="111" t="s">
        <v>106</v>
      </c>
      <c r="P398" s="111" t="s">
        <v>107</v>
      </c>
      <c r="Q398" s="110" t="s">
        <v>108</v>
      </c>
      <c r="R398" s="110" t="s">
        <v>109</v>
      </c>
      <c r="S398" s="111" t="s">
        <v>110</v>
      </c>
      <c r="T398" s="111" t="s">
        <v>111</v>
      </c>
      <c r="U398" s="111" t="s">
        <v>103</v>
      </c>
      <c r="V398" s="118">
        <f t="shared" si="17"/>
        <v>7.0422535211267607E-3</v>
      </c>
      <c r="W398" s="114" t="str">
        <f>IFERROR(I398-AVERAGEIFS(I$6:I397,J$6:J397,"ICIS / Platts",B$6:B397,B398),"")</f>
        <v/>
      </c>
      <c r="X398" s="110" t="s">
        <v>113</v>
      </c>
      <c r="Y398" s="117" t="str">
        <f t="shared" si="16"/>
        <v>OK</v>
      </c>
      <c r="Z398" s="111" t="s">
        <v>116</v>
      </c>
      <c r="AA398" s="111" t="s">
        <v>115</v>
      </c>
      <c r="AB398" s="111" t="s">
        <v>116</v>
      </c>
      <c r="AC398" s="111" t="s">
        <v>116</v>
      </c>
      <c r="AD398" s="111"/>
    </row>
    <row r="399" spans="2:30" ht="27.75" customHeight="1" x14ac:dyDescent="0.25">
      <c r="B399" s="115">
        <v>45615</v>
      </c>
      <c r="C399" s="116" t="s">
        <v>117</v>
      </c>
      <c r="D399" s="116">
        <v>47</v>
      </c>
      <c r="E399" s="110" t="str">
        <f t="shared" si="18"/>
        <v>20241119-394</v>
      </c>
      <c r="F399" s="111" t="s">
        <v>98</v>
      </c>
      <c r="G399" s="111" t="s">
        <v>99</v>
      </c>
      <c r="H399" s="112" t="s">
        <v>621</v>
      </c>
      <c r="I399" s="113">
        <v>591.80999999999995</v>
      </c>
      <c r="J399" s="111" t="s">
        <v>118</v>
      </c>
      <c r="K399" s="111" t="s">
        <v>623</v>
      </c>
      <c r="L399" s="111" t="s">
        <v>103</v>
      </c>
      <c r="M399" s="111" t="s">
        <v>104</v>
      </c>
      <c r="N399" s="111" t="s">
        <v>120</v>
      </c>
      <c r="O399" s="111" t="s">
        <v>121</v>
      </c>
      <c r="P399" s="111" t="s">
        <v>122</v>
      </c>
      <c r="Q399" s="110" t="s">
        <v>123</v>
      </c>
      <c r="R399" s="110" t="s">
        <v>124</v>
      </c>
      <c r="S399" s="111" t="s">
        <v>110</v>
      </c>
      <c r="T399" s="111" t="s">
        <v>111</v>
      </c>
      <c r="U399" s="111" t="s">
        <v>103</v>
      </c>
      <c r="V399" s="118">
        <f t="shared" si="17"/>
        <v>1.1658318945622893E-2</v>
      </c>
      <c r="W399" s="114" t="str">
        <f>IFERROR(I399-AVERAGEIFS(I$6:I398,J$6:J398,"ICIS / Platts",B$6:B398,B399),"")</f>
        <v/>
      </c>
      <c r="X399" s="110" t="s">
        <v>125</v>
      </c>
      <c r="Y399" s="117" t="str">
        <f t="shared" si="16"/>
        <v>OK</v>
      </c>
      <c r="Z399" s="111" t="s">
        <v>116</v>
      </c>
      <c r="AA399" s="111" t="s">
        <v>115</v>
      </c>
      <c r="AB399" s="111" t="s">
        <v>116</v>
      </c>
      <c r="AC399" s="111" t="s">
        <v>116</v>
      </c>
      <c r="AD399" s="111"/>
    </row>
    <row r="400" spans="2:30" ht="27.75" customHeight="1" x14ac:dyDescent="0.25">
      <c r="B400" s="108">
        <v>45616</v>
      </c>
      <c r="C400" s="109" t="s">
        <v>126</v>
      </c>
      <c r="D400" s="109">
        <v>47</v>
      </c>
      <c r="E400" s="110" t="str">
        <f t="shared" si="18"/>
        <v>20241120-395</v>
      </c>
      <c r="F400" s="111" t="s">
        <v>98</v>
      </c>
      <c r="G400" s="111" t="s">
        <v>99</v>
      </c>
      <c r="H400" s="112" t="s">
        <v>621</v>
      </c>
      <c r="I400" s="113">
        <v>574.65</v>
      </c>
      <c r="J400" s="111" t="s">
        <v>127</v>
      </c>
      <c r="K400" s="111" t="s">
        <v>624</v>
      </c>
      <c r="L400" s="111" t="s">
        <v>129</v>
      </c>
      <c r="M400" s="111" t="s">
        <v>104</v>
      </c>
      <c r="N400" s="111" t="s">
        <v>130</v>
      </c>
      <c r="O400" s="111" t="s">
        <v>131</v>
      </c>
      <c r="P400" s="111" t="s">
        <v>132</v>
      </c>
      <c r="Q400" s="110" t="s">
        <v>133</v>
      </c>
      <c r="R400" s="110" t="s">
        <v>134</v>
      </c>
      <c r="S400" s="111" t="s">
        <v>135</v>
      </c>
      <c r="T400" s="111" t="s">
        <v>136</v>
      </c>
      <c r="U400" s="111" t="s">
        <v>129</v>
      </c>
      <c r="V400" s="118">
        <f t="shared" si="17"/>
        <v>1.9479482676033884E-2</v>
      </c>
      <c r="W400" s="114" t="str">
        <f>IFERROR(I400-AVERAGEIFS(I$6:I399,J$6:J399,"ICIS / Platts",B$6:B399,B400),"")</f>
        <v/>
      </c>
      <c r="X400" s="110" t="s">
        <v>137</v>
      </c>
      <c r="Y400" s="117" t="str">
        <f t="shared" si="16"/>
        <v>OK</v>
      </c>
      <c r="Z400" s="111" t="s">
        <v>116</v>
      </c>
      <c r="AA400" s="111" t="s">
        <v>115</v>
      </c>
      <c r="AB400" s="111" t="s">
        <v>116</v>
      </c>
      <c r="AC400" s="111" t="s">
        <v>116</v>
      </c>
      <c r="AD400" s="111"/>
    </row>
    <row r="401" spans="2:30" ht="27.75" customHeight="1" x14ac:dyDescent="0.25">
      <c r="B401" s="115">
        <v>45618</v>
      </c>
      <c r="C401" s="116" t="s">
        <v>138</v>
      </c>
      <c r="D401" s="116">
        <v>47</v>
      </c>
      <c r="E401" s="110" t="str">
        <f t="shared" si="18"/>
        <v>20241122-396</v>
      </c>
      <c r="F401" s="111" t="s">
        <v>98</v>
      </c>
      <c r="G401" s="111" t="s">
        <v>99</v>
      </c>
      <c r="H401" s="112" t="s">
        <v>621</v>
      </c>
      <c r="I401" s="113">
        <v>576.35</v>
      </c>
      <c r="J401" s="111" t="s">
        <v>139</v>
      </c>
      <c r="K401" s="111" t="s">
        <v>625</v>
      </c>
      <c r="L401" s="111" t="s">
        <v>103</v>
      </c>
      <c r="M401" s="111" t="s">
        <v>104</v>
      </c>
      <c r="N401" s="111" t="s">
        <v>105</v>
      </c>
      <c r="O401" s="111" t="s">
        <v>106</v>
      </c>
      <c r="P401" s="111" t="s">
        <v>141</v>
      </c>
      <c r="Q401" s="110" t="s">
        <v>133</v>
      </c>
      <c r="R401" s="110" t="s">
        <v>142</v>
      </c>
      <c r="S401" s="111" t="s">
        <v>110</v>
      </c>
      <c r="T401" s="111" t="s">
        <v>111</v>
      </c>
      <c r="U401" s="111" t="s">
        <v>103</v>
      </c>
      <c r="V401" s="118">
        <f t="shared" si="17"/>
        <v>1.5465888159037749E-3</v>
      </c>
      <c r="W401" s="114" t="str">
        <f>IFERROR(I401-AVERAGEIFS(I$6:I400,J$6:J400,"ICIS / Platts",B$6:B400,B401),"")</f>
        <v/>
      </c>
      <c r="X401" s="110" t="s">
        <v>125</v>
      </c>
      <c r="Y401" s="117" t="str">
        <f t="shared" si="16"/>
        <v>OK</v>
      </c>
      <c r="Z401" s="111" t="s">
        <v>116</v>
      </c>
      <c r="AA401" s="111" t="s">
        <v>115</v>
      </c>
      <c r="AB401" s="111" t="s">
        <v>116</v>
      </c>
      <c r="AC401" s="111" t="s">
        <v>116</v>
      </c>
      <c r="AD401" s="111"/>
    </row>
    <row r="402" spans="2:30" ht="27.75" customHeight="1" x14ac:dyDescent="0.25">
      <c r="B402" s="108">
        <v>45621</v>
      </c>
      <c r="C402" s="109" t="s">
        <v>97</v>
      </c>
      <c r="D402" s="109">
        <v>48</v>
      </c>
      <c r="E402" s="110" t="str">
        <f t="shared" si="18"/>
        <v>20241125-397</v>
      </c>
      <c r="F402" s="111" t="s">
        <v>98</v>
      </c>
      <c r="G402" s="111" t="s">
        <v>99</v>
      </c>
      <c r="H402" s="112" t="s">
        <v>626</v>
      </c>
      <c r="I402" s="113">
        <v>575</v>
      </c>
      <c r="J402" s="111" t="s">
        <v>101</v>
      </c>
      <c r="K402" s="111" t="s">
        <v>627</v>
      </c>
      <c r="L402" s="111" t="s">
        <v>103</v>
      </c>
      <c r="M402" s="111" t="s">
        <v>104</v>
      </c>
      <c r="N402" s="111" t="s">
        <v>105</v>
      </c>
      <c r="O402" s="111" t="s">
        <v>106</v>
      </c>
      <c r="P402" s="111" t="s">
        <v>107</v>
      </c>
      <c r="Q402" s="110" t="s">
        <v>108</v>
      </c>
      <c r="R402" s="110" t="s">
        <v>109</v>
      </c>
      <c r="S402" s="111" t="s">
        <v>110</v>
      </c>
      <c r="T402" s="111" t="s">
        <v>111</v>
      </c>
      <c r="U402" s="111" t="s">
        <v>103</v>
      </c>
      <c r="V402" s="118">
        <f t="shared" si="17"/>
        <v>5.244755244755245E-3</v>
      </c>
      <c r="W402" s="114" t="str">
        <f>IFERROR(I402-AVERAGEIFS(I$6:I401,J$6:J401,"ICIS / Platts",B$6:B401,B402),"")</f>
        <v/>
      </c>
      <c r="X402" s="110" t="s">
        <v>113</v>
      </c>
      <c r="Y402" s="117" t="str">
        <f t="shared" si="16"/>
        <v>OK</v>
      </c>
      <c r="Z402" s="111" t="s">
        <v>116</v>
      </c>
      <c r="AA402" s="111" t="s">
        <v>115</v>
      </c>
      <c r="AB402" s="111" t="s">
        <v>116</v>
      </c>
      <c r="AC402" s="111" t="s">
        <v>116</v>
      </c>
      <c r="AD402" s="111"/>
    </row>
    <row r="403" spans="2:30" ht="27.75" customHeight="1" x14ac:dyDescent="0.25">
      <c r="B403" s="115">
        <v>45622</v>
      </c>
      <c r="C403" s="116" t="s">
        <v>117</v>
      </c>
      <c r="D403" s="116">
        <v>48</v>
      </c>
      <c r="E403" s="110" t="str">
        <f t="shared" si="18"/>
        <v>20241126-398</v>
      </c>
      <c r="F403" s="111" t="s">
        <v>98</v>
      </c>
      <c r="G403" s="111" t="s">
        <v>99</v>
      </c>
      <c r="H403" s="112" t="s">
        <v>626</v>
      </c>
      <c r="I403" s="113">
        <v>592.74</v>
      </c>
      <c r="J403" s="111" t="s">
        <v>118</v>
      </c>
      <c r="K403" s="111" t="s">
        <v>628</v>
      </c>
      <c r="L403" s="111" t="s">
        <v>103</v>
      </c>
      <c r="M403" s="111" t="s">
        <v>104</v>
      </c>
      <c r="N403" s="111" t="s">
        <v>120</v>
      </c>
      <c r="O403" s="111" t="s">
        <v>121</v>
      </c>
      <c r="P403" s="111" t="s">
        <v>122</v>
      </c>
      <c r="Q403" s="110" t="s">
        <v>123</v>
      </c>
      <c r="R403" s="110" t="s">
        <v>124</v>
      </c>
      <c r="S403" s="111" t="s">
        <v>110</v>
      </c>
      <c r="T403" s="111" t="s">
        <v>111</v>
      </c>
      <c r="U403" s="111" t="s">
        <v>103</v>
      </c>
      <c r="V403" s="118">
        <f t="shared" si="17"/>
        <v>1.5714502965479863E-3</v>
      </c>
      <c r="W403" s="114" t="str">
        <f>IFERROR(I403-AVERAGEIFS(I$6:I402,J$6:J402,"ICIS / Platts",B$6:B402,B403),"")</f>
        <v/>
      </c>
      <c r="X403" s="110" t="s">
        <v>125</v>
      </c>
      <c r="Y403" s="117" t="str">
        <f t="shared" si="16"/>
        <v>OK</v>
      </c>
      <c r="Z403" s="111" t="s">
        <v>116</v>
      </c>
      <c r="AA403" s="111" t="s">
        <v>115</v>
      </c>
      <c r="AB403" s="111" t="s">
        <v>116</v>
      </c>
      <c r="AC403" s="111" t="s">
        <v>116</v>
      </c>
      <c r="AD403" s="111"/>
    </row>
    <row r="404" spans="2:30" ht="27.75" customHeight="1" x14ac:dyDescent="0.25">
      <c r="B404" s="108">
        <v>45623</v>
      </c>
      <c r="C404" s="109" t="s">
        <v>126</v>
      </c>
      <c r="D404" s="109">
        <v>48</v>
      </c>
      <c r="E404" s="110" t="str">
        <f t="shared" si="18"/>
        <v>20241127-399</v>
      </c>
      <c r="F404" s="111" t="s">
        <v>98</v>
      </c>
      <c r="G404" s="111" t="s">
        <v>99</v>
      </c>
      <c r="H404" s="112" t="s">
        <v>626</v>
      </c>
      <c r="I404" s="113">
        <v>565.41999999999996</v>
      </c>
      <c r="J404" s="111" t="s">
        <v>127</v>
      </c>
      <c r="K404" s="111" t="s">
        <v>629</v>
      </c>
      <c r="L404" s="111" t="s">
        <v>129</v>
      </c>
      <c r="M404" s="111" t="s">
        <v>104</v>
      </c>
      <c r="N404" s="111" t="s">
        <v>130</v>
      </c>
      <c r="O404" s="111" t="s">
        <v>131</v>
      </c>
      <c r="P404" s="111" t="s">
        <v>132</v>
      </c>
      <c r="Q404" s="110" t="s">
        <v>133</v>
      </c>
      <c r="R404" s="110" t="s">
        <v>134</v>
      </c>
      <c r="S404" s="111" t="s">
        <v>135</v>
      </c>
      <c r="T404" s="111" t="s">
        <v>136</v>
      </c>
      <c r="U404" s="111" t="s">
        <v>129</v>
      </c>
      <c r="V404" s="118">
        <f t="shared" si="17"/>
        <v>-1.606195075263207E-2</v>
      </c>
      <c r="W404" s="114" t="str">
        <f>IFERROR(I404-AVERAGEIFS(I$6:I403,J$6:J403,"ICIS / Platts",B$6:B403,B404),"")</f>
        <v/>
      </c>
      <c r="X404" s="110" t="s">
        <v>137</v>
      </c>
      <c r="Y404" s="117" t="str">
        <f t="shared" si="16"/>
        <v>OK</v>
      </c>
      <c r="Z404" s="111" t="s">
        <v>116</v>
      </c>
      <c r="AA404" s="111" t="s">
        <v>115</v>
      </c>
      <c r="AB404" s="111" t="s">
        <v>116</v>
      </c>
      <c r="AC404" s="111" t="s">
        <v>116</v>
      </c>
      <c r="AD404" s="111"/>
    </row>
    <row r="405" spans="2:30" ht="27.75" customHeight="1" x14ac:dyDescent="0.25">
      <c r="B405" s="115">
        <v>45625</v>
      </c>
      <c r="C405" s="116" t="s">
        <v>138</v>
      </c>
      <c r="D405" s="116">
        <v>48</v>
      </c>
      <c r="E405" s="110" t="str">
        <f t="shared" si="18"/>
        <v>20241129-400</v>
      </c>
      <c r="F405" s="111" t="s">
        <v>98</v>
      </c>
      <c r="G405" s="111" t="s">
        <v>99</v>
      </c>
      <c r="H405" s="112" t="s">
        <v>626</v>
      </c>
      <c r="I405" s="113">
        <v>574.71</v>
      </c>
      <c r="J405" s="111" t="s">
        <v>139</v>
      </c>
      <c r="K405" s="111" t="s">
        <v>630</v>
      </c>
      <c r="L405" s="111" t="s">
        <v>103</v>
      </c>
      <c r="M405" s="111" t="s">
        <v>104</v>
      </c>
      <c r="N405" s="111" t="s">
        <v>105</v>
      </c>
      <c r="O405" s="111" t="s">
        <v>106</v>
      </c>
      <c r="P405" s="111" t="s">
        <v>141</v>
      </c>
      <c r="Q405" s="110" t="s">
        <v>133</v>
      </c>
      <c r="R405" s="110" t="s">
        <v>142</v>
      </c>
      <c r="S405" s="111" t="s">
        <v>110</v>
      </c>
      <c r="T405" s="111" t="s">
        <v>111</v>
      </c>
      <c r="U405" s="111" t="s">
        <v>103</v>
      </c>
      <c r="V405" s="118">
        <f t="shared" si="17"/>
        <v>-2.8454931899019455E-3</v>
      </c>
      <c r="W405" s="114" t="str">
        <f>IFERROR(I405-AVERAGEIFS(I$6:I404,J$6:J404,"ICIS / Platts",B$6:B404,B405),"")</f>
        <v/>
      </c>
      <c r="X405" s="110" t="s">
        <v>125</v>
      </c>
      <c r="Y405" s="117" t="str">
        <f t="shared" ref="Y405:Y468" si="19">IFERROR(IF(ABS(I405-AVERAGE(I397:I404))/AVERAGE(I397:I404)&gt;0.1,"⚠ CHECK","OK"),"OK")</f>
        <v>OK</v>
      </c>
      <c r="Z405" s="111" t="s">
        <v>116</v>
      </c>
      <c r="AA405" s="111" t="s">
        <v>115</v>
      </c>
      <c r="AB405" s="111" t="s">
        <v>116</v>
      </c>
      <c r="AC405" s="111" t="s">
        <v>116</v>
      </c>
      <c r="AD405" s="111"/>
    </row>
    <row r="406" spans="2:30" ht="27.75" customHeight="1" x14ac:dyDescent="0.25">
      <c r="B406" s="108">
        <v>45628</v>
      </c>
      <c r="C406" s="109" t="s">
        <v>97</v>
      </c>
      <c r="D406" s="109">
        <v>49</v>
      </c>
      <c r="E406" s="110" t="str">
        <f t="shared" si="18"/>
        <v>20241202-401</v>
      </c>
      <c r="F406" s="111" t="s">
        <v>98</v>
      </c>
      <c r="G406" s="111" t="s">
        <v>99</v>
      </c>
      <c r="H406" s="112" t="s">
        <v>631</v>
      </c>
      <c r="I406" s="113">
        <v>578</v>
      </c>
      <c r="J406" s="111" t="s">
        <v>101</v>
      </c>
      <c r="K406" s="111" t="s">
        <v>632</v>
      </c>
      <c r="L406" s="111" t="s">
        <v>103</v>
      </c>
      <c r="M406" s="111" t="s">
        <v>104</v>
      </c>
      <c r="N406" s="111" t="s">
        <v>105</v>
      </c>
      <c r="O406" s="111" t="s">
        <v>106</v>
      </c>
      <c r="P406" s="111" t="s">
        <v>107</v>
      </c>
      <c r="Q406" s="110" t="s">
        <v>108</v>
      </c>
      <c r="R406" s="110" t="s">
        <v>109</v>
      </c>
      <c r="S406" s="111" t="s">
        <v>110</v>
      </c>
      <c r="T406" s="111" t="s">
        <v>111</v>
      </c>
      <c r="U406" s="111" t="s">
        <v>103</v>
      </c>
      <c r="V406" s="118">
        <f t="shared" si="17"/>
        <v>5.2173913043478265E-3</v>
      </c>
      <c r="W406" s="114" t="str">
        <f>IFERROR(I406-AVERAGEIFS(I$6:I405,J$6:J405,"ICIS / Platts",B$6:B405,B406),"")</f>
        <v/>
      </c>
      <c r="X406" s="110" t="s">
        <v>113</v>
      </c>
      <c r="Y406" s="117" t="str">
        <f t="shared" si="19"/>
        <v>OK</v>
      </c>
      <c r="Z406" s="111" t="s">
        <v>116</v>
      </c>
      <c r="AA406" s="111" t="s">
        <v>115</v>
      </c>
      <c r="AB406" s="111" t="s">
        <v>116</v>
      </c>
      <c r="AC406" s="111" t="s">
        <v>116</v>
      </c>
      <c r="AD406" s="111"/>
    </row>
    <row r="407" spans="2:30" ht="27.75" customHeight="1" x14ac:dyDescent="0.25">
      <c r="B407" s="115">
        <v>45629</v>
      </c>
      <c r="C407" s="116" t="s">
        <v>117</v>
      </c>
      <c r="D407" s="116">
        <v>49</v>
      </c>
      <c r="E407" s="110" t="str">
        <f t="shared" si="18"/>
        <v>20241203-402</v>
      </c>
      <c r="F407" s="111" t="s">
        <v>98</v>
      </c>
      <c r="G407" s="111" t="s">
        <v>99</v>
      </c>
      <c r="H407" s="112" t="s">
        <v>631</v>
      </c>
      <c r="I407" s="113">
        <v>587.92999999999995</v>
      </c>
      <c r="J407" s="111" t="s">
        <v>118</v>
      </c>
      <c r="K407" s="111" t="s">
        <v>633</v>
      </c>
      <c r="L407" s="111" t="s">
        <v>103</v>
      </c>
      <c r="M407" s="111" t="s">
        <v>104</v>
      </c>
      <c r="N407" s="111" t="s">
        <v>120</v>
      </c>
      <c r="O407" s="111" t="s">
        <v>121</v>
      </c>
      <c r="P407" s="111" t="s">
        <v>122</v>
      </c>
      <c r="Q407" s="110" t="s">
        <v>123</v>
      </c>
      <c r="R407" s="110" t="s">
        <v>124</v>
      </c>
      <c r="S407" s="111" t="s">
        <v>110</v>
      </c>
      <c r="T407" s="111" t="s">
        <v>111</v>
      </c>
      <c r="U407" s="111" t="s">
        <v>103</v>
      </c>
      <c r="V407" s="118">
        <f t="shared" si="17"/>
        <v>-8.1148564294632707E-3</v>
      </c>
      <c r="W407" s="114" t="str">
        <f>IFERROR(I407-AVERAGEIFS(I$6:I406,J$6:J406,"ICIS / Platts",B$6:B406,B407),"")</f>
        <v/>
      </c>
      <c r="X407" s="110" t="s">
        <v>125</v>
      </c>
      <c r="Y407" s="117" t="str">
        <f t="shared" si="19"/>
        <v>OK</v>
      </c>
      <c r="Z407" s="111" t="s">
        <v>116</v>
      </c>
      <c r="AA407" s="111" t="s">
        <v>115</v>
      </c>
      <c r="AB407" s="111" t="s">
        <v>116</v>
      </c>
      <c r="AC407" s="111" t="s">
        <v>116</v>
      </c>
      <c r="AD407" s="111"/>
    </row>
    <row r="408" spans="2:30" ht="27.75" customHeight="1" x14ac:dyDescent="0.25">
      <c r="B408" s="108">
        <v>45630</v>
      </c>
      <c r="C408" s="109" t="s">
        <v>126</v>
      </c>
      <c r="D408" s="109">
        <v>49</v>
      </c>
      <c r="E408" s="110" t="str">
        <f t="shared" si="18"/>
        <v>20241204-403</v>
      </c>
      <c r="F408" s="111" t="s">
        <v>98</v>
      </c>
      <c r="G408" s="111" t="s">
        <v>99</v>
      </c>
      <c r="H408" s="112" t="s">
        <v>631</v>
      </c>
      <c r="I408" s="113">
        <v>587.4</v>
      </c>
      <c r="J408" s="111" t="s">
        <v>127</v>
      </c>
      <c r="K408" s="111" t="s">
        <v>410</v>
      </c>
      <c r="L408" s="111" t="s">
        <v>129</v>
      </c>
      <c r="M408" s="111" t="s">
        <v>104</v>
      </c>
      <c r="N408" s="111" t="s">
        <v>130</v>
      </c>
      <c r="O408" s="111" t="s">
        <v>131</v>
      </c>
      <c r="P408" s="111" t="s">
        <v>132</v>
      </c>
      <c r="Q408" s="110" t="s">
        <v>133</v>
      </c>
      <c r="R408" s="110" t="s">
        <v>134</v>
      </c>
      <c r="S408" s="111" t="s">
        <v>135</v>
      </c>
      <c r="T408" s="111" t="s">
        <v>136</v>
      </c>
      <c r="U408" s="111" t="s">
        <v>129</v>
      </c>
      <c r="V408" s="118">
        <f t="shared" si="17"/>
        <v>3.8873757560751336E-2</v>
      </c>
      <c r="W408" s="114" t="str">
        <f>IFERROR(I408-AVERAGEIFS(I$6:I407,J$6:J407,"ICIS / Platts",B$6:B407,B408),"")</f>
        <v/>
      </c>
      <c r="X408" s="110" t="s">
        <v>137</v>
      </c>
      <c r="Y408" s="117" t="str">
        <f t="shared" si="19"/>
        <v>OK</v>
      </c>
      <c r="Z408" s="111" t="s">
        <v>116</v>
      </c>
      <c r="AA408" s="111" t="s">
        <v>115</v>
      </c>
      <c r="AB408" s="111" t="s">
        <v>116</v>
      </c>
      <c r="AC408" s="111" t="s">
        <v>116</v>
      </c>
      <c r="AD408" s="111"/>
    </row>
    <row r="409" spans="2:30" ht="27.75" customHeight="1" x14ac:dyDescent="0.25">
      <c r="B409" s="115">
        <v>45632</v>
      </c>
      <c r="C409" s="116" t="s">
        <v>138</v>
      </c>
      <c r="D409" s="116">
        <v>49</v>
      </c>
      <c r="E409" s="110" t="str">
        <f t="shared" si="18"/>
        <v>20241206-404</v>
      </c>
      <c r="F409" s="111" t="s">
        <v>98</v>
      </c>
      <c r="G409" s="111" t="s">
        <v>99</v>
      </c>
      <c r="H409" s="112" t="s">
        <v>631</v>
      </c>
      <c r="I409" s="113">
        <v>574.09</v>
      </c>
      <c r="J409" s="111" t="s">
        <v>139</v>
      </c>
      <c r="K409" s="111" t="s">
        <v>634</v>
      </c>
      <c r="L409" s="111" t="s">
        <v>103</v>
      </c>
      <c r="M409" s="111" t="s">
        <v>104</v>
      </c>
      <c r="N409" s="111" t="s">
        <v>105</v>
      </c>
      <c r="O409" s="111" t="s">
        <v>106</v>
      </c>
      <c r="P409" s="111" t="s">
        <v>141</v>
      </c>
      <c r="Q409" s="110" t="s">
        <v>133</v>
      </c>
      <c r="R409" s="110" t="s">
        <v>142</v>
      </c>
      <c r="S409" s="111" t="s">
        <v>110</v>
      </c>
      <c r="T409" s="111" t="s">
        <v>111</v>
      </c>
      <c r="U409" s="111" t="s">
        <v>103</v>
      </c>
      <c r="V409" s="118">
        <f t="shared" si="17"/>
        <v>-1.0788049625028353E-3</v>
      </c>
      <c r="W409" s="114" t="str">
        <f>IFERROR(I409-AVERAGEIFS(I$6:I408,J$6:J408,"ICIS / Platts",B$6:B408,B409),"")</f>
        <v/>
      </c>
      <c r="X409" s="110" t="s">
        <v>125</v>
      </c>
      <c r="Y409" s="117" t="str">
        <f t="shared" si="19"/>
        <v>OK</v>
      </c>
      <c r="Z409" s="111" t="s">
        <v>116</v>
      </c>
      <c r="AA409" s="111" t="s">
        <v>115</v>
      </c>
      <c r="AB409" s="111" t="s">
        <v>116</v>
      </c>
      <c r="AC409" s="111" t="s">
        <v>116</v>
      </c>
      <c r="AD409" s="111"/>
    </row>
    <row r="410" spans="2:30" ht="27.75" customHeight="1" x14ac:dyDescent="0.25">
      <c r="B410" s="108">
        <v>45635</v>
      </c>
      <c r="C410" s="109" t="s">
        <v>97</v>
      </c>
      <c r="D410" s="109">
        <v>50</v>
      </c>
      <c r="E410" s="110" t="str">
        <f t="shared" si="18"/>
        <v>20241209-405</v>
      </c>
      <c r="F410" s="111" t="s">
        <v>98</v>
      </c>
      <c r="G410" s="111" t="s">
        <v>99</v>
      </c>
      <c r="H410" s="112" t="s">
        <v>635</v>
      </c>
      <c r="I410" s="113">
        <v>580</v>
      </c>
      <c r="J410" s="111" t="s">
        <v>101</v>
      </c>
      <c r="K410" s="111" t="s">
        <v>636</v>
      </c>
      <c r="L410" s="111" t="s">
        <v>103</v>
      </c>
      <c r="M410" s="111" t="s">
        <v>104</v>
      </c>
      <c r="N410" s="111" t="s">
        <v>105</v>
      </c>
      <c r="O410" s="111" t="s">
        <v>106</v>
      </c>
      <c r="P410" s="111" t="s">
        <v>107</v>
      </c>
      <c r="Q410" s="110" t="s">
        <v>108</v>
      </c>
      <c r="R410" s="110" t="s">
        <v>109</v>
      </c>
      <c r="S410" s="111" t="s">
        <v>110</v>
      </c>
      <c r="T410" s="111" t="s">
        <v>111</v>
      </c>
      <c r="U410" s="111" t="s">
        <v>103</v>
      </c>
      <c r="V410" s="118">
        <f t="shared" si="17"/>
        <v>3.4602076124567475E-3</v>
      </c>
      <c r="W410" s="114" t="str">
        <f>IFERROR(I410-AVERAGEIFS(I$6:I409,J$6:J409,"ICIS / Platts",B$6:B409,B410),"")</f>
        <v/>
      </c>
      <c r="X410" s="110" t="s">
        <v>113</v>
      </c>
      <c r="Y410" s="117" t="str">
        <f t="shared" si="19"/>
        <v>OK</v>
      </c>
      <c r="Z410" s="111" t="s">
        <v>116</v>
      </c>
      <c r="AA410" s="111" t="s">
        <v>115</v>
      </c>
      <c r="AB410" s="111" t="s">
        <v>116</v>
      </c>
      <c r="AC410" s="111" t="s">
        <v>116</v>
      </c>
      <c r="AD410" s="111"/>
    </row>
    <row r="411" spans="2:30" ht="27.75" customHeight="1" x14ac:dyDescent="0.25">
      <c r="B411" s="115">
        <v>45636</v>
      </c>
      <c r="C411" s="116" t="s">
        <v>117</v>
      </c>
      <c r="D411" s="116">
        <v>50</v>
      </c>
      <c r="E411" s="110" t="str">
        <f t="shared" si="18"/>
        <v>20241210-406</v>
      </c>
      <c r="F411" s="111" t="s">
        <v>98</v>
      </c>
      <c r="G411" s="111" t="s">
        <v>99</v>
      </c>
      <c r="H411" s="112" t="s">
        <v>635</v>
      </c>
      <c r="I411" s="113">
        <v>591.48</v>
      </c>
      <c r="J411" s="111" t="s">
        <v>118</v>
      </c>
      <c r="K411" s="111" t="s">
        <v>637</v>
      </c>
      <c r="L411" s="111" t="s">
        <v>103</v>
      </c>
      <c r="M411" s="111" t="s">
        <v>104</v>
      </c>
      <c r="N411" s="111" t="s">
        <v>120</v>
      </c>
      <c r="O411" s="111" t="s">
        <v>121</v>
      </c>
      <c r="P411" s="111" t="s">
        <v>122</v>
      </c>
      <c r="Q411" s="110" t="s">
        <v>123</v>
      </c>
      <c r="R411" s="110" t="s">
        <v>124</v>
      </c>
      <c r="S411" s="111" t="s">
        <v>110</v>
      </c>
      <c r="T411" s="111" t="s">
        <v>111</v>
      </c>
      <c r="U411" s="111" t="s">
        <v>103</v>
      </c>
      <c r="V411" s="118">
        <f t="shared" si="17"/>
        <v>6.0381337914378729E-3</v>
      </c>
      <c r="W411" s="114" t="str">
        <f>IFERROR(I411-AVERAGEIFS(I$6:I410,J$6:J410,"ICIS / Platts",B$6:B410,B411),"")</f>
        <v/>
      </c>
      <c r="X411" s="110" t="s">
        <v>125</v>
      </c>
      <c r="Y411" s="117" t="str">
        <f t="shared" si="19"/>
        <v>OK</v>
      </c>
      <c r="Z411" s="111" t="s">
        <v>116</v>
      </c>
      <c r="AA411" s="111" t="s">
        <v>115</v>
      </c>
      <c r="AB411" s="111" t="s">
        <v>116</v>
      </c>
      <c r="AC411" s="111" t="s">
        <v>116</v>
      </c>
      <c r="AD411" s="111"/>
    </row>
    <row r="412" spans="2:30" ht="27.75" customHeight="1" x14ac:dyDescent="0.25">
      <c r="B412" s="108">
        <v>45637</v>
      </c>
      <c r="C412" s="109" t="s">
        <v>126</v>
      </c>
      <c r="D412" s="109">
        <v>50</v>
      </c>
      <c r="E412" s="110" t="str">
        <f t="shared" si="18"/>
        <v>20241211-407</v>
      </c>
      <c r="F412" s="111" t="s">
        <v>98</v>
      </c>
      <c r="G412" s="111" t="s">
        <v>99</v>
      </c>
      <c r="H412" s="112" t="s">
        <v>635</v>
      </c>
      <c r="I412" s="113">
        <v>583.59</v>
      </c>
      <c r="J412" s="111" t="s">
        <v>127</v>
      </c>
      <c r="K412" s="111" t="s">
        <v>638</v>
      </c>
      <c r="L412" s="111" t="s">
        <v>129</v>
      </c>
      <c r="M412" s="111" t="s">
        <v>104</v>
      </c>
      <c r="N412" s="111" t="s">
        <v>130</v>
      </c>
      <c r="O412" s="111" t="s">
        <v>131</v>
      </c>
      <c r="P412" s="111" t="s">
        <v>132</v>
      </c>
      <c r="Q412" s="110" t="s">
        <v>133</v>
      </c>
      <c r="R412" s="110" t="s">
        <v>134</v>
      </c>
      <c r="S412" s="111" t="s">
        <v>135</v>
      </c>
      <c r="T412" s="111" t="s">
        <v>136</v>
      </c>
      <c r="U412" s="111" t="s">
        <v>129</v>
      </c>
      <c r="V412" s="118">
        <f t="shared" si="17"/>
        <v>-6.4862104187945954E-3</v>
      </c>
      <c r="W412" s="114" t="str">
        <f>IFERROR(I412-AVERAGEIFS(I$6:I411,J$6:J411,"ICIS / Platts",B$6:B411,B412),"")</f>
        <v/>
      </c>
      <c r="X412" s="110" t="s">
        <v>137</v>
      </c>
      <c r="Y412" s="117" t="str">
        <f t="shared" si="19"/>
        <v>OK</v>
      </c>
      <c r="Z412" s="111" t="s">
        <v>116</v>
      </c>
      <c r="AA412" s="111" t="s">
        <v>115</v>
      </c>
      <c r="AB412" s="111" t="s">
        <v>116</v>
      </c>
      <c r="AC412" s="111" t="s">
        <v>116</v>
      </c>
      <c r="AD412" s="111"/>
    </row>
    <row r="413" spans="2:30" ht="27.75" customHeight="1" x14ac:dyDescent="0.25">
      <c r="B413" s="115">
        <v>45639</v>
      </c>
      <c r="C413" s="116" t="s">
        <v>138</v>
      </c>
      <c r="D413" s="116">
        <v>50</v>
      </c>
      <c r="E413" s="110" t="str">
        <f t="shared" si="18"/>
        <v>20241213-408</v>
      </c>
      <c r="F413" s="111" t="s">
        <v>98</v>
      </c>
      <c r="G413" s="111" t="s">
        <v>99</v>
      </c>
      <c r="H413" s="112" t="s">
        <v>635</v>
      </c>
      <c r="I413" s="113">
        <v>574.94000000000005</v>
      </c>
      <c r="J413" s="111" t="s">
        <v>139</v>
      </c>
      <c r="K413" s="111" t="s">
        <v>639</v>
      </c>
      <c r="L413" s="111" t="s">
        <v>103</v>
      </c>
      <c r="M413" s="111" t="s">
        <v>104</v>
      </c>
      <c r="N413" s="111" t="s">
        <v>105</v>
      </c>
      <c r="O413" s="111" t="s">
        <v>106</v>
      </c>
      <c r="P413" s="111" t="s">
        <v>141</v>
      </c>
      <c r="Q413" s="110" t="s">
        <v>133</v>
      </c>
      <c r="R413" s="110" t="s">
        <v>142</v>
      </c>
      <c r="S413" s="111" t="s">
        <v>110</v>
      </c>
      <c r="T413" s="111" t="s">
        <v>111</v>
      </c>
      <c r="U413" s="111" t="s">
        <v>103</v>
      </c>
      <c r="V413" s="118">
        <f t="shared" si="17"/>
        <v>1.4806040864673183E-3</v>
      </c>
      <c r="W413" s="114" t="str">
        <f>IFERROR(I413-AVERAGEIFS(I$6:I412,J$6:J412,"ICIS / Platts",B$6:B412,B413),"")</f>
        <v/>
      </c>
      <c r="X413" s="110" t="s">
        <v>125</v>
      </c>
      <c r="Y413" s="117" t="str">
        <f t="shared" si="19"/>
        <v>OK</v>
      </c>
      <c r="Z413" s="111" t="s">
        <v>116</v>
      </c>
      <c r="AA413" s="111" t="s">
        <v>115</v>
      </c>
      <c r="AB413" s="111" t="s">
        <v>116</v>
      </c>
      <c r="AC413" s="111" t="s">
        <v>116</v>
      </c>
      <c r="AD413" s="111"/>
    </row>
    <row r="414" spans="2:30" ht="27.75" customHeight="1" x14ac:dyDescent="0.25">
      <c r="B414" s="108">
        <v>45642</v>
      </c>
      <c r="C414" s="109" t="s">
        <v>97</v>
      </c>
      <c r="D414" s="109">
        <v>51</v>
      </c>
      <c r="E414" s="110" t="str">
        <f t="shared" si="18"/>
        <v>20241216-409</v>
      </c>
      <c r="F414" s="111" t="s">
        <v>98</v>
      </c>
      <c r="G414" s="111" t="s">
        <v>99</v>
      </c>
      <c r="H414" s="112" t="s">
        <v>640</v>
      </c>
      <c r="I414" s="113">
        <v>578</v>
      </c>
      <c r="J414" s="111" t="s">
        <v>101</v>
      </c>
      <c r="K414" s="111" t="s">
        <v>641</v>
      </c>
      <c r="L414" s="111" t="s">
        <v>103</v>
      </c>
      <c r="M414" s="111" t="s">
        <v>104</v>
      </c>
      <c r="N414" s="111" t="s">
        <v>105</v>
      </c>
      <c r="O414" s="111" t="s">
        <v>106</v>
      </c>
      <c r="P414" s="111" t="s">
        <v>107</v>
      </c>
      <c r="Q414" s="110" t="s">
        <v>108</v>
      </c>
      <c r="R414" s="110" t="s">
        <v>109</v>
      </c>
      <c r="S414" s="111" t="s">
        <v>110</v>
      </c>
      <c r="T414" s="111" t="s">
        <v>111</v>
      </c>
      <c r="U414" s="111" t="s">
        <v>103</v>
      </c>
      <c r="V414" s="118">
        <f t="shared" si="17"/>
        <v>-3.4482758620689655E-3</v>
      </c>
      <c r="W414" s="114" t="str">
        <f>IFERROR(I414-AVERAGEIFS(I$6:I413,J$6:J413,"ICIS / Platts",B$6:B413,B414),"")</f>
        <v/>
      </c>
      <c r="X414" s="110" t="s">
        <v>113</v>
      </c>
      <c r="Y414" s="117" t="str">
        <f t="shared" si="19"/>
        <v>OK</v>
      </c>
      <c r="Z414" s="111" t="s">
        <v>115</v>
      </c>
      <c r="AA414" s="111" t="s">
        <v>115</v>
      </c>
      <c r="AB414" s="111" t="s">
        <v>116</v>
      </c>
      <c r="AC414" s="111" t="s">
        <v>115</v>
      </c>
      <c r="AD414" s="111"/>
    </row>
    <row r="415" spans="2:30" ht="27.75" customHeight="1" x14ac:dyDescent="0.25">
      <c r="B415" s="115">
        <v>45643</v>
      </c>
      <c r="C415" s="116" t="s">
        <v>117</v>
      </c>
      <c r="D415" s="116">
        <v>51</v>
      </c>
      <c r="E415" s="110" t="str">
        <f t="shared" si="18"/>
        <v>20241217-410</v>
      </c>
      <c r="F415" s="111" t="s">
        <v>98</v>
      </c>
      <c r="G415" s="111" t="s">
        <v>99</v>
      </c>
      <c r="H415" s="112" t="s">
        <v>640</v>
      </c>
      <c r="I415" s="113">
        <v>592.24</v>
      </c>
      <c r="J415" s="111" t="s">
        <v>118</v>
      </c>
      <c r="K415" s="111" t="s">
        <v>642</v>
      </c>
      <c r="L415" s="111" t="s">
        <v>103</v>
      </c>
      <c r="M415" s="111" t="s">
        <v>104</v>
      </c>
      <c r="N415" s="111" t="s">
        <v>120</v>
      </c>
      <c r="O415" s="111" t="s">
        <v>121</v>
      </c>
      <c r="P415" s="111" t="s">
        <v>122</v>
      </c>
      <c r="Q415" s="110" t="s">
        <v>123</v>
      </c>
      <c r="R415" s="110" t="s">
        <v>124</v>
      </c>
      <c r="S415" s="111" t="s">
        <v>110</v>
      </c>
      <c r="T415" s="111" t="s">
        <v>111</v>
      </c>
      <c r="U415" s="111" t="s">
        <v>103</v>
      </c>
      <c r="V415" s="118">
        <f t="shared" ref="V415:V478" si="20">IFERROR((I415-I411)/I411,"")</f>
        <v>1.2849124230743065E-3</v>
      </c>
      <c r="W415" s="114" t="str">
        <f>IFERROR(I415-AVERAGEIFS(I$6:I414,J$6:J414,"ICIS / Platts",B$6:B414,B415),"")</f>
        <v/>
      </c>
      <c r="X415" s="110" t="s">
        <v>125</v>
      </c>
      <c r="Y415" s="117" t="str">
        <f t="shared" si="19"/>
        <v>OK</v>
      </c>
      <c r="Z415" s="111" t="s">
        <v>115</v>
      </c>
      <c r="AA415" s="111" t="s">
        <v>115</v>
      </c>
      <c r="AB415" s="111" t="s">
        <v>116</v>
      </c>
      <c r="AC415" s="111" t="s">
        <v>115</v>
      </c>
      <c r="AD415" s="111"/>
    </row>
    <row r="416" spans="2:30" ht="27.75" customHeight="1" x14ac:dyDescent="0.25">
      <c r="B416" s="108">
        <v>45644</v>
      </c>
      <c r="C416" s="109" t="s">
        <v>126</v>
      </c>
      <c r="D416" s="109">
        <v>51</v>
      </c>
      <c r="E416" s="110" t="str">
        <f t="shared" si="18"/>
        <v>20241218-411</v>
      </c>
      <c r="F416" s="111" t="s">
        <v>98</v>
      </c>
      <c r="G416" s="111" t="s">
        <v>99</v>
      </c>
      <c r="H416" s="112" t="s">
        <v>640</v>
      </c>
      <c r="I416" s="113">
        <v>584.79</v>
      </c>
      <c r="J416" s="111" t="s">
        <v>127</v>
      </c>
      <c r="K416" s="111" t="s">
        <v>643</v>
      </c>
      <c r="L416" s="111" t="s">
        <v>129</v>
      </c>
      <c r="M416" s="111" t="s">
        <v>104</v>
      </c>
      <c r="N416" s="111" t="s">
        <v>130</v>
      </c>
      <c r="O416" s="111" t="s">
        <v>131</v>
      </c>
      <c r="P416" s="111" t="s">
        <v>132</v>
      </c>
      <c r="Q416" s="110" t="s">
        <v>133</v>
      </c>
      <c r="R416" s="110" t="s">
        <v>134</v>
      </c>
      <c r="S416" s="111" t="s">
        <v>135</v>
      </c>
      <c r="T416" s="111" t="s">
        <v>136</v>
      </c>
      <c r="U416" s="111" t="s">
        <v>129</v>
      </c>
      <c r="V416" s="118">
        <f t="shared" si="20"/>
        <v>2.0562381123732957E-3</v>
      </c>
      <c r="W416" s="114" t="str">
        <f>IFERROR(I416-AVERAGEIFS(I$6:I415,J$6:J415,"ICIS / Platts",B$6:B415,B416),"")</f>
        <v/>
      </c>
      <c r="X416" s="110" t="s">
        <v>137</v>
      </c>
      <c r="Y416" s="117" t="str">
        <f t="shared" si="19"/>
        <v>OK</v>
      </c>
      <c r="Z416" s="111" t="s">
        <v>115</v>
      </c>
      <c r="AA416" s="111" t="s">
        <v>115</v>
      </c>
      <c r="AB416" s="111" t="s">
        <v>116</v>
      </c>
      <c r="AC416" s="111" t="s">
        <v>115</v>
      </c>
      <c r="AD416" s="111"/>
    </row>
    <row r="417" spans="2:30" ht="27.75" customHeight="1" x14ac:dyDescent="0.25">
      <c r="B417" s="115">
        <v>45646</v>
      </c>
      <c r="C417" s="116" t="s">
        <v>138</v>
      </c>
      <c r="D417" s="116">
        <v>51</v>
      </c>
      <c r="E417" s="110" t="str">
        <f t="shared" si="18"/>
        <v>20241220-412</v>
      </c>
      <c r="F417" s="111" t="s">
        <v>98</v>
      </c>
      <c r="G417" s="111" t="s">
        <v>99</v>
      </c>
      <c r="H417" s="112" t="s">
        <v>640</v>
      </c>
      <c r="I417" s="113">
        <v>569.54</v>
      </c>
      <c r="J417" s="111" t="s">
        <v>139</v>
      </c>
      <c r="K417" s="111" t="s">
        <v>644</v>
      </c>
      <c r="L417" s="111" t="s">
        <v>103</v>
      </c>
      <c r="M417" s="111" t="s">
        <v>104</v>
      </c>
      <c r="N417" s="111" t="s">
        <v>105</v>
      </c>
      <c r="O417" s="111" t="s">
        <v>106</v>
      </c>
      <c r="P417" s="111" t="s">
        <v>141</v>
      </c>
      <c r="Q417" s="110" t="s">
        <v>133</v>
      </c>
      <c r="R417" s="110" t="s">
        <v>142</v>
      </c>
      <c r="S417" s="111" t="s">
        <v>110</v>
      </c>
      <c r="T417" s="111" t="s">
        <v>111</v>
      </c>
      <c r="U417" s="111" t="s">
        <v>103</v>
      </c>
      <c r="V417" s="118">
        <f t="shared" si="20"/>
        <v>-9.3922844122866569E-3</v>
      </c>
      <c r="W417" s="114" t="str">
        <f>IFERROR(I417-AVERAGEIFS(I$6:I416,J$6:J416,"ICIS / Platts",B$6:B416,B417),"")</f>
        <v/>
      </c>
      <c r="X417" s="110" t="s">
        <v>125</v>
      </c>
      <c r="Y417" s="117" t="str">
        <f t="shared" si="19"/>
        <v>OK</v>
      </c>
      <c r="Z417" s="111" t="s">
        <v>115</v>
      </c>
      <c r="AA417" s="111" t="s">
        <v>115</v>
      </c>
      <c r="AB417" s="111" t="s">
        <v>116</v>
      </c>
      <c r="AC417" s="111" t="s">
        <v>115</v>
      </c>
      <c r="AD417" s="111"/>
    </row>
    <row r="418" spans="2:30" ht="27.75" customHeight="1" x14ac:dyDescent="0.25">
      <c r="B418" s="108">
        <v>45649</v>
      </c>
      <c r="C418" s="109" t="s">
        <v>97</v>
      </c>
      <c r="D418" s="109">
        <v>52</v>
      </c>
      <c r="E418" s="110" t="str">
        <f t="shared" si="18"/>
        <v>20241223-413</v>
      </c>
      <c r="F418" s="111" t="s">
        <v>98</v>
      </c>
      <c r="G418" s="111" t="s">
        <v>99</v>
      </c>
      <c r="H418" s="112" t="s">
        <v>392</v>
      </c>
      <c r="I418" s="113">
        <v>575</v>
      </c>
      <c r="J418" s="111" t="s">
        <v>101</v>
      </c>
      <c r="K418" s="111" t="s">
        <v>645</v>
      </c>
      <c r="L418" s="111" t="s">
        <v>103</v>
      </c>
      <c r="M418" s="111" t="s">
        <v>104</v>
      </c>
      <c r="N418" s="111" t="s">
        <v>105</v>
      </c>
      <c r="O418" s="111" t="s">
        <v>106</v>
      </c>
      <c r="P418" s="111" t="s">
        <v>107</v>
      </c>
      <c r="Q418" s="110" t="s">
        <v>108</v>
      </c>
      <c r="R418" s="110" t="s">
        <v>109</v>
      </c>
      <c r="S418" s="111" t="s">
        <v>110</v>
      </c>
      <c r="T418" s="111" t="s">
        <v>111</v>
      </c>
      <c r="U418" s="111" t="s">
        <v>103</v>
      </c>
      <c r="V418" s="118">
        <f t="shared" si="20"/>
        <v>-5.1903114186851208E-3</v>
      </c>
      <c r="W418" s="114" t="str">
        <f>IFERROR(I418-AVERAGEIFS(I$6:I417,J$6:J417,"ICIS / Platts",B$6:B417,B418),"")</f>
        <v/>
      </c>
      <c r="X418" s="110" t="s">
        <v>113</v>
      </c>
      <c r="Y418" s="117" t="str">
        <f t="shared" si="19"/>
        <v>OK</v>
      </c>
      <c r="Z418" s="111" t="s">
        <v>115</v>
      </c>
      <c r="AA418" s="111" t="s">
        <v>115</v>
      </c>
      <c r="AB418" s="111" t="s">
        <v>116</v>
      </c>
      <c r="AC418" s="111" t="s">
        <v>115</v>
      </c>
      <c r="AD418" s="111"/>
    </row>
    <row r="419" spans="2:30" ht="27.75" customHeight="1" x14ac:dyDescent="0.25">
      <c r="B419" s="115">
        <v>45650</v>
      </c>
      <c r="C419" s="116" t="s">
        <v>117</v>
      </c>
      <c r="D419" s="116">
        <v>52</v>
      </c>
      <c r="E419" s="110" t="str">
        <f t="shared" si="18"/>
        <v>20241224-414</v>
      </c>
      <c r="F419" s="111" t="s">
        <v>98</v>
      </c>
      <c r="G419" s="111" t="s">
        <v>99</v>
      </c>
      <c r="H419" s="112" t="s">
        <v>392</v>
      </c>
      <c r="I419" s="113">
        <v>575.73</v>
      </c>
      <c r="J419" s="111" t="s">
        <v>118</v>
      </c>
      <c r="K419" s="111" t="s">
        <v>646</v>
      </c>
      <c r="L419" s="111" t="s">
        <v>103</v>
      </c>
      <c r="M419" s="111" t="s">
        <v>104</v>
      </c>
      <c r="N419" s="111" t="s">
        <v>120</v>
      </c>
      <c r="O419" s="111" t="s">
        <v>121</v>
      </c>
      <c r="P419" s="111" t="s">
        <v>122</v>
      </c>
      <c r="Q419" s="110" t="s">
        <v>123</v>
      </c>
      <c r="R419" s="110" t="s">
        <v>124</v>
      </c>
      <c r="S419" s="111" t="s">
        <v>110</v>
      </c>
      <c r="T419" s="111" t="s">
        <v>111</v>
      </c>
      <c r="U419" s="111" t="s">
        <v>103</v>
      </c>
      <c r="V419" s="118">
        <f t="shared" si="20"/>
        <v>-2.7877211941104943E-2</v>
      </c>
      <c r="W419" s="114" t="str">
        <f>IFERROR(I419-AVERAGEIFS(I$6:I418,J$6:J418,"ICIS / Platts",B$6:B418,B419),"")</f>
        <v/>
      </c>
      <c r="X419" s="110" t="s">
        <v>125</v>
      </c>
      <c r="Y419" s="117" t="str">
        <f t="shared" si="19"/>
        <v>OK</v>
      </c>
      <c r="Z419" s="111" t="s">
        <v>115</v>
      </c>
      <c r="AA419" s="111" t="s">
        <v>115</v>
      </c>
      <c r="AB419" s="111" t="s">
        <v>116</v>
      </c>
      <c r="AC419" s="111" t="s">
        <v>115</v>
      </c>
      <c r="AD419" s="111"/>
    </row>
    <row r="420" spans="2:30" ht="27.75" customHeight="1" x14ac:dyDescent="0.25">
      <c r="B420" s="108">
        <v>45651</v>
      </c>
      <c r="C420" s="109" t="s">
        <v>126</v>
      </c>
      <c r="D420" s="109">
        <v>52</v>
      </c>
      <c r="E420" s="110" t="str">
        <f t="shared" si="18"/>
        <v>20241225-415</v>
      </c>
      <c r="F420" s="111" t="s">
        <v>98</v>
      </c>
      <c r="G420" s="111" t="s">
        <v>99</v>
      </c>
      <c r="H420" s="112" t="s">
        <v>392</v>
      </c>
      <c r="I420" s="113">
        <v>568.04</v>
      </c>
      <c r="J420" s="111" t="s">
        <v>127</v>
      </c>
      <c r="K420" s="111" t="s">
        <v>647</v>
      </c>
      <c r="L420" s="111" t="s">
        <v>129</v>
      </c>
      <c r="M420" s="111" t="s">
        <v>104</v>
      </c>
      <c r="N420" s="111" t="s">
        <v>130</v>
      </c>
      <c r="O420" s="111" t="s">
        <v>131</v>
      </c>
      <c r="P420" s="111" t="s">
        <v>132</v>
      </c>
      <c r="Q420" s="110" t="s">
        <v>133</v>
      </c>
      <c r="R420" s="110" t="s">
        <v>134</v>
      </c>
      <c r="S420" s="111" t="s">
        <v>135</v>
      </c>
      <c r="T420" s="111" t="s">
        <v>136</v>
      </c>
      <c r="U420" s="111" t="s">
        <v>129</v>
      </c>
      <c r="V420" s="118">
        <f t="shared" si="20"/>
        <v>-2.8642760649121909E-2</v>
      </c>
      <c r="W420" s="114" t="str">
        <f>IFERROR(I420-AVERAGEIFS(I$6:I419,J$6:J419,"ICIS / Platts",B$6:B419,B420),"")</f>
        <v/>
      </c>
      <c r="X420" s="110" t="s">
        <v>137</v>
      </c>
      <c r="Y420" s="117" t="str">
        <f t="shared" si="19"/>
        <v>OK</v>
      </c>
      <c r="Z420" s="111" t="s">
        <v>115</v>
      </c>
      <c r="AA420" s="111" t="s">
        <v>115</v>
      </c>
      <c r="AB420" s="111" t="s">
        <v>116</v>
      </c>
      <c r="AC420" s="111" t="s">
        <v>115</v>
      </c>
      <c r="AD420" s="111"/>
    </row>
    <row r="421" spans="2:30" ht="27.75" customHeight="1" x14ac:dyDescent="0.25">
      <c r="B421" s="115">
        <v>45653</v>
      </c>
      <c r="C421" s="116" t="s">
        <v>138</v>
      </c>
      <c r="D421" s="116">
        <v>52</v>
      </c>
      <c r="E421" s="110" t="str">
        <f t="shared" si="18"/>
        <v>20241227-416</v>
      </c>
      <c r="F421" s="111" t="s">
        <v>98</v>
      </c>
      <c r="G421" s="111" t="s">
        <v>99</v>
      </c>
      <c r="H421" s="112" t="s">
        <v>392</v>
      </c>
      <c r="I421" s="113">
        <v>583.20000000000005</v>
      </c>
      <c r="J421" s="111" t="s">
        <v>139</v>
      </c>
      <c r="K421" s="111" t="s">
        <v>648</v>
      </c>
      <c r="L421" s="111" t="s">
        <v>103</v>
      </c>
      <c r="M421" s="111" t="s">
        <v>104</v>
      </c>
      <c r="N421" s="111" t="s">
        <v>105</v>
      </c>
      <c r="O421" s="111" t="s">
        <v>106</v>
      </c>
      <c r="P421" s="111" t="s">
        <v>141</v>
      </c>
      <c r="Q421" s="110" t="s">
        <v>133</v>
      </c>
      <c r="R421" s="110" t="s">
        <v>142</v>
      </c>
      <c r="S421" s="111" t="s">
        <v>110</v>
      </c>
      <c r="T421" s="111" t="s">
        <v>111</v>
      </c>
      <c r="U421" s="111" t="s">
        <v>103</v>
      </c>
      <c r="V421" s="118">
        <f t="shared" si="20"/>
        <v>2.3984268005759177E-2</v>
      </c>
      <c r="W421" s="114" t="str">
        <f>IFERROR(I421-AVERAGEIFS(I$6:I420,J$6:J420,"ICIS / Platts",B$6:B420,B421),"")</f>
        <v/>
      </c>
      <c r="X421" s="110" t="s">
        <v>125</v>
      </c>
      <c r="Y421" s="117" t="str">
        <f t="shared" si="19"/>
        <v>OK</v>
      </c>
      <c r="Z421" s="111" t="s">
        <v>115</v>
      </c>
      <c r="AA421" s="111" t="s">
        <v>115</v>
      </c>
      <c r="AB421" s="111" t="s">
        <v>116</v>
      </c>
      <c r="AC421" s="111" t="s">
        <v>115</v>
      </c>
      <c r="AD421" s="111"/>
    </row>
    <row r="422" spans="2:30" ht="27.75" customHeight="1" x14ac:dyDescent="0.25">
      <c r="B422" s="108">
        <v>45656</v>
      </c>
      <c r="C422" s="109" t="s">
        <v>97</v>
      </c>
      <c r="D422" s="109">
        <v>1</v>
      </c>
      <c r="E422" s="110" t="str">
        <f t="shared" si="18"/>
        <v>20241230-417</v>
      </c>
      <c r="F422" s="111" t="s">
        <v>98</v>
      </c>
      <c r="G422" s="111" t="s">
        <v>99</v>
      </c>
      <c r="H422" s="112" t="s">
        <v>649</v>
      </c>
      <c r="I422" s="113">
        <v>578</v>
      </c>
      <c r="J422" s="111" t="s">
        <v>101</v>
      </c>
      <c r="K422" s="111" t="s">
        <v>650</v>
      </c>
      <c r="L422" s="111" t="s">
        <v>103</v>
      </c>
      <c r="M422" s="111" t="s">
        <v>104</v>
      </c>
      <c r="N422" s="111" t="s">
        <v>105</v>
      </c>
      <c r="O422" s="111" t="s">
        <v>106</v>
      </c>
      <c r="P422" s="111" t="s">
        <v>107</v>
      </c>
      <c r="Q422" s="110" t="s">
        <v>108</v>
      </c>
      <c r="R422" s="110" t="s">
        <v>109</v>
      </c>
      <c r="S422" s="111" t="s">
        <v>110</v>
      </c>
      <c r="T422" s="111" t="s">
        <v>111</v>
      </c>
      <c r="U422" s="111" t="s">
        <v>103</v>
      </c>
      <c r="V422" s="118">
        <f t="shared" si="20"/>
        <v>5.2173913043478265E-3</v>
      </c>
      <c r="W422" s="114" t="str">
        <f>IFERROR(I422-AVERAGEIFS(I$6:I421,J$6:J421,"ICIS / Platts",B$6:B421,B422),"")</f>
        <v/>
      </c>
      <c r="X422" s="110" t="s">
        <v>113</v>
      </c>
      <c r="Y422" s="117" t="str">
        <f t="shared" si="19"/>
        <v>OK</v>
      </c>
      <c r="Z422" s="111" t="s">
        <v>115</v>
      </c>
      <c r="AA422" s="111" t="s">
        <v>115</v>
      </c>
      <c r="AB422" s="111" t="s">
        <v>116</v>
      </c>
      <c r="AC422" s="111" t="s">
        <v>116</v>
      </c>
      <c r="AD422" s="111"/>
    </row>
    <row r="423" spans="2:30" ht="27.75" customHeight="1" x14ac:dyDescent="0.25">
      <c r="B423" s="115">
        <v>45657</v>
      </c>
      <c r="C423" s="116" t="s">
        <v>117</v>
      </c>
      <c r="D423" s="116">
        <v>1</v>
      </c>
      <c r="E423" s="110" t="str">
        <f t="shared" si="18"/>
        <v>20241231-418</v>
      </c>
      <c r="F423" s="111" t="s">
        <v>98</v>
      </c>
      <c r="G423" s="111" t="s">
        <v>99</v>
      </c>
      <c r="H423" s="112" t="s">
        <v>649</v>
      </c>
      <c r="I423" s="113">
        <v>580.48</v>
      </c>
      <c r="J423" s="111" t="s">
        <v>118</v>
      </c>
      <c r="K423" s="111" t="s">
        <v>651</v>
      </c>
      <c r="L423" s="111" t="s">
        <v>103</v>
      </c>
      <c r="M423" s="111" t="s">
        <v>104</v>
      </c>
      <c r="N423" s="111" t="s">
        <v>120</v>
      </c>
      <c r="O423" s="111" t="s">
        <v>121</v>
      </c>
      <c r="P423" s="111" t="s">
        <v>122</v>
      </c>
      <c r="Q423" s="110" t="s">
        <v>123</v>
      </c>
      <c r="R423" s="110" t="s">
        <v>124</v>
      </c>
      <c r="S423" s="111" t="s">
        <v>110</v>
      </c>
      <c r="T423" s="111" t="s">
        <v>111</v>
      </c>
      <c r="U423" s="111" t="s">
        <v>103</v>
      </c>
      <c r="V423" s="118">
        <f t="shared" si="20"/>
        <v>8.2503951505045765E-3</v>
      </c>
      <c r="W423" s="114" t="str">
        <f>IFERROR(I423-AVERAGEIFS(I$6:I422,J$6:J422,"ICIS / Platts",B$6:B422,B423),"")</f>
        <v/>
      </c>
      <c r="X423" s="110" t="s">
        <v>125</v>
      </c>
      <c r="Y423" s="117" t="str">
        <f t="shared" si="19"/>
        <v>OK</v>
      </c>
      <c r="Z423" s="111" t="s">
        <v>115</v>
      </c>
      <c r="AA423" s="111" t="s">
        <v>115</v>
      </c>
      <c r="AB423" s="111" t="s">
        <v>116</v>
      </c>
      <c r="AC423" s="111" t="s">
        <v>116</v>
      </c>
      <c r="AD423" s="111"/>
    </row>
    <row r="424" spans="2:30" ht="27.75" customHeight="1" x14ac:dyDescent="0.25">
      <c r="B424" s="108">
        <v>45658</v>
      </c>
      <c r="C424" s="109" t="s">
        <v>126</v>
      </c>
      <c r="D424" s="109">
        <v>1</v>
      </c>
      <c r="E424" s="110" t="str">
        <f t="shared" si="18"/>
        <v>20250101-419</v>
      </c>
      <c r="F424" s="111" t="s">
        <v>98</v>
      </c>
      <c r="G424" s="111" t="s">
        <v>99</v>
      </c>
      <c r="H424" s="112" t="s">
        <v>649</v>
      </c>
      <c r="I424" s="113">
        <v>569.25</v>
      </c>
      <c r="J424" s="111" t="s">
        <v>127</v>
      </c>
      <c r="K424" s="111" t="s">
        <v>276</v>
      </c>
      <c r="L424" s="111" t="s">
        <v>129</v>
      </c>
      <c r="M424" s="111" t="s">
        <v>104</v>
      </c>
      <c r="N424" s="111" t="s">
        <v>130</v>
      </c>
      <c r="O424" s="111" t="s">
        <v>131</v>
      </c>
      <c r="P424" s="111" t="s">
        <v>132</v>
      </c>
      <c r="Q424" s="110" t="s">
        <v>133</v>
      </c>
      <c r="R424" s="110" t="s">
        <v>134</v>
      </c>
      <c r="S424" s="111" t="s">
        <v>135</v>
      </c>
      <c r="T424" s="111" t="s">
        <v>136</v>
      </c>
      <c r="U424" s="111" t="s">
        <v>129</v>
      </c>
      <c r="V424" s="118">
        <f t="shared" si="20"/>
        <v>2.1301316808676088E-3</v>
      </c>
      <c r="W424" s="114" t="str">
        <f>IFERROR(I424-AVERAGEIFS(I$6:I423,J$6:J423,"ICIS / Platts",B$6:B423,B424),"")</f>
        <v/>
      </c>
      <c r="X424" s="110" t="s">
        <v>137</v>
      </c>
      <c r="Y424" s="117" t="str">
        <f t="shared" si="19"/>
        <v>OK</v>
      </c>
      <c r="Z424" s="111" t="s">
        <v>115</v>
      </c>
      <c r="AA424" s="111" t="s">
        <v>115</v>
      </c>
      <c r="AB424" s="111" t="s">
        <v>116</v>
      </c>
      <c r="AC424" s="111" t="s">
        <v>116</v>
      </c>
      <c r="AD424" s="111"/>
    </row>
    <row r="425" spans="2:30" ht="27.75" customHeight="1" x14ac:dyDescent="0.25">
      <c r="B425" s="115">
        <v>45660</v>
      </c>
      <c r="C425" s="116" t="s">
        <v>138</v>
      </c>
      <c r="D425" s="116">
        <v>1</v>
      </c>
      <c r="E425" s="110" t="str">
        <f t="shared" si="18"/>
        <v>20250103-420</v>
      </c>
      <c r="F425" s="111" t="s">
        <v>98</v>
      </c>
      <c r="G425" s="111" t="s">
        <v>99</v>
      </c>
      <c r="H425" s="112" t="s">
        <v>649</v>
      </c>
      <c r="I425" s="113">
        <v>582.16999999999996</v>
      </c>
      <c r="J425" s="111" t="s">
        <v>139</v>
      </c>
      <c r="K425" s="111" t="s">
        <v>652</v>
      </c>
      <c r="L425" s="111" t="s">
        <v>103</v>
      </c>
      <c r="M425" s="111" t="s">
        <v>104</v>
      </c>
      <c r="N425" s="111" t="s">
        <v>105</v>
      </c>
      <c r="O425" s="111" t="s">
        <v>106</v>
      </c>
      <c r="P425" s="111" t="s">
        <v>141</v>
      </c>
      <c r="Q425" s="110" t="s">
        <v>133</v>
      </c>
      <c r="R425" s="110" t="s">
        <v>142</v>
      </c>
      <c r="S425" s="111" t="s">
        <v>110</v>
      </c>
      <c r="T425" s="111" t="s">
        <v>111</v>
      </c>
      <c r="U425" s="111" t="s">
        <v>103</v>
      </c>
      <c r="V425" s="118">
        <f t="shared" si="20"/>
        <v>-1.7661179698218216E-3</v>
      </c>
      <c r="W425" s="114" t="str">
        <f>IFERROR(I425-AVERAGEIFS(I$6:I424,J$6:J424,"ICIS / Platts",B$6:B424,B425),"")</f>
        <v/>
      </c>
      <c r="X425" s="110" t="s">
        <v>125</v>
      </c>
      <c r="Y425" s="117" t="str">
        <f t="shared" si="19"/>
        <v>OK</v>
      </c>
      <c r="Z425" s="111" t="s">
        <v>115</v>
      </c>
      <c r="AA425" s="111" t="s">
        <v>115</v>
      </c>
      <c r="AB425" s="111" t="s">
        <v>116</v>
      </c>
      <c r="AC425" s="111" t="s">
        <v>116</v>
      </c>
      <c r="AD425" s="111"/>
    </row>
  </sheetData>
  <mergeCells count="8">
    <mergeCell ref="B2:AB2"/>
    <mergeCell ref="Z4:AC4"/>
    <mergeCell ref="B3:AB3"/>
    <mergeCell ref="I4:M4"/>
    <mergeCell ref="N4:R4"/>
    <mergeCell ref="B4:H4"/>
    <mergeCell ref="V4:Y4"/>
    <mergeCell ref="S4:U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AG111"/>
  <sheetViews>
    <sheetView showGridLines="0" workbookViewId="0">
      <pane xSplit="5" ySplit="6" topLeftCell="F7" activePane="bottomRight" state="frozen"/>
      <selection pane="topRight"/>
      <selection pane="bottomLeft"/>
      <selection pane="bottomRight" activeCell="E13" sqref="E13"/>
    </sheetView>
  </sheetViews>
  <sheetFormatPr defaultRowHeight="15" x14ac:dyDescent="0.25"/>
  <cols>
    <col min="1" max="1" width="1.42578125" style="70" customWidth="1"/>
    <col min="2" max="2" width="7" style="70" customWidth="1"/>
    <col min="3" max="3" width="14" style="70" customWidth="1"/>
    <col min="4" max="4" width="11" style="70" customWidth="1"/>
    <col min="5" max="5" width="47.85546875" style="70" customWidth="1"/>
    <col min="6" max="6" width="11" style="70" customWidth="1"/>
    <col min="7" max="8" width="10" style="70" customWidth="1"/>
    <col min="9" max="9" width="9" style="70" customWidth="1"/>
    <col min="10" max="11" width="11" style="70" customWidth="1"/>
    <col min="12" max="13" width="9" style="70" customWidth="1"/>
    <col min="14" max="14" width="12" style="70" customWidth="1"/>
    <col min="15" max="15" width="7" style="70" customWidth="1"/>
    <col min="16" max="16" width="28" style="70" customWidth="1"/>
    <col min="17" max="17" width="11.85546875" style="70" customWidth="1"/>
    <col min="18" max="18" width="28" style="70" customWidth="1"/>
    <col min="19" max="19" width="7" style="70" customWidth="1"/>
    <col min="20" max="20" width="28" style="70" customWidth="1"/>
    <col min="21" max="21" width="7" style="70" customWidth="1"/>
    <col min="22" max="22" width="28" style="70" customWidth="1"/>
    <col min="23" max="23" width="7" style="70" customWidth="1"/>
    <col min="24" max="24" width="28" style="70" customWidth="1"/>
    <col min="25" max="25" width="7" style="70" customWidth="1"/>
    <col min="26" max="26" width="28" style="70" customWidth="1"/>
    <col min="27" max="27" width="7" style="70" customWidth="1"/>
    <col min="28" max="28" width="28" style="70" customWidth="1"/>
    <col min="29" max="29" width="9" style="70" customWidth="1"/>
    <col min="30" max="30" width="12" style="70" customWidth="1"/>
    <col min="31" max="31" width="16" style="70" customWidth="1"/>
    <col min="32" max="32" width="18" style="70" customWidth="1"/>
    <col min="33" max="33" width="22" style="70" customWidth="1"/>
    <col min="34" max="16384" width="9.140625" style="70"/>
  </cols>
  <sheetData>
    <row r="1" spans="2:33" ht="6" customHeight="1" x14ac:dyDescent="0.25"/>
    <row r="2" spans="2:33" ht="38.1" customHeight="1" x14ac:dyDescent="0.25">
      <c r="B2" s="176" t="s">
        <v>653</v>
      </c>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row>
    <row r="3" spans="2:33" ht="18" customHeight="1" x14ac:dyDescent="0.25">
      <c r="B3" s="170" t="s">
        <v>654</v>
      </c>
      <c r="C3" s="171"/>
      <c r="D3" s="171"/>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row>
    <row r="4" spans="2:33" ht="15.95" customHeight="1" x14ac:dyDescent="0.25">
      <c r="B4" s="174" t="s">
        <v>655</v>
      </c>
      <c r="C4" s="175"/>
      <c r="D4" s="175"/>
      <c r="E4" s="175"/>
      <c r="F4" s="175"/>
      <c r="G4" s="175"/>
      <c r="H4" s="175"/>
      <c r="I4" s="175"/>
      <c r="J4" s="175"/>
      <c r="K4" s="175"/>
      <c r="L4" s="175"/>
      <c r="M4" s="175"/>
      <c r="N4" s="175"/>
      <c r="O4" s="175"/>
      <c r="P4" s="175"/>
      <c r="Q4" s="175"/>
      <c r="R4" s="175"/>
      <c r="S4" s="175"/>
      <c r="T4" s="175"/>
      <c r="U4" s="175"/>
      <c r="V4" s="175"/>
      <c r="W4" s="175"/>
      <c r="X4" s="175"/>
      <c r="Y4" s="175"/>
      <c r="Z4" s="175"/>
      <c r="AA4" s="175"/>
      <c r="AB4" s="175"/>
      <c r="AC4" s="175"/>
      <c r="AD4" s="175"/>
    </row>
    <row r="5" spans="2:33" ht="18" customHeight="1" x14ac:dyDescent="0.25">
      <c r="B5" s="95" t="s">
        <v>656</v>
      </c>
      <c r="C5" s="71"/>
      <c r="D5" s="71"/>
      <c r="E5" s="71"/>
      <c r="F5" s="96" t="s">
        <v>657</v>
      </c>
      <c r="G5" s="71"/>
      <c r="H5" s="71"/>
      <c r="I5" s="71"/>
      <c r="J5" s="71"/>
      <c r="K5" s="71"/>
      <c r="L5" s="99" t="s">
        <v>658</v>
      </c>
      <c r="M5" s="71"/>
      <c r="N5" s="71"/>
      <c r="O5" s="119" t="s">
        <v>659</v>
      </c>
      <c r="P5" s="71"/>
      <c r="Q5" s="120" t="s">
        <v>1380</v>
      </c>
      <c r="R5" s="71"/>
      <c r="S5" s="121" t="s">
        <v>661</v>
      </c>
      <c r="T5" s="71"/>
      <c r="U5" s="122" t="s">
        <v>1378</v>
      </c>
      <c r="V5" s="71"/>
      <c r="W5" s="123" t="s">
        <v>663</v>
      </c>
      <c r="X5" s="71"/>
      <c r="Y5" s="124" t="s">
        <v>664</v>
      </c>
      <c r="Z5" s="71"/>
      <c r="AA5" s="125" t="s">
        <v>1379</v>
      </c>
      <c r="AB5" s="71"/>
      <c r="AC5" s="95" t="s">
        <v>666</v>
      </c>
      <c r="AD5" s="71"/>
      <c r="AE5" s="71"/>
      <c r="AF5" s="71"/>
      <c r="AG5" s="71"/>
    </row>
    <row r="6" spans="2:33" ht="42" customHeight="1" x14ac:dyDescent="0.25">
      <c r="B6" s="102" t="s">
        <v>70</v>
      </c>
      <c r="C6" s="102" t="s">
        <v>667</v>
      </c>
      <c r="D6" s="102" t="s">
        <v>668</v>
      </c>
      <c r="E6" s="102" t="s">
        <v>669</v>
      </c>
      <c r="F6" s="103" t="s">
        <v>670</v>
      </c>
      <c r="G6" s="103" t="s">
        <v>671</v>
      </c>
      <c r="H6" s="103" t="s">
        <v>672</v>
      </c>
      <c r="I6" s="103" t="s">
        <v>673</v>
      </c>
      <c r="J6" s="103" t="s">
        <v>674</v>
      </c>
      <c r="K6" s="103" t="s">
        <v>675</v>
      </c>
      <c r="L6" s="106" t="s">
        <v>676</v>
      </c>
      <c r="M6" s="106" t="s">
        <v>677</v>
      </c>
      <c r="N6" s="106" t="s">
        <v>678</v>
      </c>
      <c r="O6" s="107" t="s">
        <v>679</v>
      </c>
      <c r="P6" s="107" t="s">
        <v>680</v>
      </c>
      <c r="Q6" s="126" t="s">
        <v>681</v>
      </c>
      <c r="R6" s="126" t="s">
        <v>682</v>
      </c>
      <c r="S6" s="127" t="s">
        <v>683</v>
      </c>
      <c r="T6" s="127" t="s">
        <v>684</v>
      </c>
      <c r="U6" s="128" t="s">
        <v>685</v>
      </c>
      <c r="V6" s="128" t="s">
        <v>686</v>
      </c>
      <c r="W6" s="105" t="s">
        <v>687</v>
      </c>
      <c r="X6" s="105" t="s">
        <v>688</v>
      </c>
      <c r="Y6" s="129" t="s">
        <v>689</v>
      </c>
      <c r="Z6" s="129" t="s">
        <v>690</v>
      </c>
      <c r="AA6" s="130" t="s">
        <v>691</v>
      </c>
      <c r="AB6" s="130" t="s">
        <v>692</v>
      </c>
      <c r="AC6" s="102" t="s">
        <v>693</v>
      </c>
      <c r="AD6" s="102" t="s">
        <v>694</v>
      </c>
      <c r="AE6" s="102" t="s">
        <v>695</v>
      </c>
      <c r="AF6" s="102" t="s">
        <v>696</v>
      </c>
      <c r="AG6" s="102" t="s">
        <v>697</v>
      </c>
    </row>
    <row r="7" spans="2:33" ht="25.5" customHeight="1" x14ac:dyDescent="0.25">
      <c r="B7" s="131">
        <v>1</v>
      </c>
      <c r="C7" s="132">
        <v>44928</v>
      </c>
      <c r="D7" s="133">
        <v>490</v>
      </c>
      <c r="E7" s="112" t="s">
        <v>100</v>
      </c>
      <c r="F7" s="134">
        <v>490.1</v>
      </c>
      <c r="G7" s="134">
        <v>500.23</v>
      </c>
      <c r="H7" s="134">
        <v>480.51</v>
      </c>
      <c r="I7" s="134">
        <f t="shared" ref="I7:I38" si="0">IFERROR(G7-H7,"")</f>
        <v>19.720000000000027</v>
      </c>
      <c r="J7" s="134">
        <v>485.87</v>
      </c>
      <c r="K7" s="134">
        <v>494.44</v>
      </c>
      <c r="L7" s="110" t="s">
        <v>112</v>
      </c>
      <c r="M7" s="110" t="s">
        <v>112</v>
      </c>
      <c r="N7" s="110" t="s">
        <v>112</v>
      </c>
      <c r="O7" s="135">
        <v>-1</v>
      </c>
      <c r="P7" s="136" t="s">
        <v>698</v>
      </c>
      <c r="Q7" s="137">
        <v>0</v>
      </c>
      <c r="R7" s="136" t="s">
        <v>100</v>
      </c>
      <c r="S7" s="138">
        <v>0</v>
      </c>
      <c r="T7" s="139"/>
      <c r="U7" s="140">
        <v>0</v>
      </c>
      <c r="V7" s="139"/>
      <c r="W7" s="141">
        <v>0</v>
      </c>
      <c r="X7" s="136" t="s">
        <v>100</v>
      </c>
      <c r="Y7" s="142">
        <v>0</v>
      </c>
      <c r="Z7" s="139"/>
      <c r="AA7" s="143">
        <v>0</v>
      </c>
      <c r="AB7" s="139"/>
      <c r="AC7" s="144">
        <f t="shared" ref="AC7:AC38" si="1">SUM(O7,Q7,S7,U7,W7,Y7,AA7)</f>
        <v>-1</v>
      </c>
      <c r="AD7" s="110"/>
      <c r="AE7" s="110" t="str">
        <f t="shared" ref="AE7:AE38" si="2">IFERROR(IF(AC7&gt;=4,"🔺 Bullish",IF(AC7&lt;=-4,"🔻 Bearish",IF(AC7&gt;=2,"↑ Mildly Bullish",IF(AC7&lt;=-2,"↓ Mildly Bearish","→ Neutral")))),"—")</f>
        <v>→ Neutral</v>
      </c>
      <c r="AF7" s="110" t="str">
        <f t="shared" ref="AF7:AF38" si="3">IFERROR(IF(AC7&gt;=4,"STOCK IN NOW",IF(AC7&lt;=-4,"REDUCE EXPOSURE",IF(AC7&gt;=2,"Consider stock-in",IF(AC7&lt;=-2,"Review sell price","Hold")))),"—")</f>
        <v>Hold</v>
      </c>
      <c r="AG7" s="111"/>
    </row>
    <row r="8" spans="2:33" ht="25.5" customHeight="1" x14ac:dyDescent="0.25">
      <c r="B8" s="75">
        <v>2</v>
      </c>
      <c r="C8" s="145">
        <v>44935</v>
      </c>
      <c r="D8" s="133">
        <v>487</v>
      </c>
      <c r="E8" s="112" t="s">
        <v>143</v>
      </c>
      <c r="F8" s="134">
        <v>493.78</v>
      </c>
      <c r="G8" s="134">
        <v>508.28</v>
      </c>
      <c r="H8" s="134">
        <v>484.17</v>
      </c>
      <c r="I8" s="134">
        <f t="shared" si="0"/>
        <v>24.109999999999957</v>
      </c>
      <c r="J8" s="134">
        <v>492.21</v>
      </c>
      <c r="K8" s="134">
        <v>502.13</v>
      </c>
      <c r="L8" s="110" t="s">
        <v>112</v>
      </c>
      <c r="M8" s="110" t="s">
        <v>112</v>
      </c>
      <c r="N8" s="110" t="s">
        <v>112</v>
      </c>
      <c r="O8" s="135">
        <v>-1</v>
      </c>
      <c r="P8" s="136" t="s">
        <v>699</v>
      </c>
      <c r="Q8" s="137">
        <v>0</v>
      </c>
      <c r="R8" s="136" t="s">
        <v>143</v>
      </c>
      <c r="S8" s="138">
        <v>0</v>
      </c>
      <c r="T8" s="139"/>
      <c r="U8" s="140">
        <v>0</v>
      </c>
      <c r="V8" s="139"/>
      <c r="W8" s="141">
        <v>0</v>
      </c>
      <c r="X8" s="136" t="s">
        <v>143</v>
      </c>
      <c r="Y8" s="142">
        <v>0</v>
      </c>
      <c r="Z8" s="139"/>
      <c r="AA8" s="143">
        <v>0</v>
      </c>
      <c r="AB8" s="139"/>
      <c r="AC8" s="144">
        <f t="shared" si="1"/>
        <v>-1</v>
      </c>
      <c r="AD8" s="110"/>
      <c r="AE8" s="110" t="str">
        <f t="shared" si="2"/>
        <v>→ Neutral</v>
      </c>
      <c r="AF8" s="110" t="str">
        <f t="shared" si="3"/>
        <v>Hold</v>
      </c>
      <c r="AG8" s="111"/>
    </row>
    <row r="9" spans="2:33" ht="25.5" customHeight="1" x14ac:dyDescent="0.25">
      <c r="B9" s="131">
        <v>3</v>
      </c>
      <c r="C9" s="132">
        <v>44942</v>
      </c>
      <c r="D9" s="133">
        <v>483</v>
      </c>
      <c r="E9" s="112" t="s">
        <v>148</v>
      </c>
      <c r="F9" s="134">
        <v>480.73</v>
      </c>
      <c r="G9" s="134">
        <v>489.43</v>
      </c>
      <c r="H9" s="134">
        <v>472.92</v>
      </c>
      <c r="I9" s="134">
        <f t="shared" si="0"/>
        <v>16.509999999999991</v>
      </c>
      <c r="J9" s="134">
        <v>482.14</v>
      </c>
      <c r="K9" s="134">
        <v>477.04</v>
      </c>
      <c r="L9" s="114">
        <f t="shared" ref="L9:L40" si="4">IFERROR(D9-D8,"")</f>
        <v>-4</v>
      </c>
      <c r="M9" s="118">
        <f t="shared" ref="M9:M40" si="5">IFERROR(L9/D8,"")</f>
        <v>-8.2135523613963042E-3</v>
      </c>
      <c r="N9" s="110" t="s">
        <v>112</v>
      </c>
      <c r="O9" s="135">
        <v>-1</v>
      </c>
      <c r="P9" s="136" t="s">
        <v>700</v>
      </c>
      <c r="Q9" s="137">
        <v>-1</v>
      </c>
      <c r="R9" s="136" t="s">
        <v>148</v>
      </c>
      <c r="S9" s="138">
        <v>0</v>
      </c>
      <c r="T9" s="139"/>
      <c r="U9" s="140">
        <v>0</v>
      </c>
      <c r="V9" s="139"/>
      <c r="W9" s="141">
        <v>0</v>
      </c>
      <c r="X9" s="136" t="s">
        <v>148</v>
      </c>
      <c r="Y9" s="142">
        <v>0</v>
      </c>
      <c r="Z9" s="139"/>
      <c r="AA9" s="143">
        <v>0</v>
      </c>
      <c r="AB9" s="139"/>
      <c r="AC9" s="144">
        <f t="shared" si="1"/>
        <v>-2</v>
      </c>
      <c r="AD9" s="110"/>
      <c r="AE9" s="110" t="str">
        <f t="shared" si="2"/>
        <v>↓ Mildly Bearish</v>
      </c>
      <c r="AF9" s="110" t="str">
        <f t="shared" si="3"/>
        <v>Review sell price</v>
      </c>
      <c r="AG9" s="111"/>
    </row>
    <row r="10" spans="2:33" ht="25.5" customHeight="1" x14ac:dyDescent="0.25">
      <c r="B10" s="75">
        <v>4</v>
      </c>
      <c r="C10" s="145">
        <v>44949</v>
      </c>
      <c r="D10" s="133">
        <v>480</v>
      </c>
      <c r="E10" s="112" t="s">
        <v>153</v>
      </c>
      <c r="F10" s="134">
        <v>478.07</v>
      </c>
      <c r="G10" s="134">
        <v>482.94</v>
      </c>
      <c r="H10" s="134">
        <v>469.5</v>
      </c>
      <c r="I10" s="134">
        <f t="shared" si="0"/>
        <v>13.439999999999998</v>
      </c>
      <c r="J10" s="134">
        <v>477.96</v>
      </c>
      <c r="K10" s="134">
        <v>476.26</v>
      </c>
      <c r="L10" s="114">
        <f t="shared" si="4"/>
        <v>-3</v>
      </c>
      <c r="M10" s="118">
        <f t="shared" si="5"/>
        <v>-6.2111801242236021E-3</v>
      </c>
      <c r="N10" s="110" t="s">
        <v>112</v>
      </c>
      <c r="O10" s="135">
        <v>-1</v>
      </c>
      <c r="P10" s="136" t="s">
        <v>153</v>
      </c>
      <c r="Q10" s="137">
        <v>-1</v>
      </c>
      <c r="R10" s="136" t="s">
        <v>153</v>
      </c>
      <c r="S10" s="138">
        <v>0</v>
      </c>
      <c r="T10" s="139"/>
      <c r="U10" s="140">
        <v>0</v>
      </c>
      <c r="V10" s="139"/>
      <c r="W10" s="141">
        <v>0</v>
      </c>
      <c r="X10" s="136" t="s">
        <v>153</v>
      </c>
      <c r="Y10" s="142">
        <v>0</v>
      </c>
      <c r="Z10" s="139"/>
      <c r="AA10" s="143">
        <v>0</v>
      </c>
      <c r="AB10" s="139"/>
      <c r="AC10" s="144">
        <f t="shared" si="1"/>
        <v>-2</v>
      </c>
      <c r="AD10" s="110"/>
      <c r="AE10" s="110" t="str">
        <f t="shared" si="2"/>
        <v>↓ Mildly Bearish</v>
      </c>
      <c r="AF10" s="110" t="str">
        <f t="shared" si="3"/>
        <v>Review sell price</v>
      </c>
      <c r="AG10" s="111"/>
    </row>
    <row r="11" spans="2:33" ht="25.5" customHeight="1" x14ac:dyDescent="0.25">
      <c r="B11" s="131">
        <v>5</v>
      </c>
      <c r="C11" s="132">
        <v>44956</v>
      </c>
      <c r="D11" s="133">
        <v>478</v>
      </c>
      <c r="E11" s="112" t="s">
        <v>158</v>
      </c>
      <c r="F11" s="134">
        <v>481.5</v>
      </c>
      <c r="G11" s="134">
        <v>500.35</v>
      </c>
      <c r="H11" s="134">
        <v>465.58</v>
      </c>
      <c r="I11" s="134">
        <f t="shared" si="0"/>
        <v>34.770000000000039</v>
      </c>
      <c r="J11" s="134">
        <v>494.79</v>
      </c>
      <c r="K11" s="134">
        <v>471.7</v>
      </c>
      <c r="L11" s="114">
        <f t="shared" si="4"/>
        <v>-2</v>
      </c>
      <c r="M11" s="118">
        <f t="shared" si="5"/>
        <v>-4.1666666666666666E-3</v>
      </c>
      <c r="N11" s="134">
        <f t="shared" ref="N11:N42" si="6">IFERROR(AVERAGE(D8:D11),"")</f>
        <v>482</v>
      </c>
      <c r="O11" s="135">
        <v>-1</v>
      </c>
      <c r="P11" s="136" t="s">
        <v>158</v>
      </c>
      <c r="Q11" s="137">
        <v>-1</v>
      </c>
      <c r="R11" s="136" t="s">
        <v>158</v>
      </c>
      <c r="S11" s="138">
        <v>0</v>
      </c>
      <c r="T11" s="139"/>
      <c r="U11" s="140">
        <v>0</v>
      </c>
      <c r="V11" s="139"/>
      <c r="W11" s="141">
        <v>0</v>
      </c>
      <c r="X11" s="136" t="s">
        <v>158</v>
      </c>
      <c r="Y11" s="142">
        <v>0</v>
      </c>
      <c r="Z11" s="139"/>
      <c r="AA11" s="143">
        <v>0</v>
      </c>
      <c r="AB11" s="139"/>
      <c r="AC11" s="144">
        <f t="shared" si="1"/>
        <v>-2</v>
      </c>
      <c r="AD11" s="110"/>
      <c r="AE11" s="110" t="str">
        <f t="shared" si="2"/>
        <v>↓ Mildly Bearish</v>
      </c>
      <c r="AF11" s="110" t="str">
        <f t="shared" si="3"/>
        <v>Review sell price</v>
      </c>
      <c r="AG11" s="111"/>
    </row>
    <row r="12" spans="2:33" ht="25.5" customHeight="1" x14ac:dyDescent="0.25">
      <c r="B12" s="75">
        <v>6</v>
      </c>
      <c r="C12" s="145">
        <v>44963</v>
      </c>
      <c r="D12" s="133">
        <v>475</v>
      </c>
      <c r="E12" s="112" t="s">
        <v>163</v>
      </c>
      <c r="F12" s="134">
        <v>478.78</v>
      </c>
      <c r="G12" s="134">
        <v>493.41</v>
      </c>
      <c r="H12" s="134">
        <v>465.73</v>
      </c>
      <c r="I12" s="134">
        <f t="shared" si="0"/>
        <v>27.680000000000007</v>
      </c>
      <c r="J12" s="134">
        <v>489.38</v>
      </c>
      <c r="K12" s="134">
        <v>471.97</v>
      </c>
      <c r="L12" s="114">
        <f t="shared" si="4"/>
        <v>-3</v>
      </c>
      <c r="M12" s="118">
        <f t="shared" si="5"/>
        <v>-6.2761506276150627E-3</v>
      </c>
      <c r="N12" s="134">
        <f t="shared" si="6"/>
        <v>479</v>
      </c>
      <c r="O12" s="135">
        <v>-2</v>
      </c>
      <c r="P12" s="136" t="s">
        <v>701</v>
      </c>
      <c r="Q12" s="137">
        <v>-1</v>
      </c>
      <c r="R12" s="136" t="s">
        <v>163</v>
      </c>
      <c r="S12" s="138">
        <v>0</v>
      </c>
      <c r="T12" s="139"/>
      <c r="U12" s="140">
        <v>0</v>
      </c>
      <c r="V12" s="139"/>
      <c r="W12" s="141">
        <v>0</v>
      </c>
      <c r="X12" s="136" t="s">
        <v>163</v>
      </c>
      <c r="Y12" s="142">
        <v>0</v>
      </c>
      <c r="Z12" s="139"/>
      <c r="AA12" s="143">
        <v>0</v>
      </c>
      <c r="AB12" s="139"/>
      <c r="AC12" s="144">
        <f t="shared" si="1"/>
        <v>-3</v>
      </c>
      <c r="AD12" s="110"/>
      <c r="AE12" s="110" t="str">
        <f t="shared" si="2"/>
        <v>↓ Mildly Bearish</v>
      </c>
      <c r="AF12" s="110" t="str">
        <f t="shared" si="3"/>
        <v>Review sell price</v>
      </c>
      <c r="AG12" s="111"/>
    </row>
    <row r="13" spans="2:33" ht="25.5" customHeight="1" x14ac:dyDescent="0.25">
      <c r="B13" s="131">
        <v>7</v>
      </c>
      <c r="C13" s="132">
        <v>44970</v>
      </c>
      <c r="D13" s="133">
        <v>472</v>
      </c>
      <c r="E13" s="112" t="s">
        <v>168</v>
      </c>
      <c r="F13" s="134">
        <v>474.41</v>
      </c>
      <c r="G13" s="134">
        <v>484.64</v>
      </c>
      <c r="H13" s="134">
        <v>465.56</v>
      </c>
      <c r="I13" s="134">
        <f t="shared" si="0"/>
        <v>19.079999999999984</v>
      </c>
      <c r="J13" s="134">
        <v>473.61</v>
      </c>
      <c r="K13" s="134">
        <v>477.61</v>
      </c>
      <c r="L13" s="114">
        <f t="shared" si="4"/>
        <v>-3</v>
      </c>
      <c r="M13" s="118">
        <f t="shared" si="5"/>
        <v>-6.3157894736842104E-3</v>
      </c>
      <c r="N13" s="134">
        <f t="shared" si="6"/>
        <v>476.25</v>
      </c>
      <c r="O13" s="135">
        <v>-2</v>
      </c>
      <c r="P13" s="136" t="s">
        <v>702</v>
      </c>
      <c r="Q13" s="137">
        <v>-1</v>
      </c>
      <c r="R13" s="136" t="s">
        <v>168</v>
      </c>
      <c r="S13" s="138">
        <v>0</v>
      </c>
      <c r="T13" s="139"/>
      <c r="U13" s="140">
        <v>0</v>
      </c>
      <c r="V13" s="139"/>
      <c r="W13" s="141">
        <v>0</v>
      </c>
      <c r="X13" s="136" t="s">
        <v>168</v>
      </c>
      <c r="Y13" s="142">
        <v>0</v>
      </c>
      <c r="Z13" s="139"/>
      <c r="AA13" s="143">
        <v>0</v>
      </c>
      <c r="AB13" s="139"/>
      <c r="AC13" s="144">
        <f t="shared" si="1"/>
        <v>-3</v>
      </c>
      <c r="AD13" s="110"/>
      <c r="AE13" s="110" t="str">
        <f t="shared" si="2"/>
        <v>↓ Mildly Bearish</v>
      </c>
      <c r="AF13" s="110" t="str">
        <f t="shared" si="3"/>
        <v>Review sell price</v>
      </c>
      <c r="AG13" s="111"/>
    </row>
    <row r="14" spans="2:33" ht="25.5" customHeight="1" x14ac:dyDescent="0.25">
      <c r="B14" s="75">
        <v>8</v>
      </c>
      <c r="C14" s="145">
        <v>44977</v>
      </c>
      <c r="D14" s="133">
        <v>470</v>
      </c>
      <c r="E14" s="112" t="s">
        <v>173</v>
      </c>
      <c r="F14" s="134">
        <v>467.02</v>
      </c>
      <c r="G14" s="134">
        <v>475.56</v>
      </c>
      <c r="H14" s="134">
        <v>458.71</v>
      </c>
      <c r="I14" s="134">
        <f t="shared" si="0"/>
        <v>16.850000000000023</v>
      </c>
      <c r="J14" s="134">
        <v>466.75</v>
      </c>
      <c r="K14" s="134">
        <v>464.32</v>
      </c>
      <c r="L14" s="114">
        <f t="shared" si="4"/>
        <v>-2</v>
      </c>
      <c r="M14" s="118">
        <f t="shared" si="5"/>
        <v>-4.2372881355932203E-3</v>
      </c>
      <c r="N14" s="134">
        <f t="shared" si="6"/>
        <v>473.75</v>
      </c>
      <c r="O14" s="135">
        <v>-1</v>
      </c>
      <c r="P14" s="136" t="s">
        <v>703</v>
      </c>
      <c r="Q14" s="137">
        <v>-1</v>
      </c>
      <c r="R14" s="136" t="s">
        <v>173</v>
      </c>
      <c r="S14" s="138">
        <v>0</v>
      </c>
      <c r="T14" s="139"/>
      <c r="U14" s="140">
        <v>0</v>
      </c>
      <c r="V14" s="139"/>
      <c r="W14" s="141">
        <v>0</v>
      </c>
      <c r="X14" s="136" t="s">
        <v>173</v>
      </c>
      <c r="Y14" s="142">
        <v>0</v>
      </c>
      <c r="Z14" s="139"/>
      <c r="AA14" s="143">
        <v>0</v>
      </c>
      <c r="AB14" s="139"/>
      <c r="AC14" s="144">
        <f t="shared" si="1"/>
        <v>-2</v>
      </c>
      <c r="AD14" s="110"/>
      <c r="AE14" s="110" t="str">
        <f t="shared" si="2"/>
        <v>↓ Mildly Bearish</v>
      </c>
      <c r="AF14" s="110" t="str">
        <f t="shared" si="3"/>
        <v>Review sell price</v>
      </c>
      <c r="AG14" s="111"/>
    </row>
    <row r="15" spans="2:33" ht="25.5" customHeight="1" x14ac:dyDescent="0.25">
      <c r="B15" s="131">
        <v>9</v>
      </c>
      <c r="C15" s="132">
        <v>44984</v>
      </c>
      <c r="D15" s="133">
        <v>468</v>
      </c>
      <c r="E15" s="112" t="s">
        <v>178</v>
      </c>
      <c r="F15" s="134">
        <v>470.09</v>
      </c>
      <c r="G15" s="134">
        <v>478.77</v>
      </c>
      <c r="H15" s="134">
        <v>461.44</v>
      </c>
      <c r="I15" s="134">
        <f t="shared" si="0"/>
        <v>17.329999999999984</v>
      </c>
      <c r="J15" s="134">
        <v>467.18</v>
      </c>
      <c r="K15" s="134">
        <v>475.08</v>
      </c>
      <c r="L15" s="114">
        <f t="shared" si="4"/>
        <v>-2</v>
      </c>
      <c r="M15" s="118">
        <f t="shared" si="5"/>
        <v>-4.2553191489361703E-3</v>
      </c>
      <c r="N15" s="134">
        <f t="shared" si="6"/>
        <v>471.25</v>
      </c>
      <c r="O15" s="135">
        <v>-1</v>
      </c>
      <c r="P15" s="136" t="s">
        <v>704</v>
      </c>
      <c r="Q15" s="137">
        <v>-1</v>
      </c>
      <c r="R15" s="136" t="s">
        <v>178</v>
      </c>
      <c r="S15" s="138">
        <v>0</v>
      </c>
      <c r="T15" s="139"/>
      <c r="U15" s="140">
        <v>0</v>
      </c>
      <c r="V15" s="139"/>
      <c r="W15" s="141">
        <v>0</v>
      </c>
      <c r="X15" s="136" t="s">
        <v>178</v>
      </c>
      <c r="Y15" s="142">
        <v>0</v>
      </c>
      <c r="Z15" s="139"/>
      <c r="AA15" s="143">
        <v>0</v>
      </c>
      <c r="AB15" s="139"/>
      <c r="AC15" s="144">
        <f t="shared" si="1"/>
        <v>-2</v>
      </c>
      <c r="AD15" s="110"/>
      <c r="AE15" s="110" t="str">
        <f t="shared" si="2"/>
        <v>↓ Mildly Bearish</v>
      </c>
      <c r="AF15" s="110" t="str">
        <f t="shared" si="3"/>
        <v>Review sell price</v>
      </c>
      <c r="AG15" s="111"/>
    </row>
    <row r="16" spans="2:33" ht="25.5" customHeight="1" x14ac:dyDescent="0.25">
      <c r="B16" s="75">
        <v>10</v>
      </c>
      <c r="C16" s="145">
        <v>44991</v>
      </c>
      <c r="D16" s="133">
        <v>466</v>
      </c>
      <c r="E16" s="112" t="s">
        <v>183</v>
      </c>
      <c r="F16" s="134">
        <v>465.56</v>
      </c>
      <c r="G16" s="134">
        <v>473.05</v>
      </c>
      <c r="H16" s="134">
        <v>460.52</v>
      </c>
      <c r="I16" s="134">
        <f t="shared" si="0"/>
        <v>12.53000000000003</v>
      </c>
      <c r="J16" s="134">
        <v>466.61</v>
      </c>
      <c r="K16" s="134">
        <v>464.08</v>
      </c>
      <c r="L16" s="114">
        <f t="shared" si="4"/>
        <v>-2</v>
      </c>
      <c r="M16" s="118">
        <f t="shared" si="5"/>
        <v>-4.2735042735042739E-3</v>
      </c>
      <c r="N16" s="134">
        <f t="shared" si="6"/>
        <v>469</v>
      </c>
      <c r="O16" s="135">
        <v>-1</v>
      </c>
      <c r="P16" s="136" t="s">
        <v>705</v>
      </c>
      <c r="Q16" s="137">
        <v>-1</v>
      </c>
      <c r="R16" s="136" t="s">
        <v>183</v>
      </c>
      <c r="S16" s="138">
        <v>0</v>
      </c>
      <c r="T16" s="139"/>
      <c r="U16" s="140">
        <v>0</v>
      </c>
      <c r="V16" s="139"/>
      <c r="W16" s="141">
        <v>0</v>
      </c>
      <c r="X16" s="136" t="s">
        <v>183</v>
      </c>
      <c r="Y16" s="142">
        <v>0</v>
      </c>
      <c r="Z16" s="139"/>
      <c r="AA16" s="143">
        <v>0</v>
      </c>
      <c r="AB16" s="139"/>
      <c r="AC16" s="144">
        <f t="shared" si="1"/>
        <v>-2</v>
      </c>
      <c r="AD16" s="110"/>
      <c r="AE16" s="110" t="str">
        <f t="shared" si="2"/>
        <v>↓ Mildly Bearish</v>
      </c>
      <c r="AF16" s="110" t="str">
        <f t="shared" si="3"/>
        <v>Review sell price</v>
      </c>
      <c r="AG16" s="111"/>
    </row>
    <row r="17" spans="2:33" ht="25.5" customHeight="1" x14ac:dyDescent="0.25">
      <c r="B17" s="131">
        <v>11</v>
      </c>
      <c r="C17" s="132">
        <v>44998</v>
      </c>
      <c r="D17" s="133">
        <v>465</v>
      </c>
      <c r="E17" s="112" t="s">
        <v>188</v>
      </c>
      <c r="F17" s="134">
        <v>473.41</v>
      </c>
      <c r="G17" s="134">
        <v>485.34</v>
      </c>
      <c r="H17" s="134">
        <v>460.72</v>
      </c>
      <c r="I17" s="134">
        <f t="shared" si="0"/>
        <v>24.619999999999948</v>
      </c>
      <c r="J17" s="134">
        <v>479.46</v>
      </c>
      <c r="K17" s="134">
        <v>475.77</v>
      </c>
      <c r="L17" s="114">
        <f t="shared" si="4"/>
        <v>-1</v>
      </c>
      <c r="M17" s="118">
        <f t="shared" si="5"/>
        <v>-2.1459227467811159E-3</v>
      </c>
      <c r="N17" s="134">
        <f t="shared" si="6"/>
        <v>467.25</v>
      </c>
      <c r="O17" s="135">
        <v>-2</v>
      </c>
      <c r="P17" s="136" t="s">
        <v>706</v>
      </c>
      <c r="Q17" s="137">
        <v>-1</v>
      </c>
      <c r="R17" s="136" t="s">
        <v>188</v>
      </c>
      <c r="S17" s="138">
        <v>0</v>
      </c>
      <c r="T17" s="139"/>
      <c r="U17" s="140">
        <v>0</v>
      </c>
      <c r="V17" s="139"/>
      <c r="W17" s="141">
        <v>0</v>
      </c>
      <c r="X17" s="136" t="s">
        <v>188</v>
      </c>
      <c r="Y17" s="142">
        <v>0</v>
      </c>
      <c r="Z17" s="139"/>
      <c r="AA17" s="143">
        <v>0</v>
      </c>
      <c r="AB17" s="139"/>
      <c r="AC17" s="144">
        <f t="shared" si="1"/>
        <v>-3</v>
      </c>
      <c r="AD17" s="110"/>
      <c r="AE17" s="110" t="str">
        <f t="shared" si="2"/>
        <v>↓ Mildly Bearish</v>
      </c>
      <c r="AF17" s="110" t="str">
        <f t="shared" si="3"/>
        <v>Review sell price</v>
      </c>
      <c r="AG17" s="111"/>
    </row>
    <row r="18" spans="2:33" ht="25.5" customHeight="1" x14ac:dyDescent="0.25">
      <c r="B18" s="75">
        <v>12</v>
      </c>
      <c r="C18" s="145">
        <v>45005</v>
      </c>
      <c r="D18" s="133">
        <v>463</v>
      </c>
      <c r="E18" s="112" t="s">
        <v>193</v>
      </c>
      <c r="F18" s="134">
        <v>465.95</v>
      </c>
      <c r="G18" s="134">
        <v>475.84</v>
      </c>
      <c r="H18" s="134">
        <v>458.65</v>
      </c>
      <c r="I18" s="134">
        <f t="shared" si="0"/>
        <v>17.189999999999998</v>
      </c>
      <c r="J18" s="134">
        <v>465.54</v>
      </c>
      <c r="K18" s="134">
        <v>469.31</v>
      </c>
      <c r="L18" s="114">
        <f t="shared" si="4"/>
        <v>-2</v>
      </c>
      <c r="M18" s="118">
        <f t="shared" si="5"/>
        <v>-4.3010752688172043E-3</v>
      </c>
      <c r="N18" s="134">
        <f t="shared" si="6"/>
        <v>465.5</v>
      </c>
      <c r="O18" s="135">
        <v>-2</v>
      </c>
      <c r="P18" s="136" t="s">
        <v>707</v>
      </c>
      <c r="Q18" s="137">
        <v>0</v>
      </c>
      <c r="R18" s="136" t="s">
        <v>193</v>
      </c>
      <c r="S18" s="138">
        <v>0</v>
      </c>
      <c r="T18" s="139"/>
      <c r="U18" s="140">
        <v>0</v>
      </c>
      <c r="V18" s="139"/>
      <c r="W18" s="141">
        <v>0</v>
      </c>
      <c r="X18" s="136" t="s">
        <v>193</v>
      </c>
      <c r="Y18" s="142">
        <v>0</v>
      </c>
      <c r="Z18" s="139"/>
      <c r="AA18" s="143">
        <v>0</v>
      </c>
      <c r="AB18" s="139"/>
      <c r="AC18" s="144">
        <f t="shared" si="1"/>
        <v>-2</v>
      </c>
      <c r="AD18" s="110"/>
      <c r="AE18" s="110" t="str">
        <f t="shared" si="2"/>
        <v>↓ Mildly Bearish</v>
      </c>
      <c r="AF18" s="110" t="str">
        <f t="shared" si="3"/>
        <v>Review sell price</v>
      </c>
      <c r="AG18" s="111"/>
    </row>
    <row r="19" spans="2:33" ht="25.5" customHeight="1" x14ac:dyDescent="0.25">
      <c r="B19" s="131">
        <v>13</v>
      </c>
      <c r="C19" s="132">
        <v>45012</v>
      </c>
      <c r="D19" s="133">
        <v>461</v>
      </c>
      <c r="E19" s="112" t="s">
        <v>198</v>
      </c>
      <c r="F19" s="134">
        <v>468.38</v>
      </c>
      <c r="G19" s="134">
        <v>479.33</v>
      </c>
      <c r="H19" s="134">
        <v>457.93</v>
      </c>
      <c r="I19" s="134">
        <f t="shared" si="0"/>
        <v>21.399999999999977</v>
      </c>
      <c r="J19" s="134">
        <v>471.01</v>
      </c>
      <c r="K19" s="134">
        <v>473.14</v>
      </c>
      <c r="L19" s="114">
        <f t="shared" si="4"/>
        <v>-2</v>
      </c>
      <c r="M19" s="118">
        <f t="shared" si="5"/>
        <v>-4.3196544276457886E-3</v>
      </c>
      <c r="N19" s="134">
        <f t="shared" si="6"/>
        <v>463.75</v>
      </c>
      <c r="O19" s="135">
        <v>-1</v>
      </c>
      <c r="P19" s="136" t="s">
        <v>198</v>
      </c>
      <c r="Q19" s="137">
        <v>0</v>
      </c>
      <c r="R19" s="136" t="s">
        <v>198</v>
      </c>
      <c r="S19" s="138">
        <v>0</v>
      </c>
      <c r="T19" s="139"/>
      <c r="U19" s="140">
        <v>0</v>
      </c>
      <c r="V19" s="139"/>
      <c r="W19" s="141">
        <v>0</v>
      </c>
      <c r="X19" s="136" t="s">
        <v>198</v>
      </c>
      <c r="Y19" s="142">
        <v>0</v>
      </c>
      <c r="Z19" s="139"/>
      <c r="AA19" s="143">
        <v>0</v>
      </c>
      <c r="AB19" s="139"/>
      <c r="AC19" s="144">
        <f t="shared" si="1"/>
        <v>-1</v>
      </c>
      <c r="AD19" s="110"/>
      <c r="AE19" s="110" t="str">
        <f t="shared" si="2"/>
        <v>→ Neutral</v>
      </c>
      <c r="AF19" s="110" t="str">
        <f t="shared" si="3"/>
        <v>Hold</v>
      </c>
      <c r="AG19" s="111"/>
    </row>
    <row r="20" spans="2:33" ht="25.5" customHeight="1" x14ac:dyDescent="0.25">
      <c r="B20" s="75">
        <v>14</v>
      </c>
      <c r="C20" s="145">
        <v>45019</v>
      </c>
      <c r="D20" s="133">
        <v>460</v>
      </c>
      <c r="E20" s="112" t="s">
        <v>203</v>
      </c>
      <c r="F20" s="134">
        <v>459.84</v>
      </c>
      <c r="G20" s="134">
        <v>463.54</v>
      </c>
      <c r="H20" s="134">
        <v>452.35</v>
      </c>
      <c r="I20" s="134">
        <f t="shared" si="0"/>
        <v>11.189999999999998</v>
      </c>
      <c r="J20" s="134">
        <v>460.39</v>
      </c>
      <c r="K20" s="134">
        <v>459.14</v>
      </c>
      <c r="L20" s="114">
        <f t="shared" si="4"/>
        <v>-1</v>
      </c>
      <c r="M20" s="118">
        <f t="shared" si="5"/>
        <v>-2.1691973969631237E-3</v>
      </c>
      <c r="N20" s="134">
        <f t="shared" si="6"/>
        <v>462.25</v>
      </c>
      <c r="O20" s="135">
        <v>-1</v>
      </c>
      <c r="P20" s="136" t="s">
        <v>708</v>
      </c>
      <c r="Q20" s="137">
        <v>0</v>
      </c>
      <c r="R20" s="136" t="s">
        <v>203</v>
      </c>
      <c r="S20" s="138">
        <v>0</v>
      </c>
      <c r="T20" s="139"/>
      <c r="U20" s="140">
        <v>0</v>
      </c>
      <c r="V20" s="139"/>
      <c r="W20" s="141">
        <v>0</v>
      </c>
      <c r="X20" s="136" t="s">
        <v>203</v>
      </c>
      <c r="Y20" s="142">
        <v>0</v>
      </c>
      <c r="Z20" s="139"/>
      <c r="AA20" s="143">
        <v>0</v>
      </c>
      <c r="AB20" s="139"/>
      <c r="AC20" s="144">
        <f t="shared" si="1"/>
        <v>-1</v>
      </c>
      <c r="AD20" s="110"/>
      <c r="AE20" s="110" t="str">
        <f t="shared" si="2"/>
        <v>→ Neutral</v>
      </c>
      <c r="AF20" s="110" t="str">
        <f t="shared" si="3"/>
        <v>Hold</v>
      </c>
      <c r="AG20" s="111"/>
    </row>
    <row r="21" spans="2:33" ht="25.5" customHeight="1" x14ac:dyDescent="0.25">
      <c r="B21" s="131">
        <v>15</v>
      </c>
      <c r="C21" s="132">
        <v>45026</v>
      </c>
      <c r="D21" s="133">
        <v>458</v>
      </c>
      <c r="E21" s="112" t="s">
        <v>208</v>
      </c>
      <c r="F21" s="134">
        <v>462.38</v>
      </c>
      <c r="G21" s="134">
        <v>471.9</v>
      </c>
      <c r="H21" s="134">
        <v>451.29</v>
      </c>
      <c r="I21" s="134">
        <f t="shared" si="0"/>
        <v>20.609999999999957</v>
      </c>
      <c r="J21" s="134">
        <v>468.28</v>
      </c>
      <c r="K21" s="134">
        <v>460.87</v>
      </c>
      <c r="L21" s="114">
        <f t="shared" si="4"/>
        <v>-2</v>
      </c>
      <c r="M21" s="118">
        <f t="shared" si="5"/>
        <v>-4.3478260869565218E-3</v>
      </c>
      <c r="N21" s="134">
        <f t="shared" si="6"/>
        <v>460.5</v>
      </c>
      <c r="O21" s="135">
        <v>-1</v>
      </c>
      <c r="P21" s="136" t="s">
        <v>709</v>
      </c>
      <c r="Q21" s="137">
        <v>0</v>
      </c>
      <c r="R21" s="136" t="s">
        <v>208</v>
      </c>
      <c r="S21" s="138">
        <v>0</v>
      </c>
      <c r="T21" s="139"/>
      <c r="U21" s="140">
        <v>0</v>
      </c>
      <c r="V21" s="139"/>
      <c r="W21" s="141">
        <v>0</v>
      </c>
      <c r="X21" s="136" t="s">
        <v>208</v>
      </c>
      <c r="Y21" s="142">
        <v>1</v>
      </c>
      <c r="Z21" s="136" t="s">
        <v>709</v>
      </c>
      <c r="AA21" s="143">
        <v>0</v>
      </c>
      <c r="AB21" s="139"/>
      <c r="AC21" s="144">
        <f t="shared" si="1"/>
        <v>0</v>
      </c>
      <c r="AD21" s="110"/>
      <c r="AE21" s="110" t="str">
        <f t="shared" si="2"/>
        <v>→ Neutral</v>
      </c>
      <c r="AF21" s="110" t="str">
        <f t="shared" si="3"/>
        <v>Hold</v>
      </c>
      <c r="AG21" s="111"/>
    </row>
    <row r="22" spans="2:33" ht="25.5" customHeight="1" x14ac:dyDescent="0.25">
      <c r="B22" s="75">
        <v>16</v>
      </c>
      <c r="C22" s="145">
        <v>45033</v>
      </c>
      <c r="D22" s="133">
        <v>462</v>
      </c>
      <c r="E22" s="112" t="s">
        <v>213</v>
      </c>
      <c r="F22" s="134">
        <v>468.86</v>
      </c>
      <c r="G22" s="134">
        <v>484.5</v>
      </c>
      <c r="H22" s="134">
        <v>457.73</v>
      </c>
      <c r="I22" s="134">
        <f t="shared" si="0"/>
        <v>26.769999999999982</v>
      </c>
      <c r="J22" s="134">
        <v>478.68</v>
      </c>
      <c r="K22" s="134">
        <v>465.89</v>
      </c>
      <c r="L22" s="114">
        <f t="shared" si="4"/>
        <v>4</v>
      </c>
      <c r="M22" s="118">
        <f t="shared" si="5"/>
        <v>8.7336244541484712E-3</v>
      </c>
      <c r="N22" s="134">
        <f t="shared" si="6"/>
        <v>460.25</v>
      </c>
      <c r="O22" s="135">
        <v>0</v>
      </c>
      <c r="P22" s="139"/>
      <c r="Q22" s="137">
        <v>1</v>
      </c>
      <c r="R22" s="136" t="s">
        <v>213</v>
      </c>
      <c r="S22" s="138">
        <v>0</v>
      </c>
      <c r="T22" s="139"/>
      <c r="U22" s="140">
        <v>0</v>
      </c>
      <c r="V22" s="139"/>
      <c r="W22" s="141">
        <v>0</v>
      </c>
      <c r="X22" s="136" t="s">
        <v>213</v>
      </c>
      <c r="Y22" s="142">
        <v>0</v>
      </c>
      <c r="Z22" s="139"/>
      <c r="AA22" s="143">
        <v>0</v>
      </c>
      <c r="AB22" s="139"/>
      <c r="AC22" s="144">
        <f t="shared" si="1"/>
        <v>1</v>
      </c>
      <c r="AD22" s="110"/>
      <c r="AE22" s="110" t="str">
        <f t="shared" si="2"/>
        <v>→ Neutral</v>
      </c>
      <c r="AF22" s="110" t="str">
        <f t="shared" si="3"/>
        <v>Hold</v>
      </c>
      <c r="AG22" s="111"/>
    </row>
    <row r="23" spans="2:33" ht="25.5" customHeight="1" x14ac:dyDescent="0.25">
      <c r="B23" s="131">
        <v>17</v>
      </c>
      <c r="C23" s="132">
        <v>45040</v>
      </c>
      <c r="D23" s="133">
        <v>465</v>
      </c>
      <c r="E23" s="112" t="s">
        <v>218</v>
      </c>
      <c r="F23" s="134">
        <v>464.89</v>
      </c>
      <c r="G23" s="134">
        <v>470.72</v>
      </c>
      <c r="H23" s="134">
        <v>456.03</v>
      </c>
      <c r="I23" s="134">
        <f t="shared" si="0"/>
        <v>14.690000000000055</v>
      </c>
      <c r="J23" s="134">
        <v>462.59</v>
      </c>
      <c r="K23" s="134">
        <v>467.07</v>
      </c>
      <c r="L23" s="114">
        <f t="shared" si="4"/>
        <v>3</v>
      </c>
      <c r="M23" s="118">
        <f t="shared" si="5"/>
        <v>6.4935064935064939E-3</v>
      </c>
      <c r="N23" s="134">
        <f t="shared" si="6"/>
        <v>461.25</v>
      </c>
      <c r="O23" s="135">
        <v>0</v>
      </c>
      <c r="P23" s="139"/>
      <c r="Q23" s="137">
        <v>1</v>
      </c>
      <c r="R23" s="136" t="s">
        <v>218</v>
      </c>
      <c r="S23" s="138">
        <v>0</v>
      </c>
      <c r="T23" s="139"/>
      <c r="U23" s="140">
        <v>0</v>
      </c>
      <c r="V23" s="139"/>
      <c r="W23" s="141">
        <v>0</v>
      </c>
      <c r="X23" s="136" t="s">
        <v>218</v>
      </c>
      <c r="Y23" s="142">
        <v>0</v>
      </c>
      <c r="Z23" s="139"/>
      <c r="AA23" s="143">
        <v>0</v>
      </c>
      <c r="AB23" s="139"/>
      <c r="AC23" s="144">
        <f t="shared" si="1"/>
        <v>1</v>
      </c>
      <c r="AD23" s="110"/>
      <c r="AE23" s="110" t="str">
        <f t="shared" si="2"/>
        <v>→ Neutral</v>
      </c>
      <c r="AF23" s="110" t="str">
        <f t="shared" si="3"/>
        <v>Hold</v>
      </c>
      <c r="AG23" s="111"/>
    </row>
    <row r="24" spans="2:33" ht="25.5" customHeight="1" x14ac:dyDescent="0.25">
      <c r="B24" s="75">
        <v>18</v>
      </c>
      <c r="C24" s="145">
        <v>45047</v>
      </c>
      <c r="D24" s="133">
        <v>463</v>
      </c>
      <c r="E24" s="112" t="s">
        <v>223</v>
      </c>
      <c r="F24" s="134">
        <v>463.85</v>
      </c>
      <c r="G24" s="134">
        <v>471.62</v>
      </c>
      <c r="H24" s="134">
        <v>457.17</v>
      </c>
      <c r="I24" s="134">
        <f t="shared" si="0"/>
        <v>14.449999999999989</v>
      </c>
      <c r="J24" s="134">
        <v>462.66</v>
      </c>
      <c r="K24" s="134">
        <v>465.9</v>
      </c>
      <c r="L24" s="114">
        <f t="shared" si="4"/>
        <v>-2</v>
      </c>
      <c r="M24" s="118">
        <f t="shared" si="5"/>
        <v>-4.3010752688172043E-3</v>
      </c>
      <c r="N24" s="134">
        <f t="shared" si="6"/>
        <v>462</v>
      </c>
      <c r="O24" s="135">
        <v>0</v>
      </c>
      <c r="P24" s="139"/>
      <c r="Q24" s="137">
        <v>0</v>
      </c>
      <c r="R24" s="136" t="s">
        <v>223</v>
      </c>
      <c r="S24" s="138">
        <v>0</v>
      </c>
      <c r="T24" s="139"/>
      <c r="U24" s="140">
        <v>0</v>
      </c>
      <c r="V24" s="139"/>
      <c r="W24" s="141">
        <v>0</v>
      </c>
      <c r="X24" s="136" t="s">
        <v>223</v>
      </c>
      <c r="Y24" s="142">
        <v>0</v>
      </c>
      <c r="Z24" s="139"/>
      <c r="AA24" s="143">
        <v>0</v>
      </c>
      <c r="AB24" s="139"/>
      <c r="AC24" s="144">
        <f t="shared" si="1"/>
        <v>0</v>
      </c>
      <c r="AD24" s="110"/>
      <c r="AE24" s="110" t="str">
        <f t="shared" si="2"/>
        <v>→ Neutral</v>
      </c>
      <c r="AF24" s="110" t="str">
        <f t="shared" si="3"/>
        <v>Hold</v>
      </c>
      <c r="AG24" s="111"/>
    </row>
    <row r="25" spans="2:33" ht="25.5" customHeight="1" x14ac:dyDescent="0.25">
      <c r="B25" s="131">
        <v>19</v>
      </c>
      <c r="C25" s="132">
        <v>45054</v>
      </c>
      <c r="D25" s="133">
        <v>461</v>
      </c>
      <c r="E25" s="112" t="s">
        <v>228</v>
      </c>
      <c r="F25" s="134">
        <v>462.91</v>
      </c>
      <c r="G25" s="134">
        <v>472.98</v>
      </c>
      <c r="H25" s="134">
        <v>453.01</v>
      </c>
      <c r="I25" s="134">
        <f t="shared" si="0"/>
        <v>19.970000000000027</v>
      </c>
      <c r="J25" s="134">
        <v>459.59</v>
      </c>
      <c r="K25" s="134">
        <v>468.13</v>
      </c>
      <c r="L25" s="114">
        <f t="shared" si="4"/>
        <v>-2</v>
      </c>
      <c r="M25" s="118">
        <f t="shared" si="5"/>
        <v>-4.3196544276457886E-3</v>
      </c>
      <c r="N25" s="134">
        <f t="shared" si="6"/>
        <v>462.75</v>
      </c>
      <c r="O25" s="135">
        <v>-1</v>
      </c>
      <c r="P25" s="136" t="s">
        <v>710</v>
      </c>
      <c r="Q25" s="137">
        <v>0</v>
      </c>
      <c r="R25" s="136" t="s">
        <v>228</v>
      </c>
      <c r="S25" s="138">
        <v>0</v>
      </c>
      <c r="T25" s="139"/>
      <c r="U25" s="140">
        <v>0</v>
      </c>
      <c r="V25" s="139"/>
      <c r="W25" s="141">
        <v>0</v>
      </c>
      <c r="X25" s="136" t="s">
        <v>228</v>
      </c>
      <c r="Y25" s="142">
        <v>0</v>
      </c>
      <c r="Z25" s="139"/>
      <c r="AA25" s="143">
        <v>0</v>
      </c>
      <c r="AB25" s="139"/>
      <c r="AC25" s="144">
        <f t="shared" si="1"/>
        <v>-1</v>
      </c>
      <c r="AD25" s="110"/>
      <c r="AE25" s="110" t="str">
        <f t="shared" si="2"/>
        <v>→ Neutral</v>
      </c>
      <c r="AF25" s="110" t="str">
        <f t="shared" si="3"/>
        <v>Hold</v>
      </c>
      <c r="AG25" s="111"/>
    </row>
    <row r="26" spans="2:33" ht="25.5" customHeight="1" x14ac:dyDescent="0.25">
      <c r="B26" s="75">
        <v>20</v>
      </c>
      <c r="C26" s="145">
        <v>45061</v>
      </c>
      <c r="D26" s="133">
        <v>460</v>
      </c>
      <c r="E26" s="112" t="s">
        <v>233</v>
      </c>
      <c r="F26" s="134">
        <v>470.15</v>
      </c>
      <c r="G26" s="134">
        <v>484.82</v>
      </c>
      <c r="H26" s="134">
        <v>455.12</v>
      </c>
      <c r="I26" s="134">
        <f t="shared" si="0"/>
        <v>29.699999999999989</v>
      </c>
      <c r="J26" s="134">
        <v>477.88</v>
      </c>
      <c r="K26" s="134">
        <v>472.58</v>
      </c>
      <c r="L26" s="114">
        <f t="shared" si="4"/>
        <v>-1</v>
      </c>
      <c r="M26" s="118">
        <f t="shared" si="5"/>
        <v>-2.1691973969631237E-3</v>
      </c>
      <c r="N26" s="134">
        <f t="shared" si="6"/>
        <v>462.25</v>
      </c>
      <c r="O26" s="135">
        <v>-1</v>
      </c>
      <c r="P26" s="136" t="s">
        <v>711</v>
      </c>
      <c r="Q26" s="137">
        <v>0</v>
      </c>
      <c r="R26" s="136" t="s">
        <v>233</v>
      </c>
      <c r="S26" s="138">
        <v>0</v>
      </c>
      <c r="T26" s="139"/>
      <c r="U26" s="140">
        <v>0</v>
      </c>
      <c r="V26" s="139"/>
      <c r="W26" s="141">
        <v>0</v>
      </c>
      <c r="X26" s="136" t="s">
        <v>233</v>
      </c>
      <c r="Y26" s="142">
        <v>0</v>
      </c>
      <c r="Z26" s="139"/>
      <c r="AA26" s="143">
        <v>0</v>
      </c>
      <c r="AB26" s="139"/>
      <c r="AC26" s="144">
        <f t="shared" si="1"/>
        <v>-1</v>
      </c>
      <c r="AD26" s="110"/>
      <c r="AE26" s="110" t="str">
        <f t="shared" si="2"/>
        <v>→ Neutral</v>
      </c>
      <c r="AF26" s="110" t="str">
        <f t="shared" si="3"/>
        <v>Hold</v>
      </c>
      <c r="AG26" s="111"/>
    </row>
    <row r="27" spans="2:33" ht="25.5" customHeight="1" x14ac:dyDescent="0.25">
      <c r="B27" s="131">
        <v>21</v>
      </c>
      <c r="C27" s="132">
        <v>45068</v>
      </c>
      <c r="D27" s="133">
        <v>462</v>
      </c>
      <c r="E27" s="112" t="s">
        <v>238</v>
      </c>
      <c r="F27" s="134">
        <v>463</v>
      </c>
      <c r="G27" s="134">
        <v>470.71</v>
      </c>
      <c r="H27" s="134">
        <v>452.45</v>
      </c>
      <c r="I27" s="134">
        <f t="shared" si="0"/>
        <v>18.259999999999991</v>
      </c>
      <c r="J27" s="134">
        <v>458.69</v>
      </c>
      <c r="K27" s="134">
        <v>468.3</v>
      </c>
      <c r="L27" s="114">
        <f t="shared" si="4"/>
        <v>2</v>
      </c>
      <c r="M27" s="118">
        <f t="shared" si="5"/>
        <v>4.3478260869565218E-3</v>
      </c>
      <c r="N27" s="134">
        <f t="shared" si="6"/>
        <v>461.5</v>
      </c>
      <c r="O27" s="135">
        <v>0</v>
      </c>
      <c r="P27" s="139"/>
      <c r="Q27" s="137">
        <v>0</v>
      </c>
      <c r="R27" s="136" t="s">
        <v>238</v>
      </c>
      <c r="S27" s="138">
        <v>1</v>
      </c>
      <c r="T27" s="136" t="s">
        <v>712</v>
      </c>
      <c r="U27" s="140">
        <v>0</v>
      </c>
      <c r="V27" s="139"/>
      <c r="W27" s="141">
        <v>0</v>
      </c>
      <c r="X27" s="136" t="s">
        <v>238</v>
      </c>
      <c r="Y27" s="142">
        <v>0</v>
      </c>
      <c r="Z27" s="139"/>
      <c r="AA27" s="143">
        <v>0</v>
      </c>
      <c r="AB27" s="139"/>
      <c r="AC27" s="144">
        <f t="shared" si="1"/>
        <v>1</v>
      </c>
      <c r="AD27" s="110"/>
      <c r="AE27" s="110" t="str">
        <f t="shared" si="2"/>
        <v>→ Neutral</v>
      </c>
      <c r="AF27" s="110" t="str">
        <f t="shared" si="3"/>
        <v>Hold</v>
      </c>
      <c r="AG27" s="111"/>
    </row>
    <row r="28" spans="2:33" ht="25.5" customHeight="1" x14ac:dyDescent="0.25">
      <c r="B28" s="75">
        <v>22</v>
      </c>
      <c r="C28" s="145">
        <v>45075</v>
      </c>
      <c r="D28" s="133">
        <v>465</v>
      </c>
      <c r="E28" s="112" t="s">
        <v>243</v>
      </c>
      <c r="F28" s="134">
        <v>467.14</v>
      </c>
      <c r="G28" s="134">
        <v>479.74</v>
      </c>
      <c r="H28" s="134">
        <v>456.68</v>
      </c>
      <c r="I28" s="134">
        <f t="shared" si="0"/>
        <v>23.060000000000002</v>
      </c>
      <c r="J28" s="134">
        <v>462.93</v>
      </c>
      <c r="K28" s="134">
        <v>473.49</v>
      </c>
      <c r="L28" s="114">
        <f t="shared" si="4"/>
        <v>3</v>
      </c>
      <c r="M28" s="118">
        <f t="shared" si="5"/>
        <v>6.4935064935064939E-3</v>
      </c>
      <c r="N28" s="134">
        <f t="shared" si="6"/>
        <v>462</v>
      </c>
      <c r="O28" s="135">
        <v>0</v>
      </c>
      <c r="P28" s="139"/>
      <c r="Q28" s="137">
        <v>0</v>
      </c>
      <c r="R28" s="136" t="s">
        <v>243</v>
      </c>
      <c r="S28" s="138">
        <v>1</v>
      </c>
      <c r="T28" s="136" t="s">
        <v>713</v>
      </c>
      <c r="U28" s="140">
        <v>0</v>
      </c>
      <c r="V28" s="139"/>
      <c r="W28" s="141">
        <v>0</v>
      </c>
      <c r="X28" s="136" t="s">
        <v>243</v>
      </c>
      <c r="Y28" s="142">
        <v>0</v>
      </c>
      <c r="Z28" s="139"/>
      <c r="AA28" s="143">
        <v>0</v>
      </c>
      <c r="AB28" s="139"/>
      <c r="AC28" s="144">
        <f t="shared" si="1"/>
        <v>1</v>
      </c>
      <c r="AD28" s="110"/>
      <c r="AE28" s="110" t="str">
        <f t="shared" si="2"/>
        <v>→ Neutral</v>
      </c>
      <c r="AF28" s="110" t="str">
        <f t="shared" si="3"/>
        <v>Hold</v>
      </c>
      <c r="AG28" s="111"/>
    </row>
    <row r="29" spans="2:33" ht="25.5" customHeight="1" x14ac:dyDescent="0.25">
      <c r="B29" s="131">
        <v>23</v>
      </c>
      <c r="C29" s="132">
        <v>45082</v>
      </c>
      <c r="D29" s="133">
        <v>463</v>
      </c>
      <c r="E29" s="112" t="s">
        <v>248</v>
      </c>
      <c r="F29" s="134">
        <v>465.2</v>
      </c>
      <c r="G29" s="134">
        <v>479.38</v>
      </c>
      <c r="H29" s="134">
        <v>451.93</v>
      </c>
      <c r="I29" s="134">
        <f t="shared" si="0"/>
        <v>27.449999999999989</v>
      </c>
      <c r="J29" s="134">
        <v>475.08</v>
      </c>
      <c r="K29" s="134">
        <v>457.52</v>
      </c>
      <c r="L29" s="114">
        <f t="shared" si="4"/>
        <v>-2</v>
      </c>
      <c r="M29" s="118">
        <f t="shared" si="5"/>
        <v>-4.3010752688172043E-3</v>
      </c>
      <c r="N29" s="134">
        <f t="shared" si="6"/>
        <v>462.5</v>
      </c>
      <c r="O29" s="135">
        <v>-1</v>
      </c>
      <c r="P29" s="136" t="s">
        <v>714</v>
      </c>
      <c r="Q29" s="137">
        <v>0</v>
      </c>
      <c r="R29" s="136" t="s">
        <v>248</v>
      </c>
      <c r="S29" s="138">
        <v>1</v>
      </c>
      <c r="T29" s="136" t="s">
        <v>714</v>
      </c>
      <c r="U29" s="140">
        <v>0</v>
      </c>
      <c r="V29" s="139"/>
      <c r="W29" s="141">
        <v>0</v>
      </c>
      <c r="X29" s="136" t="s">
        <v>248</v>
      </c>
      <c r="Y29" s="142">
        <v>0</v>
      </c>
      <c r="Z29" s="139"/>
      <c r="AA29" s="143">
        <v>0</v>
      </c>
      <c r="AB29" s="139"/>
      <c r="AC29" s="144">
        <f t="shared" si="1"/>
        <v>0</v>
      </c>
      <c r="AD29" s="110"/>
      <c r="AE29" s="110" t="str">
        <f t="shared" si="2"/>
        <v>→ Neutral</v>
      </c>
      <c r="AF29" s="110" t="str">
        <f t="shared" si="3"/>
        <v>Hold</v>
      </c>
      <c r="AG29" s="111"/>
    </row>
    <row r="30" spans="2:33" ht="25.5" customHeight="1" x14ac:dyDescent="0.25">
      <c r="B30" s="75">
        <v>24</v>
      </c>
      <c r="C30" s="145">
        <v>45089</v>
      </c>
      <c r="D30" s="133">
        <v>460</v>
      </c>
      <c r="E30" s="112" t="s">
        <v>253</v>
      </c>
      <c r="F30" s="134">
        <v>463.4</v>
      </c>
      <c r="G30" s="134">
        <v>475.36</v>
      </c>
      <c r="H30" s="134">
        <v>456.65</v>
      </c>
      <c r="I30" s="134">
        <f t="shared" si="0"/>
        <v>18.710000000000036</v>
      </c>
      <c r="J30" s="134">
        <v>469.46</v>
      </c>
      <c r="K30" s="134">
        <v>460.73</v>
      </c>
      <c r="L30" s="114">
        <f t="shared" si="4"/>
        <v>-3</v>
      </c>
      <c r="M30" s="118">
        <f t="shared" si="5"/>
        <v>-6.4794816414686825E-3</v>
      </c>
      <c r="N30" s="134">
        <f t="shared" si="6"/>
        <v>462.5</v>
      </c>
      <c r="O30" s="135">
        <v>-1</v>
      </c>
      <c r="P30" s="136" t="s">
        <v>715</v>
      </c>
      <c r="Q30" s="137">
        <v>0</v>
      </c>
      <c r="R30" s="136" t="s">
        <v>253</v>
      </c>
      <c r="S30" s="138">
        <v>0</v>
      </c>
      <c r="T30" s="139"/>
      <c r="U30" s="140">
        <v>0</v>
      </c>
      <c r="V30" s="139"/>
      <c r="W30" s="141">
        <v>0</v>
      </c>
      <c r="X30" s="136" t="s">
        <v>253</v>
      </c>
      <c r="Y30" s="142">
        <v>0</v>
      </c>
      <c r="Z30" s="139"/>
      <c r="AA30" s="143">
        <v>0</v>
      </c>
      <c r="AB30" s="139"/>
      <c r="AC30" s="144">
        <f t="shared" si="1"/>
        <v>-1</v>
      </c>
      <c r="AD30" s="110"/>
      <c r="AE30" s="110" t="str">
        <f t="shared" si="2"/>
        <v>→ Neutral</v>
      </c>
      <c r="AF30" s="110" t="str">
        <f t="shared" si="3"/>
        <v>Hold</v>
      </c>
      <c r="AG30" s="111"/>
    </row>
    <row r="31" spans="2:33" ht="25.5" customHeight="1" x14ac:dyDescent="0.25">
      <c r="B31" s="131">
        <v>25</v>
      </c>
      <c r="C31" s="132">
        <v>45096</v>
      </c>
      <c r="D31" s="133">
        <v>458</v>
      </c>
      <c r="E31" s="112" t="s">
        <v>258</v>
      </c>
      <c r="F31" s="134">
        <v>461.53</v>
      </c>
      <c r="G31" s="134">
        <v>479.64</v>
      </c>
      <c r="H31" s="134">
        <v>448.38</v>
      </c>
      <c r="I31" s="134">
        <f t="shared" si="0"/>
        <v>31.259999999999991</v>
      </c>
      <c r="J31" s="134">
        <v>474.32</v>
      </c>
      <c r="K31" s="134">
        <v>452.26</v>
      </c>
      <c r="L31" s="114">
        <f t="shared" si="4"/>
        <v>-2</v>
      </c>
      <c r="M31" s="118">
        <f t="shared" si="5"/>
        <v>-4.3478260869565218E-3</v>
      </c>
      <c r="N31" s="134">
        <f t="shared" si="6"/>
        <v>461.5</v>
      </c>
      <c r="O31" s="135">
        <v>-1</v>
      </c>
      <c r="P31" s="136" t="s">
        <v>716</v>
      </c>
      <c r="Q31" s="137">
        <v>-1</v>
      </c>
      <c r="R31" s="136" t="s">
        <v>258</v>
      </c>
      <c r="S31" s="138">
        <v>0</v>
      </c>
      <c r="T31" s="139"/>
      <c r="U31" s="140">
        <v>0</v>
      </c>
      <c r="V31" s="139"/>
      <c r="W31" s="141">
        <v>0</v>
      </c>
      <c r="X31" s="136" t="s">
        <v>258</v>
      </c>
      <c r="Y31" s="142">
        <v>0</v>
      </c>
      <c r="Z31" s="139"/>
      <c r="AA31" s="143">
        <v>0</v>
      </c>
      <c r="AB31" s="139"/>
      <c r="AC31" s="144">
        <f t="shared" si="1"/>
        <v>-2</v>
      </c>
      <c r="AD31" s="110"/>
      <c r="AE31" s="110" t="str">
        <f t="shared" si="2"/>
        <v>↓ Mildly Bearish</v>
      </c>
      <c r="AF31" s="110" t="str">
        <f t="shared" si="3"/>
        <v>Review sell price</v>
      </c>
      <c r="AG31" s="111"/>
    </row>
    <row r="32" spans="2:33" ht="25.5" customHeight="1" x14ac:dyDescent="0.25">
      <c r="B32" s="75">
        <v>26</v>
      </c>
      <c r="C32" s="145">
        <v>45103</v>
      </c>
      <c r="D32" s="133">
        <v>462</v>
      </c>
      <c r="E32" s="112" t="s">
        <v>263</v>
      </c>
      <c r="F32" s="134">
        <v>463.76</v>
      </c>
      <c r="G32" s="134">
        <v>470.12</v>
      </c>
      <c r="H32" s="134">
        <v>456.43</v>
      </c>
      <c r="I32" s="134">
        <f t="shared" si="0"/>
        <v>13.689999999999998</v>
      </c>
      <c r="J32" s="134">
        <v>465.6</v>
      </c>
      <c r="K32" s="134">
        <v>463.68</v>
      </c>
      <c r="L32" s="114">
        <f t="shared" si="4"/>
        <v>4</v>
      </c>
      <c r="M32" s="118">
        <f t="shared" si="5"/>
        <v>8.7336244541484712E-3</v>
      </c>
      <c r="N32" s="134">
        <f t="shared" si="6"/>
        <v>460.75</v>
      </c>
      <c r="O32" s="135">
        <v>0</v>
      </c>
      <c r="P32" s="139"/>
      <c r="Q32" s="137">
        <v>0</v>
      </c>
      <c r="R32" s="136" t="s">
        <v>263</v>
      </c>
      <c r="S32" s="138">
        <v>0</v>
      </c>
      <c r="T32" s="139"/>
      <c r="U32" s="140">
        <v>0</v>
      </c>
      <c r="V32" s="139"/>
      <c r="W32" s="141">
        <v>0</v>
      </c>
      <c r="X32" s="136" t="s">
        <v>263</v>
      </c>
      <c r="Y32" s="142">
        <v>0</v>
      </c>
      <c r="Z32" s="139"/>
      <c r="AA32" s="143">
        <v>0</v>
      </c>
      <c r="AB32" s="139"/>
      <c r="AC32" s="144">
        <f t="shared" si="1"/>
        <v>0</v>
      </c>
      <c r="AD32" s="110"/>
      <c r="AE32" s="110" t="str">
        <f t="shared" si="2"/>
        <v>→ Neutral</v>
      </c>
      <c r="AF32" s="110" t="str">
        <f t="shared" si="3"/>
        <v>Hold</v>
      </c>
      <c r="AG32" s="111"/>
    </row>
    <row r="33" spans="2:33" ht="25.5" customHeight="1" x14ac:dyDescent="0.25">
      <c r="B33" s="131">
        <v>27</v>
      </c>
      <c r="C33" s="132">
        <v>45110</v>
      </c>
      <c r="D33" s="133">
        <v>465</v>
      </c>
      <c r="E33" s="112" t="s">
        <v>268</v>
      </c>
      <c r="F33" s="134">
        <v>470.99</v>
      </c>
      <c r="G33" s="134">
        <v>486.09</v>
      </c>
      <c r="H33" s="134">
        <v>458.66</v>
      </c>
      <c r="I33" s="134">
        <f t="shared" si="0"/>
        <v>27.42999999999995</v>
      </c>
      <c r="J33" s="134">
        <v>467.19</v>
      </c>
      <c r="K33" s="134">
        <v>480.78</v>
      </c>
      <c r="L33" s="114">
        <f t="shared" si="4"/>
        <v>3</v>
      </c>
      <c r="M33" s="118">
        <f t="shared" si="5"/>
        <v>6.4935064935064939E-3</v>
      </c>
      <c r="N33" s="134">
        <f t="shared" si="6"/>
        <v>461.25</v>
      </c>
      <c r="O33" s="135">
        <v>0</v>
      </c>
      <c r="P33" s="139"/>
      <c r="Q33" s="137">
        <v>0</v>
      </c>
      <c r="R33" s="136" t="s">
        <v>268</v>
      </c>
      <c r="S33" s="138">
        <v>0</v>
      </c>
      <c r="T33" s="139"/>
      <c r="U33" s="140">
        <v>0</v>
      </c>
      <c r="V33" s="139"/>
      <c r="W33" s="141">
        <v>0</v>
      </c>
      <c r="X33" s="136" t="s">
        <v>268</v>
      </c>
      <c r="Y33" s="142">
        <v>0</v>
      </c>
      <c r="Z33" s="139"/>
      <c r="AA33" s="143">
        <v>0</v>
      </c>
      <c r="AB33" s="139"/>
      <c r="AC33" s="144">
        <f t="shared" si="1"/>
        <v>0</v>
      </c>
      <c r="AD33" s="110"/>
      <c r="AE33" s="110" t="str">
        <f t="shared" si="2"/>
        <v>→ Neutral</v>
      </c>
      <c r="AF33" s="110" t="str">
        <f t="shared" si="3"/>
        <v>Hold</v>
      </c>
      <c r="AG33" s="111"/>
    </row>
    <row r="34" spans="2:33" ht="25.5" customHeight="1" x14ac:dyDescent="0.25">
      <c r="B34" s="75">
        <v>28</v>
      </c>
      <c r="C34" s="145">
        <v>45117</v>
      </c>
      <c r="D34" s="133">
        <v>468</v>
      </c>
      <c r="E34" s="112" t="s">
        <v>273</v>
      </c>
      <c r="F34" s="134">
        <v>474.3</v>
      </c>
      <c r="G34" s="134">
        <v>486.04</v>
      </c>
      <c r="H34" s="134">
        <v>463.76</v>
      </c>
      <c r="I34" s="134">
        <f t="shared" si="0"/>
        <v>22.28000000000003</v>
      </c>
      <c r="J34" s="134">
        <v>482.93</v>
      </c>
      <c r="K34" s="134">
        <v>471.97</v>
      </c>
      <c r="L34" s="114">
        <f t="shared" si="4"/>
        <v>3</v>
      </c>
      <c r="M34" s="118">
        <f t="shared" si="5"/>
        <v>6.4516129032258064E-3</v>
      </c>
      <c r="N34" s="134">
        <f t="shared" si="6"/>
        <v>463.25</v>
      </c>
      <c r="O34" s="135">
        <v>0</v>
      </c>
      <c r="P34" s="139"/>
      <c r="Q34" s="137">
        <v>1</v>
      </c>
      <c r="R34" s="136" t="s">
        <v>273</v>
      </c>
      <c r="S34" s="138">
        <v>0</v>
      </c>
      <c r="T34" s="139"/>
      <c r="U34" s="140">
        <v>0</v>
      </c>
      <c r="V34" s="139"/>
      <c r="W34" s="141">
        <v>0</v>
      </c>
      <c r="X34" s="136" t="s">
        <v>273</v>
      </c>
      <c r="Y34" s="142">
        <v>0</v>
      </c>
      <c r="Z34" s="139"/>
      <c r="AA34" s="143">
        <v>0</v>
      </c>
      <c r="AB34" s="139"/>
      <c r="AC34" s="144">
        <f t="shared" si="1"/>
        <v>1</v>
      </c>
      <c r="AD34" s="110"/>
      <c r="AE34" s="110" t="str">
        <f t="shared" si="2"/>
        <v>→ Neutral</v>
      </c>
      <c r="AF34" s="110" t="str">
        <f t="shared" si="3"/>
        <v>Hold</v>
      </c>
      <c r="AG34" s="111"/>
    </row>
    <row r="35" spans="2:33" ht="25.5" customHeight="1" x14ac:dyDescent="0.25">
      <c r="B35" s="131">
        <v>29</v>
      </c>
      <c r="C35" s="132">
        <v>45124</v>
      </c>
      <c r="D35" s="133">
        <v>472</v>
      </c>
      <c r="E35" s="112" t="s">
        <v>278</v>
      </c>
      <c r="F35" s="134">
        <v>476.16</v>
      </c>
      <c r="G35" s="134">
        <v>487.54</v>
      </c>
      <c r="H35" s="134">
        <v>465.86</v>
      </c>
      <c r="I35" s="134">
        <f t="shared" si="0"/>
        <v>21.680000000000007</v>
      </c>
      <c r="J35" s="134">
        <v>484.51</v>
      </c>
      <c r="K35" s="134">
        <v>471.97</v>
      </c>
      <c r="L35" s="114">
        <f t="shared" si="4"/>
        <v>4</v>
      </c>
      <c r="M35" s="118">
        <f t="shared" si="5"/>
        <v>8.5470085470085479E-3</v>
      </c>
      <c r="N35" s="134">
        <f t="shared" si="6"/>
        <v>466.75</v>
      </c>
      <c r="O35" s="135">
        <v>1</v>
      </c>
      <c r="P35" s="136" t="s">
        <v>717</v>
      </c>
      <c r="Q35" s="137">
        <v>1</v>
      </c>
      <c r="R35" s="136" t="s">
        <v>718</v>
      </c>
      <c r="S35" s="138">
        <v>0</v>
      </c>
      <c r="T35" s="139"/>
      <c r="U35" s="140">
        <v>0</v>
      </c>
      <c r="V35" s="139"/>
      <c r="W35" s="141">
        <v>0</v>
      </c>
      <c r="X35" s="136" t="s">
        <v>718</v>
      </c>
      <c r="Y35" s="142">
        <v>0</v>
      </c>
      <c r="Z35" s="139"/>
      <c r="AA35" s="143">
        <v>0</v>
      </c>
      <c r="AB35" s="139"/>
      <c r="AC35" s="144">
        <f t="shared" si="1"/>
        <v>2</v>
      </c>
      <c r="AD35" s="110"/>
      <c r="AE35" s="110" t="str">
        <f t="shared" si="2"/>
        <v>↑ Mildly Bullish</v>
      </c>
      <c r="AF35" s="110" t="str">
        <f t="shared" si="3"/>
        <v>Consider stock-in</v>
      </c>
      <c r="AG35" s="111"/>
    </row>
    <row r="36" spans="2:33" ht="25.5" customHeight="1" x14ac:dyDescent="0.25">
      <c r="B36" s="75">
        <v>30</v>
      </c>
      <c r="C36" s="145">
        <v>45131</v>
      </c>
      <c r="D36" s="133">
        <v>475</v>
      </c>
      <c r="E36" s="112" t="s">
        <v>283</v>
      </c>
      <c r="F36" s="134">
        <v>478.28</v>
      </c>
      <c r="G36" s="134">
        <v>485.12</v>
      </c>
      <c r="H36" s="134">
        <v>468.45</v>
      </c>
      <c r="I36" s="134">
        <f t="shared" si="0"/>
        <v>16.670000000000016</v>
      </c>
      <c r="J36" s="134">
        <v>479.73</v>
      </c>
      <c r="K36" s="134">
        <v>480.12</v>
      </c>
      <c r="L36" s="114">
        <f t="shared" si="4"/>
        <v>3</v>
      </c>
      <c r="M36" s="118">
        <f t="shared" si="5"/>
        <v>6.3559322033898309E-3</v>
      </c>
      <c r="N36" s="134">
        <f t="shared" si="6"/>
        <v>470</v>
      </c>
      <c r="O36" s="135">
        <v>1</v>
      </c>
      <c r="P36" s="136" t="s">
        <v>719</v>
      </c>
      <c r="Q36" s="137">
        <v>1</v>
      </c>
      <c r="R36" s="136" t="s">
        <v>283</v>
      </c>
      <c r="S36" s="138">
        <v>1</v>
      </c>
      <c r="T36" s="136" t="s">
        <v>719</v>
      </c>
      <c r="U36" s="140">
        <v>0</v>
      </c>
      <c r="V36" s="139"/>
      <c r="W36" s="141">
        <v>0</v>
      </c>
      <c r="X36" s="136" t="s">
        <v>283</v>
      </c>
      <c r="Y36" s="142">
        <v>0</v>
      </c>
      <c r="Z36" s="139"/>
      <c r="AA36" s="143">
        <v>0</v>
      </c>
      <c r="AB36" s="139"/>
      <c r="AC36" s="144">
        <f t="shared" si="1"/>
        <v>3</v>
      </c>
      <c r="AD36" s="110"/>
      <c r="AE36" s="110" t="str">
        <f t="shared" si="2"/>
        <v>↑ Mildly Bullish</v>
      </c>
      <c r="AF36" s="110" t="str">
        <f t="shared" si="3"/>
        <v>Consider stock-in</v>
      </c>
      <c r="AG36" s="111"/>
    </row>
    <row r="37" spans="2:33" ht="25.5" customHeight="1" x14ac:dyDescent="0.25">
      <c r="B37" s="131">
        <v>31</v>
      </c>
      <c r="C37" s="132">
        <v>45138</v>
      </c>
      <c r="D37" s="133">
        <v>478</v>
      </c>
      <c r="E37" s="112" t="s">
        <v>288</v>
      </c>
      <c r="F37" s="134">
        <v>482.5</v>
      </c>
      <c r="G37" s="134">
        <v>493.63</v>
      </c>
      <c r="H37" s="134">
        <v>473.18</v>
      </c>
      <c r="I37" s="134">
        <f t="shared" si="0"/>
        <v>20.449999999999989</v>
      </c>
      <c r="J37" s="134">
        <v>486.38</v>
      </c>
      <c r="K37" s="134">
        <v>483.13</v>
      </c>
      <c r="L37" s="114">
        <f t="shared" si="4"/>
        <v>3</v>
      </c>
      <c r="M37" s="118">
        <f t="shared" si="5"/>
        <v>6.3157894736842104E-3</v>
      </c>
      <c r="N37" s="134">
        <f t="shared" si="6"/>
        <v>473.25</v>
      </c>
      <c r="O37" s="135">
        <v>0</v>
      </c>
      <c r="P37" s="139"/>
      <c r="Q37" s="137">
        <v>1</v>
      </c>
      <c r="R37" s="136" t="s">
        <v>288</v>
      </c>
      <c r="S37" s="138">
        <v>1</v>
      </c>
      <c r="T37" s="136" t="s">
        <v>720</v>
      </c>
      <c r="U37" s="140">
        <v>0</v>
      </c>
      <c r="V37" s="139"/>
      <c r="W37" s="141">
        <v>0</v>
      </c>
      <c r="X37" s="136" t="s">
        <v>288</v>
      </c>
      <c r="Y37" s="142">
        <v>0</v>
      </c>
      <c r="Z37" s="139"/>
      <c r="AA37" s="143">
        <v>0</v>
      </c>
      <c r="AB37" s="139"/>
      <c r="AC37" s="144">
        <f t="shared" si="1"/>
        <v>2</v>
      </c>
      <c r="AD37" s="110"/>
      <c r="AE37" s="110" t="str">
        <f t="shared" si="2"/>
        <v>↑ Mildly Bullish</v>
      </c>
      <c r="AF37" s="110" t="str">
        <f t="shared" si="3"/>
        <v>Consider stock-in</v>
      </c>
      <c r="AG37" s="111"/>
    </row>
    <row r="38" spans="2:33" ht="25.5" customHeight="1" x14ac:dyDescent="0.25">
      <c r="B38" s="75">
        <v>32</v>
      </c>
      <c r="C38" s="145">
        <v>45145</v>
      </c>
      <c r="D38" s="133">
        <v>480</v>
      </c>
      <c r="E38" s="112" t="s">
        <v>293</v>
      </c>
      <c r="F38" s="134">
        <v>485.27</v>
      </c>
      <c r="G38" s="134">
        <v>493.2</v>
      </c>
      <c r="H38" s="134">
        <v>475.46</v>
      </c>
      <c r="I38" s="134">
        <f t="shared" si="0"/>
        <v>17.740000000000009</v>
      </c>
      <c r="J38" s="134">
        <v>487.55</v>
      </c>
      <c r="K38" s="134">
        <v>488.25</v>
      </c>
      <c r="L38" s="114">
        <f t="shared" si="4"/>
        <v>2</v>
      </c>
      <c r="M38" s="118">
        <f t="shared" si="5"/>
        <v>4.1841004184100415E-3</v>
      </c>
      <c r="N38" s="134">
        <f t="shared" si="6"/>
        <v>476.25</v>
      </c>
      <c r="O38" s="135">
        <v>0</v>
      </c>
      <c r="P38" s="139"/>
      <c r="Q38" s="137">
        <v>1</v>
      </c>
      <c r="R38" s="136" t="s">
        <v>721</v>
      </c>
      <c r="S38" s="138">
        <v>1</v>
      </c>
      <c r="T38" s="136" t="s">
        <v>722</v>
      </c>
      <c r="U38" s="140">
        <v>0</v>
      </c>
      <c r="V38" s="139"/>
      <c r="W38" s="141">
        <v>0</v>
      </c>
      <c r="X38" s="136" t="s">
        <v>721</v>
      </c>
      <c r="Y38" s="142">
        <v>0</v>
      </c>
      <c r="Z38" s="139"/>
      <c r="AA38" s="143">
        <v>0</v>
      </c>
      <c r="AB38" s="139"/>
      <c r="AC38" s="144">
        <f t="shared" si="1"/>
        <v>2</v>
      </c>
      <c r="AD38" s="110"/>
      <c r="AE38" s="110" t="str">
        <f t="shared" si="2"/>
        <v>↑ Mildly Bullish</v>
      </c>
      <c r="AF38" s="110" t="str">
        <f t="shared" si="3"/>
        <v>Consider stock-in</v>
      </c>
      <c r="AG38" s="111"/>
    </row>
    <row r="39" spans="2:33" ht="25.5" customHeight="1" x14ac:dyDescent="0.25">
      <c r="B39" s="131">
        <v>33</v>
      </c>
      <c r="C39" s="132">
        <v>45152</v>
      </c>
      <c r="D39" s="133">
        <v>483</v>
      </c>
      <c r="E39" s="112" t="s">
        <v>298</v>
      </c>
      <c r="F39" s="134">
        <v>488.63</v>
      </c>
      <c r="G39" s="134">
        <v>500.34</v>
      </c>
      <c r="H39" s="134">
        <v>477.87</v>
      </c>
      <c r="I39" s="134">
        <f t="shared" ref="I39:I70" si="7">IFERROR(G39-H39,"")</f>
        <v>22.46999999999997</v>
      </c>
      <c r="J39" s="134">
        <v>485.78</v>
      </c>
      <c r="K39" s="134">
        <v>497.12</v>
      </c>
      <c r="L39" s="114">
        <f t="shared" si="4"/>
        <v>3</v>
      </c>
      <c r="M39" s="118">
        <f t="shared" si="5"/>
        <v>6.2500000000000003E-3</v>
      </c>
      <c r="N39" s="134">
        <f t="shared" si="6"/>
        <v>479</v>
      </c>
      <c r="O39" s="135">
        <v>0</v>
      </c>
      <c r="P39" s="139"/>
      <c r="Q39" s="137">
        <v>1</v>
      </c>
      <c r="R39" s="136" t="s">
        <v>298</v>
      </c>
      <c r="S39" s="138">
        <v>1</v>
      </c>
      <c r="T39" s="136" t="s">
        <v>723</v>
      </c>
      <c r="U39" s="140">
        <v>0</v>
      </c>
      <c r="V39" s="139"/>
      <c r="W39" s="141">
        <v>0</v>
      </c>
      <c r="X39" s="136" t="s">
        <v>298</v>
      </c>
      <c r="Y39" s="142">
        <v>0</v>
      </c>
      <c r="Z39" s="139"/>
      <c r="AA39" s="143">
        <v>0</v>
      </c>
      <c r="AB39" s="139"/>
      <c r="AC39" s="144">
        <f t="shared" ref="AC39:AC70" si="8">SUM(O39,Q39,S39,U39,W39,Y39,AA39)</f>
        <v>2</v>
      </c>
      <c r="AD39" s="110"/>
      <c r="AE39" s="110" t="str">
        <f t="shared" ref="AE39:AE70" si="9">IFERROR(IF(AC39&gt;=4,"🔺 Bullish",IF(AC39&lt;=-4,"🔻 Bearish",IF(AC39&gt;=2,"↑ Mildly Bullish",IF(AC39&lt;=-2,"↓ Mildly Bearish","→ Neutral")))),"—")</f>
        <v>↑ Mildly Bullish</v>
      </c>
      <c r="AF39" s="110" t="str">
        <f t="shared" ref="AF39:AF70" si="10">IFERROR(IF(AC39&gt;=4,"STOCK IN NOW",IF(AC39&lt;=-4,"REDUCE EXPOSURE",IF(AC39&gt;=2,"Consider stock-in",IF(AC39&lt;=-2,"Review sell price","Hold")))),"—")</f>
        <v>Consider stock-in</v>
      </c>
      <c r="AG39" s="111"/>
    </row>
    <row r="40" spans="2:33" ht="25.5" customHeight="1" x14ac:dyDescent="0.25">
      <c r="B40" s="75">
        <v>34</v>
      </c>
      <c r="C40" s="145">
        <v>45159</v>
      </c>
      <c r="D40" s="133">
        <v>485</v>
      </c>
      <c r="E40" s="112" t="s">
        <v>303</v>
      </c>
      <c r="F40" s="134">
        <v>488.21</v>
      </c>
      <c r="G40" s="134">
        <v>497.13</v>
      </c>
      <c r="H40" s="134">
        <v>478.57</v>
      </c>
      <c r="I40" s="134">
        <f t="shared" si="7"/>
        <v>18.560000000000002</v>
      </c>
      <c r="J40" s="134">
        <v>491.36</v>
      </c>
      <c r="K40" s="134">
        <v>488.26</v>
      </c>
      <c r="L40" s="114">
        <f t="shared" si="4"/>
        <v>2</v>
      </c>
      <c r="M40" s="118">
        <f t="shared" si="5"/>
        <v>4.140786749482402E-3</v>
      </c>
      <c r="N40" s="134">
        <f t="shared" si="6"/>
        <v>481.5</v>
      </c>
      <c r="O40" s="135">
        <v>1</v>
      </c>
      <c r="P40" s="136" t="s">
        <v>724</v>
      </c>
      <c r="Q40" s="137">
        <v>1</v>
      </c>
      <c r="R40" s="136" t="s">
        <v>303</v>
      </c>
      <c r="S40" s="138">
        <v>1</v>
      </c>
      <c r="T40" s="136" t="s">
        <v>724</v>
      </c>
      <c r="U40" s="140">
        <v>0</v>
      </c>
      <c r="V40" s="139"/>
      <c r="W40" s="141">
        <v>0</v>
      </c>
      <c r="X40" s="136" t="s">
        <v>303</v>
      </c>
      <c r="Y40" s="142">
        <v>0</v>
      </c>
      <c r="Z40" s="139"/>
      <c r="AA40" s="143">
        <v>0</v>
      </c>
      <c r="AB40" s="139"/>
      <c r="AC40" s="144">
        <f t="shared" si="8"/>
        <v>3</v>
      </c>
      <c r="AD40" s="110"/>
      <c r="AE40" s="110" t="str">
        <f t="shared" si="9"/>
        <v>↑ Mildly Bullish</v>
      </c>
      <c r="AF40" s="110" t="str">
        <f t="shared" si="10"/>
        <v>Consider stock-in</v>
      </c>
      <c r="AG40" s="111"/>
    </row>
    <row r="41" spans="2:33" ht="25.5" customHeight="1" x14ac:dyDescent="0.25">
      <c r="B41" s="131">
        <v>35</v>
      </c>
      <c r="C41" s="132">
        <v>45166</v>
      </c>
      <c r="D41" s="133">
        <v>488</v>
      </c>
      <c r="E41" s="112" t="s">
        <v>308</v>
      </c>
      <c r="F41" s="134">
        <v>494.85</v>
      </c>
      <c r="G41" s="134">
        <v>506.26</v>
      </c>
      <c r="H41" s="134">
        <v>484.49</v>
      </c>
      <c r="I41" s="134">
        <f t="shared" si="7"/>
        <v>21.769999999999982</v>
      </c>
      <c r="J41" s="134">
        <v>493.65</v>
      </c>
      <c r="K41" s="134">
        <v>502.89</v>
      </c>
      <c r="L41" s="114">
        <f t="shared" ref="L41:L72" si="11">IFERROR(D41-D40,"")</f>
        <v>3</v>
      </c>
      <c r="M41" s="118">
        <f t="shared" ref="M41:M72" si="12">IFERROR(L41/D40,"")</f>
        <v>6.1855670103092781E-3</v>
      </c>
      <c r="N41" s="134">
        <f t="shared" si="6"/>
        <v>484</v>
      </c>
      <c r="O41" s="135">
        <v>1</v>
      </c>
      <c r="P41" s="136" t="s">
        <v>725</v>
      </c>
      <c r="Q41" s="137">
        <v>2</v>
      </c>
      <c r="R41" s="136" t="s">
        <v>308</v>
      </c>
      <c r="S41" s="138">
        <v>1</v>
      </c>
      <c r="T41" s="136" t="s">
        <v>725</v>
      </c>
      <c r="U41" s="140">
        <v>1</v>
      </c>
      <c r="V41" s="136" t="s">
        <v>725</v>
      </c>
      <c r="W41" s="141">
        <v>0</v>
      </c>
      <c r="X41" s="136" t="s">
        <v>308</v>
      </c>
      <c r="Y41" s="142">
        <v>0</v>
      </c>
      <c r="Z41" s="139"/>
      <c r="AA41" s="143">
        <v>0</v>
      </c>
      <c r="AB41" s="139"/>
      <c r="AC41" s="144">
        <f t="shared" si="8"/>
        <v>5</v>
      </c>
      <c r="AD41" s="110"/>
      <c r="AE41" s="110" t="str">
        <f t="shared" si="9"/>
        <v>🔺 Bullish</v>
      </c>
      <c r="AF41" s="110" t="str">
        <f t="shared" si="10"/>
        <v>STOCK IN NOW</v>
      </c>
      <c r="AG41" s="111"/>
    </row>
    <row r="42" spans="2:33" ht="25.5" customHeight="1" x14ac:dyDescent="0.25">
      <c r="B42" s="75">
        <v>36</v>
      </c>
      <c r="C42" s="145">
        <v>45173</v>
      </c>
      <c r="D42" s="133">
        <v>492</v>
      </c>
      <c r="E42" s="112" t="s">
        <v>313</v>
      </c>
      <c r="F42" s="134">
        <v>492.5</v>
      </c>
      <c r="G42" s="134">
        <v>503.55</v>
      </c>
      <c r="H42" s="134">
        <v>479.15</v>
      </c>
      <c r="I42" s="134">
        <f t="shared" si="7"/>
        <v>24.400000000000034</v>
      </c>
      <c r="J42" s="134">
        <v>500.53</v>
      </c>
      <c r="K42" s="134">
        <v>484.98</v>
      </c>
      <c r="L42" s="114">
        <f t="shared" si="11"/>
        <v>4</v>
      </c>
      <c r="M42" s="118">
        <f t="shared" si="12"/>
        <v>8.1967213114754103E-3</v>
      </c>
      <c r="N42" s="134">
        <f t="shared" si="6"/>
        <v>487</v>
      </c>
      <c r="O42" s="135">
        <v>0</v>
      </c>
      <c r="P42" s="139"/>
      <c r="Q42" s="137">
        <v>1</v>
      </c>
      <c r="R42" s="136" t="s">
        <v>313</v>
      </c>
      <c r="S42" s="138">
        <v>1</v>
      </c>
      <c r="T42" s="136" t="s">
        <v>726</v>
      </c>
      <c r="U42" s="140">
        <v>0</v>
      </c>
      <c r="V42" s="139"/>
      <c r="W42" s="141">
        <v>0</v>
      </c>
      <c r="X42" s="136" t="s">
        <v>313</v>
      </c>
      <c r="Y42" s="142">
        <v>1</v>
      </c>
      <c r="Z42" s="136" t="s">
        <v>726</v>
      </c>
      <c r="AA42" s="143">
        <v>0</v>
      </c>
      <c r="AB42" s="139"/>
      <c r="AC42" s="144">
        <f t="shared" si="8"/>
        <v>3</v>
      </c>
      <c r="AD42" s="110"/>
      <c r="AE42" s="110" t="str">
        <f t="shared" si="9"/>
        <v>↑ Mildly Bullish</v>
      </c>
      <c r="AF42" s="110" t="str">
        <f t="shared" si="10"/>
        <v>Consider stock-in</v>
      </c>
      <c r="AG42" s="111"/>
    </row>
    <row r="43" spans="2:33" ht="25.5" customHeight="1" x14ac:dyDescent="0.25">
      <c r="B43" s="131">
        <v>37</v>
      </c>
      <c r="C43" s="132">
        <v>45180</v>
      </c>
      <c r="D43" s="133">
        <v>495</v>
      </c>
      <c r="E43" s="112" t="s">
        <v>318</v>
      </c>
      <c r="F43" s="134">
        <v>502.81</v>
      </c>
      <c r="G43" s="134">
        <v>521.71</v>
      </c>
      <c r="H43" s="134">
        <v>489.18</v>
      </c>
      <c r="I43" s="134">
        <f t="shared" si="7"/>
        <v>32.53000000000003</v>
      </c>
      <c r="J43" s="134">
        <v>514.04999999999995</v>
      </c>
      <c r="K43" s="134">
        <v>499.37</v>
      </c>
      <c r="L43" s="114">
        <f t="shared" si="11"/>
        <v>3</v>
      </c>
      <c r="M43" s="118">
        <f t="shared" si="12"/>
        <v>6.0975609756097563E-3</v>
      </c>
      <c r="N43" s="134">
        <f t="shared" ref="N43:N74" si="13">IFERROR(AVERAGE(D40:D43),"")</f>
        <v>490</v>
      </c>
      <c r="O43" s="135">
        <v>0</v>
      </c>
      <c r="P43" s="139"/>
      <c r="Q43" s="137">
        <v>1</v>
      </c>
      <c r="R43" s="136" t="s">
        <v>318</v>
      </c>
      <c r="S43" s="138">
        <v>2</v>
      </c>
      <c r="T43" s="136" t="s">
        <v>727</v>
      </c>
      <c r="U43" s="140">
        <v>0</v>
      </c>
      <c r="V43" s="139"/>
      <c r="W43" s="141">
        <v>0</v>
      </c>
      <c r="X43" s="136" t="s">
        <v>318</v>
      </c>
      <c r="Y43" s="142">
        <v>1</v>
      </c>
      <c r="Z43" s="136" t="s">
        <v>727</v>
      </c>
      <c r="AA43" s="143">
        <v>0</v>
      </c>
      <c r="AB43" s="139"/>
      <c r="AC43" s="144">
        <f t="shared" si="8"/>
        <v>4</v>
      </c>
      <c r="AD43" s="110"/>
      <c r="AE43" s="110" t="str">
        <f t="shared" si="9"/>
        <v>🔺 Bullish</v>
      </c>
      <c r="AF43" s="110" t="str">
        <f t="shared" si="10"/>
        <v>STOCK IN NOW</v>
      </c>
      <c r="AG43" s="111"/>
    </row>
    <row r="44" spans="2:33" ht="25.5" customHeight="1" x14ac:dyDescent="0.25">
      <c r="B44" s="75">
        <v>38</v>
      </c>
      <c r="C44" s="145">
        <v>45187</v>
      </c>
      <c r="D44" s="133">
        <v>498</v>
      </c>
      <c r="E44" s="112" t="s">
        <v>323</v>
      </c>
      <c r="F44" s="134">
        <v>506.28</v>
      </c>
      <c r="G44" s="134">
        <v>515.62</v>
      </c>
      <c r="H44" s="134">
        <v>491.85</v>
      </c>
      <c r="I44" s="134">
        <f t="shared" si="7"/>
        <v>23.769999999999982</v>
      </c>
      <c r="J44" s="134">
        <v>509.04</v>
      </c>
      <c r="K44" s="134">
        <v>511.79</v>
      </c>
      <c r="L44" s="114">
        <f t="shared" si="11"/>
        <v>3</v>
      </c>
      <c r="M44" s="118">
        <f t="shared" si="12"/>
        <v>6.0606060606060606E-3</v>
      </c>
      <c r="N44" s="134">
        <f t="shared" si="13"/>
        <v>493.25</v>
      </c>
      <c r="O44" s="135">
        <v>0</v>
      </c>
      <c r="P44" s="139"/>
      <c r="Q44" s="137">
        <v>1</v>
      </c>
      <c r="R44" s="136" t="s">
        <v>323</v>
      </c>
      <c r="S44" s="138">
        <v>2</v>
      </c>
      <c r="T44" s="136" t="s">
        <v>728</v>
      </c>
      <c r="U44" s="140">
        <v>0</v>
      </c>
      <c r="V44" s="139"/>
      <c r="W44" s="141">
        <v>0</v>
      </c>
      <c r="X44" s="136" t="s">
        <v>323</v>
      </c>
      <c r="Y44" s="142">
        <v>0</v>
      </c>
      <c r="Z44" s="139"/>
      <c r="AA44" s="143">
        <v>0</v>
      </c>
      <c r="AB44" s="139"/>
      <c r="AC44" s="144">
        <f t="shared" si="8"/>
        <v>3</v>
      </c>
      <c r="AD44" s="110"/>
      <c r="AE44" s="110" t="str">
        <f t="shared" si="9"/>
        <v>↑ Mildly Bullish</v>
      </c>
      <c r="AF44" s="110" t="str">
        <f t="shared" si="10"/>
        <v>Consider stock-in</v>
      </c>
      <c r="AG44" s="111"/>
    </row>
    <row r="45" spans="2:33" ht="25.5" customHeight="1" x14ac:dyDescent="0.25">
      <c r="B45" s="131">
        <v>39</v>
      </c>
      <c r="C45" s="132">
        <v>45194</v>
      </c>
      <c r="D45" s="133">
        <v>500</v>
      </c>
      <c r="E45" s="112" t="s">
        <v>328</v>
      </c>
      <c r="F45" s="134">
        <v>501.66</v>
      </c>
      <c r="G45" s="134">
        <v>513.17999999999995</v>
      </c>
      <c r="H45" s="134">
        <v>491.11</v>
      </c>
      <c r="I45" s="134">
        <f t="shared" si="7"/>
        <v>22.069999999999936</v>
      </c>
      <c r="J45" s="134">
        <v>508.56</v>
      </c>
      <c r="K45" s="134">
        <v>496.41</v>
      </c>
      <c r="L45" s="114">
        <f t="shared" si="11"/>
        <v>2</v>
      </c>
      <c r="M45" s="118">
        <f t="shared" si="12"/>
        <v>4.0160642570281121E-3</v>
      </c>
      <c r="N45" s="134">
        <f t="shared" si="13"/>
        <v>496.25</v>
      </c>
      <c r="O45" s="135">
        <v>0</v>
      </c>
      <c r="P45" s="139"/>
      <c r="Q45" s="137">
        <v>1</v>
      </c>
      <c r="R45" s="136" t="s">
        <v>328</v>
      </c>
      <c r="S45" s="138">
        <v>2</v>
      </c>
      <c r="T45" s="136" t="s">
        <v>729</v>
      </c>
      <c r="U45" s="140">
        <v>0</v>
      </c>
      <c r="V45" s="139"/>
      <c r="W45" s="141">
        <v>0</v>
      </c>
      <c r="X45" s="136" t="s">
        <v>328</v>
      </c>
      <c r="Y45" s="142">
        <v>0</v>
      </c>
      <c r="Z45" s="139"/>
      <c r="AA45" s="143">
        <v>0</v>
      </c>
      <c r="AB45" s="139"/>
      <c r="AC45" s="144">
        <f t="shared" si="8"/>
        <v>3</v>
      </c>
      <c r="AD45" s="110"/>
      <c r="AE45" s="110" t="str">
        <f t="shared" si="9"/>
        <v>↑ Mildly Bullish</v>
      </c>
      <c r="AF45" s="110" t="str">
        <f t="shared" si="10"/>
        <v>Consider stock-in</v>
      </c>
      <c r="AG45" s="111"/>
    </row>
    <row r="46" spans="2:33" ht="25.5" customHeight="1" x14ac:dyDescent="0.25">
      <c r="B46" s="75">
        <v>40</v>
      </c>
      <c r="C46" s="145">
        <v>45201</v>
      </c>
      <c r="D46" s="133">
        <v>505</v>
      </c>
      <c r="E46" s="112" t="s">
        <v>333</v>
      </c>
      <c r="F46" s="134">
        <v>507.51</v>
      </c>
      <c r="G46" s="134">
        <v>519.86</v>
      </c>
      <c r="H46" s="134">
        <v>498.2</v>
      </c>
      <c r="I46" s="134">
        <f t="shared" si="7"/>
        <v>21.660000000000025</v>
      </c>
      <c r="J46" s="134">
        <v>504.26</v>
      </c>
      <c r="K46" s="134">
        <v>513.27</v>
      </c>
      <c r="L46" s="114">
        <f t="shared" si="11"/>
        <v>5</v>
      </c>
      <c r="M46" s="118">
        <f t="shared" si="12"/>
        <v>0.01</v>
      </c>
      <c r="N46" s="134">
        <f t="shared" si="13"/>
        <v>499.5</v>
      </c>
      <c r="O46" s="135">
        <v>1</v>
      </c>
      <c r="P46" s="136" t="s">
        <v>730</v>
      </c>
      <c r="Q46" s="137">
        <v>1</v>
      </c>
      <c r="R46" s="136" t="s">
        <v>333</v>
      </c>
      <c r="S46" s="138">
        <v>2</v>
      </c>
      <c r="T46" s="136" t="s">
        <v>730</v>
      </c>
      <c r="U46" s="140">
        <v>0</v>
      </c>
      <c r="V46" s="139"/>
      <c r="W46" s="141">
        <v>0</v>
      </c>
      <c r="X46" s="136" t="s">
        <v>333</v>
      </c>
      <c r="Y46" s="142">
        <v>0</v>
      </c>
      <c r="Z46" s="139"/>
      <c r="AA46" s="143">
        <v>0</v>
      </c>
      <c r="AB46" s="139"/>
      <c r="AC46" s="144">
        <f t="shared" si="8"/>
        <v>4</v>
      </c>
      <c r="AD46" s="110"/>
      <c r="AE46" s="110" t="str">
        <f t="shared" si="9"/>
        <v>🔺 Bullish</v>
      </c>
      <c r="AF46" s="110" t="str">
        <f t="shared" si="10"/>
        <v>STOCK IN NOW</v>
      </c>
      <c r="AG46" s="111"/>
    </row>
    <row r="47" spans="2:33" ht="25.5" customHeight="1" x14ac:dyDescent="0.25">
      <c r="B47" s="131">
        <v>41</v>
      </c>
      <c r="C47" s="132">
        <v>45208</v>
      </c>
      <c r="D47" s="133">
        <v>510</v>
      </c>
      <c r="E47" s="112" t="s">
        <v>338</v>
      </c>
      <c r="F47" s="134">
        <v>515.84</v>
      </c>
      <c r="G47" s="134">
        <v>522.67999999999995</v>
      </c>
      <c r="H47" s="134">
        <v>503.17</v>
      </c>
      <c r="I47" s="134">
        <f t="shared" si="7"/>
        <v>19.509999999999934</v>
      </c>
      <c r="J47" s="134">
        <v>519.48</v>
      </c>
      <c r="K47" s="134">
        <v>518.04999999999995</v>
      </c>
      <c r="L47" s="114">
        <f t="shared" si="11"/>
        <v>5</v>
      </c>
      <c r="M47" s="118">
        <f t="shared" si="12"/>
        <v>9.9009900990099011E-3</v>
      </c>
      <c r="N47" s="134">
        <f t="shared" si="13"/>
        <v>503.25</v>
      </c>
      <c r="O47" s="135">
        <v>1</v>
      </c>
      <c r="P47" s="136" t="s">
        <v>731</v>
      </c>
      <c r="Q47" s="137">
        <v>1</v>
      </c>
      <c r="R47" s="136" t="s">
        <v>338</v>
      </c>
      <c r="S47" s="138">
        <v>2</v>
      </c>
      <c r="T47" s="136" t="s">
        <v>731</v>
      </c>
      <c r="U47" s="140">
        <v>0</v>
      </c>
      <c r="V47" s="139"/>
      <c r="W47" s="141">
        <v>1</v>
      </c>
      <c r="X47" s="136" t="s">
        <v>338</v>
      </c>
      <c r="Y47" s="142">
        <v>0</v>
      </c>
      <c r="Z47" s="139"/>
      <c r="AA47" s="143">
        <v>0</v>
      </c>
      <c r="AB47" s="139"/>
      <c r="AC47" s="144">
        <f t="shared" si="8"/>
        <v>5</v>
      </c>
      <c r="AD47" s="110"/>
      <c r="AE47" s="110" t="str">
        <f t="shared" si="9"/>
        <v>🔺 Bullish</v>
      </c>
      <c r="AF47" s="110" t="str">
        <f t="shared" si="10"/>
        <v>STOCK IN NOW</v>
      </c>
      <c r="AG47" s="111"/>
    </row>
    <row r="48" spans="2:33" ht="25.5" customHeight="1" x14ac:dyDescent="0.25">
      <c r="B48" s="75">
        <v>42</v>
      </c>
      <c r="C48" s="145">
        <v>45215</v>
      </c>
      <c r="D48" s="133">
        <v>515</v>
      </c>
      <c r="E48" s="112" t="s">
        <v>342</v>
      </c>
      <c r="F48" s="134">
        <v>515.84</v>
      </c>
      <c r="G48" s="134">
        <v>523.57000000000005</v>
      </c>
      <c r="H48" s="134">
        <v>505.98</v>
      </c>
      <c r="I48" s="134">
        <f t="shared" si="7"/>
        <v>17.590000000000032</v>
      </c>
      <c r="J48" s="134">
        <v>511.57</v>
      </c>
      <c r="K48" s="134">
        <v>520.94000000000005</v>
      </c>
      <c r="L48" s="114">
        <f t="shared" si="11"/>
        <v>5</v>
      </c>
      <c r="M48" s="118">
        <f t="shared" si="12"/>
        <v>9.8039215686274508E-3</v>
      </c>
      <c r="N48" s="134">
        <f t="shared" si="13"/>
        <v>507.5</v>
      </c>
      <c r="O48" s="135">
        <v>1</v>
      </c>
      <c r="P48" s="136" t="s">
        <v>732</v>
      </c>
      <c r="Q48" s="137">
        <v>1</v>
      </c>
      <c r="R48" s="136" t="s">
        <v>342</v>
      </c>
      <c r="S48" s="138">
        <v>2</v>
      </c>
      <c r="T48" s="136" t="s">
        <v>732</v>
      </c>
      <c r="U48" s="140">
        <v>0</v>
      </c>
      <c r="V48" s="139"/>
      <c r="W48" s="141">
        <v>1</v>
      </c>
      <c r="X48" s="136" t="s">
        <v>342</v>
      </c>
      <c r="Y48" s="142">
        <v>0</v>
      </c>
      <c r="Z48" s="139"/>
      <c r="AA48" s="143">
        <v>0</v>
      </c>
      <c r="AB48" s="139"/>
      <c r="AC48" s="144">
        <f t="shared" si="8"/>
        <v>5</v>
      </c>
      <c r="AD48" s="110"/>
      <c r="AE48" s="110" t="str">
        <f t="shared" si="9"/>
        <v>🔺 Bullish</v>
      </c>
      <c r="AF48" s="110" t="str">
        <f t="shared" si="10"/>
        <v>STOCK IN NOW</v>
      </c>
      <c r="AG48" s="111"/>
    </row>
    <row r="49" spans="2:33" ht="25.5" customHeight="1" x14ac:dyDescent="0.25">
      <c r="B49" s="131">
        <v>43</v>
      </c>
      <c r="C49" s="132">
        <v>45222</v>
      </c>
      <c r="D49" s="133">
        <v>518</v>
      </c>
      <c r="E49" s="112" t="s">
        <v>347</v>
      </c>
      <c r="F49" s="134">
        <v>524.78</v>
      </c>
      <c r="G49" s="134">
        <v>543.59</v>
      </c>
      <c r="H49" s="134">
        <v>510.71</v>
      </c>
      <c r="I49" s="134">
        <f t="shared" si="7"/>
        <v>32.880000000000052</v>
      </c>
      <c r="J49" s="134">
        <v>537.37</v>
      </c>
      <c r="K49" s="134">
        <v>518.98</v>
      </c>
      <c r="L49" s="114">
        <f t="shared" si="11"/>
        <v>3</v>
      </c>
      <c r="M49" s="118">
        <f t="shared" si="12"/>
        <v>5.8252427184466021E-3</v>
      </c>
      <c r="N49" s="134">
        <f t="shared" si="13"/>
        <v>512</v>
      </c>
      <c r="O49" s="135">
        <v>1</v>
      </c>
      <c r="P49" s="136" t="s">
        <v>733</v>
      </c>
      <c r="Q49" s="137">
        <v>2</v>
      </c>
      <c r="R49" s="136" t="s">
        <v>347</v>
      </c>
      <c r="S49" s="138">
        <v>2</v>
      </c>
      <c r="T49" s="136" t="s">
        <v>733</v>
      </c>
      <c r="U49" s="140">
        <v>1</v>
      </c>
      <c r="V49" s="136" t="s">
        <v>733</v>
      </c>
      <c r="W49" s="141">
        <v>1</v>
      </c>
      <c r="X49" s="136" t="s">
        <v>347</v>
      </c>
      <c r="Y49" s="142">
        <v>0</v>
      </c>
      <c r="Z49" s="139"/>
      <c r="AA49" s="143">
        <v>0</v>
      </c>
      <c r="AB49" s="139"/>
      <c r="AC49" s="144">
        <f t="shared" si="8"/>
        <v>7</v>
      </c>
      <c r="AD49" s="110"/>
      <c r="AE49" s="110" t="str">
        <f t="shared" si="9"/>
        <v>🔺 Bullish</v>
      </c>
      <c r="AF49" s="110" t="str">
        <f t="shared" si="10"/>
        <v>STOCK IN NOW</v>
      </c>
      <c r="AG49" s="111"/>
    </row>
    <row r="50" spans="2:33" ht="25.5" customHeight="1" x14ac:dyDescent="0.25">
      <c r="B50" s="75">
        <v>44</v>
      </c>
      <c r="C50" s="145">
        <v>45229</v>
      </c>
      <c r="D50" s="133">
        <v>515</v>
      </c>
      <c r="E50" s="112" t="s">
        <v>352</v>
      </c>
      <c r="F50" s="134">
        <v>515.78</v>
      </c>
      <c r="G50" s="134">
        <v>527.55999999999995</v>
      </c>
      <c r="H50" s="134">
        <v>507.44</v>
      </c>
      <c r="I50" s="134">
        <f t="shared" si="7"/>
        <v>20.119999999999948</v>
      </c>
      <c r="J50" s="134">
        <v>521.66999999999996</v>
      </c>
      <c r="K50" s="134">
        <v>510.66</v>
      </c>
      <c r="L50" s="114">
        <f t="shared" si="11"/>
        <v>-3</v>
      </c>
      <c r="M50" s="118">
        <f t="shared" si="12"/>
        <v>-5.7915057915057912E-3</v>
      </c>
      <c r="N50" s="134">
        <f t="shared" si="13"/>
        <v>514.5</v>
      </c>
      <c r="O50" s="135">
        <v>0</v>
      </c>
      <c r="P50" s="139"/>
      <c r="Q50" s="137">
        <v>1</v>
      </c>
      <c r="R50" s="136" t="s">
        <v>352</v>
      </c>
      <c r="S50" s="138">
        <v>1</v>
      </c>
      <c r="T50" s="136" t="s">
        <v>352</v>
      </c>
      <c r="U50" s="140">
        <v>0</v>
      </c>
      <c r="V50" s="139"/>
      <c r="W50" s="141">
        <v>1</v>
      </c>
      <c r="X50" s="136" t="s">
        <v>352</v>
      </c>
      <c r="Y50" s="142">
        <v>0</v>
      </c>
      <c r="Z50" s="139"/>
      <c r="AA50" s="143">
        <v>0</v>
      </c>
      <c r="AB50" s="139"/>
      <c r="AC50" s="144">
        <f t="shared" si="8"/>
        <v>3</v>
      </c>
      <c r="AD50" s="110"/>
      <c r="AE50" s="110" t="str">
        <f t="shared" si="9"/>
        <v>↑ Mildly Bullish</v>
      </c>
      <c r="AF50" s="110" t="str">
        <f t="shared" si="10"/>
        <v>Consider stock-in</v>
      </c>
      <c r="AG50" s="111"/>
    </row>
    <row r="51" spans="2:33" ht="25.5" customHeight="1" x14ac:dyDescent="0.25">
      <c r="B51" s="131">
        <v>45</v>
      </c>
      <c r="C51" s="132">
        <v>45236</v>
      </c>
      <c r="D51" s="133">
        <v>512</v>
      </c>
      <c r="E51" s="112" t="s">
        <v>357</v>
      </c>
      <c r="F51" s="134">
        <v>516.66</v>
      </c>
      <c r="G51" s="134">
        <v>532.55999999999995</v>
      </c>
      <c r="H51" s="134">
        <v>503.09</v>
      </c>
      <c r="I51" s="134">
        <f t="shared" si="7"/>
        <v>29.46999999999997</v>
      </c>
      <c r="J51" s="134">
        <v>528.66</v>
      </c>
      <c r="K51" s="134">
        <v>509.31</v>
      </c>
      <c r="L51" s="114">
        <f t="shared" si="11"/>
        <v>-3</v>
      </c>
      <c r="M51" s="118">
        <f t="shared" si="12"/>
        <v>-5.8252427184466021E-3</v>
      </c>
      <c r="N51" s="134">
        <f t="shared" si="13"/>
        <v>515</v>
      </c>
      <c r="O51" s="135">
        <v>0</v>
      </c>
      <c r="P51" s="139"/>
      <c r="Q51" s="137">
        <v>1</v>
      </c>
      <c r="R51" s="136" t="s">
        <v>357</v>
      </c>
      <c r="S51" s="138">
        <v>1</v>
      </c>
      <c r="T51" s="136" t="s">
        <v>734</v>
      </c>
      <c r="U51" s="140">
        <v>0</v>
      </c>
      <c r="V51" s="139"/>
      <c r="W51" s="141">
        <v>1</v>
      </c>
      <c r="X51" s="136" t="s">
        <v>357</v>
      </c>
      <c r="Y51" s="142">
        <v>0</v>
      </c>
      <c r="Z51" s="139"/>
      <c r="AA51" s="143">
        <v>0</v>
      </c>
      <c r="AB51" s="139"/>
      <c r="AC51" s="144">
        <f t="shared" si="8"/>
        <v>3</v>
      </c>
      <c r="AD51" s="110"/>
      <c r="AE51" s="110" t="str">
        <f t="shared" si="9"/>
        <v>↑ Mildly Bullish</v>
      </c>
      <c r="AF51" s="110" t="str">
        <f t="shared" si="10"/>
        <v>Consider stock-in</v>
      </c>
      <c r="AG51" s="111"/>
    </row>
    <row r="52" spans="2:33" ht="25.5" customHeight="1" x14ac:dyDescent="0.25">
      <c r="B52" s="75">
        <v>46</v>
      </c>
      <c r="C52" s="145">
        <v>45243</v>
      </c>
      <c r="D52" s="133">
        <v>518</v>
      </c>
      <c r="E52" s="112" t="s">
        <v>362</v>
      </c>
      <c r="F52" s="134">
        <v>527.6</v>
      </c>
      <c r="G52" s="134">
        <v>542.88</v>
      </c>
      <c r="H52" s="134">
        <v>514.75</v>
      </c>
      <c r="I52" s="134">
        <f t="shared" si="7"/>
        <v>28.129999999999995</v>
      </c>
      <c r="J52" s="134">
        <v>529.37</v>
      </c>
      <c r="K52" s="134">
        <v>535.44000000000005</v>
      </c>
      <c r="L52" s="114">
        <f t="shared" si="11"/>
        <v>6</v>
      </c>
      <c r="M52" s="118">
        <f t="shared" si="12"/>
        <v>1.171875E-2</v>
      </c>
      <c r="N52" s="134">
        <f t="shared" si="13"/>
        <v>515.75</v>
      </c>
      <c r="O52" s="135">
        <v>1</v>
      </c>
      <c r="P52" s="136" t="s">
        <v>735</v>
      </c>
      <c r="Q52" s="137">
        <v>1</v>
      </c>
      <c r="R52" s="136" t="s">
        <v>362</v>
      </c>
      <c r="S52" s="138">
        <v>2</v>
      </c>
      <c r="T52" s="136" t="s">
        <v>735</v>
      </c>
      <c r="U52" s="140">
        <v>0</v>
      </c>
      <c r="V52" s="139"/>
      <c r="W52" s="141">
        <v>1</v>
      </c>
      <c r="X52" s="136" t="s">
        <v>362</v>
      </c>
      <c r="Y52" s="142">
        <v>0</v>
      </c>
      <c r="Z52" s="139"/>
      <c r="AA52" s="143">
        <v>0</v>
      </c>
      <c r="AB52" s="139"/>
      <c r="AC52" s="144">
        <f t="shared" si="8"/>
        <v>5</v>
      </c>
      <c r="AD52" s="110"/>
      <c r="AE52" s="110" t="str">
        <f t="shared" si="9"/>
        <v>🔺 Bullish</v>
      </c>
      <c r="AF52" s="110" t="str">
        <f t="shared" si="10"/>
        <v>STOCK IN NOW</v>
      </c>
      <c r="AG52" s="111"/>
    </row>
    <row r="53" spans="2:33" ht="25.5" customHeight="1" x14ac:dyDescent="0.25">
      <c r="B53" s="131">
        <v>47</v>
      </c>
      <c r="C53" s="132">
        <v>45250</v>
      </c>
      <c r="D53" s="133">
        <v>522</v>
      </c>
      <c r="E53" s="112" t="s">
        <v>367</v>
      </c>
      <c r="F53" s="134">
        <v>524.66</v>
      </c>
      <c r="G53" s="134">
        <v>544.39</v>
      </c>
      <c r="H53" s="134">
        <v>511.22</v>
      </c>
      <c r="I53" s="134">
        <f t="shared" si="7"/>
        <v>33.169999999999959</v>
      </c>
      <c r="J53" s="134">
        <v>536.97</v>
      </c>
      <c r="K53" s="134">
        <v>515</v>
      </c>
      <c r="L53" s="114">
        <f t="shared" si="11"/>
        <v>4</v>
      </c>
      <c r="M53" s="118">
        <f t="shared" si="12"/>
        <v>7.7220077220077222E-3</v>
      </c>
      <c r="N53" s="134">
        <f t="shared" si="13"/>
        <v>516.75</v>
      </c>
      <c r="O53" s="135">
        <v>1</v>
      </c>
      <c r="P53" s="136" t="s">
        <v>736</v>
      </c>
      <c r="Q53" s="137">
        <v>1</v>
      </c>
      <c r="R53" s="136" t="s">
        <v>367</v>
      </c>
      <c r="S53" s="138">
        <v>2</v>
      </c>
      <c r="T53" s="136" t="s">
        <v>736</v>
      </c>
      <c r="U53" s="140">
        <v>0</v>
      </c>
      <c r="V53" s="139"/>
      <c r="W53" s="141">
        <v>1</v>
      </c>
      <c r="X53" s="136" t="s">
        <v>367</v>
      </c>
      <c r="Y53" s="142">
        <v>0</v>
      </c>
      <c r="Z53" s="139"/>
      <c r="AA53" s="143">
        <v>0</v>
      </c>
      <c r="AB53" s="139"/>
      <c r="AC53" s="144">
        <f t="shared" si="8"/>
        <v>5</v>
      </c>
      <c r="AD53" s="110"/>
      <c r="AE53" s="110" t="str">
        <f t="shared" si="9"/>
        <v>🔺 Bullish</v>
      </c>
      <c r="AF53" s="110" t="str">
        <f t="shared" si="10"/>
        <v>STOCK IN NOW</v>
      </c>
      <c r="AG53" s="111"/>
    </row>
    <row r="54" spans="2:33" ht="25.5" customHeight="1" x14ac:dyDescent="0.25">
      <c r="B54" s="75">
        <v>48</v>
      </c>
      <c r="C54" s="145">
        <v>45257</v>
      </c>
      <c r="D54" s="133">
        <v>520</v>
      </c>
      <c r="E54" s="112" t="s">
        <v>372</v>
      </c>
      <c r="F54" s="134">
        <v>520.29999999999995</v>
      </c>
      <c r="G54" s="134">
        <v>529.13</v>
      </c>
      <c r="H54" s="134">
        <v>515.87</v>
      </c>
      <c r="I54" s="134">
        <f t="shared" si="7"/>
        <v>13.259999999999991</v>
      </c>
      <c r="J54" s="134">
        <v>521.80999999999995</v>
      </c>
      <c r="K54" s="134">
        <v>519.08000000000004</v>
      </c>
      <c r="L54" s="114">
        <f t="shared" si="11"/>
        <v>-2</v>
      </c>
      <c r="M54" s="118">
        <f t="shared" si="12"/>
        <v>-3.8314176245210726E-3</v>
      </c>
      <c r="N54" s="134">
        <f t="shared" si="13"/>
        <v>518</v>
      </c>
      <c r="O54" s="135">
        <v>0</v>
      </c>
      <c r="P54" s="139"/>
      <c r="Q54" s="137">
        <v>1</v>
      </c>
      <c r="R54" s="136" t="s">
        <v>372</v>
      </c>
      <c r="S54" s="138">
        <v>1</v>
      </c>
      <c r="T54" s="136" t="s">
        <v>737</v>
      </c>
      <c r="U54" s="140">
        <v>0</v>
      </c>
      <c r="V54" s="139"/>
      <c r="W54" s="141">
        <v>1</v>
      </c>
      <c r="X54" s="136" t="s">
        <v>372</v>
      </c>
      <c r="Y54" s="142">
        <v>0</v>
      </c>
      <c r="Z54" s="139"/>
      <c r="AA54" s="143">
        <v>0</v>
      </c>
      <c r="AB54" s="139"/>
      <c r="AC54" s="144">
        <f t="shared" si="8"/>
        <v>3</v>
      </c>
      <c r="AD54" s="110"/>
      <c r="AE54" s="110" t="str">
        <f t="shared" si="9"/>
        <v>↑ Mildly Bullish</v>
      </c>
      <c r="AF54" s="110" t="str">
        <f t="shared" si="10"/>
        <v>Consider stock-in</v>
      </c>
      <c r="AG54" s="111"/>
    </row>
    <row r="55" spans="2:33" ht="25.5" customHeight="1" x14ac:dyDescent="0.25">
      <c r="B55" s="131">
        <v>49</v>
      </c>
      <c r="C55" s="132">
        <v>45264</v>
      </c>
      <c r="D55" s="133">
        <v>525</v>
      </c>
      <c r="E55" s="112" t="s">
        <v>377</v>
      </c>
      <c r="F55" s="134">
        <v>529.51</v>
      </c>
      <c r="G55" s="134">
        <v>548.52</v>
      </c>
      <c r="H55" s="134">
        <v>516.19000000000005</v>
      </c>
      <c r="I55" s="134">
        <f t="shared" si="7"/>
        <v>32.329999999999927</v>
      </c>
      <c r="J55" s="134">
        <v>544.19000000000005</v>
      </c>
      <c r="K55" s="134">
        <v>519.33000000000004</v>
      </c>
      <c r="L55" s="114">
        <f t="shared" si="11"/>
        <v>5</v>
      </c>
      <c r="M55" s="118">
        <f t="shared" si="12"/>
        <v>9.6153846153846159E-3</v>
      </c>
      <c r="N55" s="134">
        <f t="shared" si="13"/>
        <v>521.25</v>
      </c>
      <c r="O55" s="135">
        <v>1</v>
      </c>
      <c r="P55" s="136" t="s">
        <v>738</v>
      </c>
      <c r="Q55" s="137">
        <v>1</v>
      </c>
      <c r="R55" s="136" t="s">
        <v>377</v>
      </c>
      <c r="S55" s="138">
        <v>2</v>
      </c>
      <c r="T55" s="136" t="s">
        <v>738</v>
      </c>
      <c r="U55" s="140">
        <v>0</v>
      </c>
      <c r="V55" s="139"/>
      <c r="W55" s="141">
        <v>1</v>
      </c>
      <c r="X55" s="136" t="s">
        <v>377</v>
      </c>
      <c r="Y55" s="142">
        <v>0</v>
      </c>
      <c r="Z55" s="139"/>
      <c r="AA55" s="143">
        <v>0</v>
      </c>
      <c r="AB55" s="139"/>
      <c r="AC55" s="144">
        <f t="shared" si="8"/>
        <v>5</v>
      </c>
      <c r="AD55" s="110"/>
      <c r="AE55" s="110" t="str">
        <f t="shared" si="9"/>
        <v>🔺 Bullish</v>
      </c>
      <c r="AF55" s="110" t="str">
        <f t="shared" si="10"/>
        <v>STOCK IN NOW</v>
      </c>
      <c r="AG55" s="111"/>
    </row>
    <row r="56" spans="2:33" ht="25.5" customHeight="1" x14ac:dyDescent="0.25">
      <c r="B56" s="75">
        <v>50</v>
      </c>
      <c r="C56" s="145">
        <v>45271</v>
      </c>
      <c r="D56" s="133">
        <v>530</v>
      </c>
      <c r="E56" s="112" t="s">
        <v>382</v>
      </c>
      <c r="F56" s="134">
        <v>530.25</v>
      </c>
      <c r="G56" s="134">
        <v>539.52</v>
      </c>
      <c r="H56" s="134">
        <v>518.05999999999995</v>
      </c>
      <c r="I56" s="134">
        <f t="shared" si="7"/>
        <v>21.460000000000036</v>
      </c>
      <c r="J56" s="134">
        <v>536.4</v>
      </c>
      <c r="K56" s="134">
        <v>524.35</v>
      </c>
      <c r="L56" s="114">
        <f t="shared" si="11"/>
        <v>5</v>
      </c>
      <c r="M56" s="118">
        <f t="shared" si="12"/>
        <v>9.5238095238095247E-3</v>
      </c>
      <c r="N56" s="134">
        <f t="shared" si="13"/>
        <v>524.25</v>
      </c>
      <c r="O56" s="135">
        <v>2</v>
      </c>
      <c r="P56" s="136" t="s">
        <v>739</v>
      </c>
      <c r="Q56" s="137">
        <v>1</v>
      </c>
      <c r="R56" s="136" t="s">
        <v>382</v>
      </c>
      <c r="S56" s="138">
        <v>2</v>
      </c>
      <c r="T56" s="136" t="s">
        <v>739</v>
      </c>
      <c r="U56" s="140">
        <v>0</v>
      </c>
      <c r="V56" s="139"/>
      <c r="W56" s="141">
        <v>1</v>
      </c>
      <c r="X56" s="136" t="s">
        <v>382</v>
      </c>
      <c r="Y56" s="142">
        <v>1</v>
      </c>
      <c r="Z56" s="136" t="s">
        <v>739</v>
      </c>
      <c r="AA56" s="143">
        <v>0</v>
      </c>
      <c r="AB56" s="139"/>
      <c r="AC56" s="144">
        <f t="shared" si="8"/>
        <v>7</v>
      </c>
      <c r="AD56" s="110"/>
      <c r="AE56" s="110" t="str">
        <f t="shared" si="9"/>
        <v>🔺 Bullish</v>
      </c>
      <c r="AF56" s="110" t="str">
        <f t="shared" si="10"/>
        <v>STOCK IN NOW</v>
      </c>
      <c r="AG56" s="111"/>
    </row>
    <row r="57" spans="2:33" ht="25.5" customHeight="1" x14ac:dyDescent="0.25">
      <c r="B57" s="131">
        <v>51</v>
      </c>
      <c r="C57" s="132">
        <v>45278</v>
      </c>
      <c r="D57" s="133">
        <v>528</v>
      </c>
      <c r="E57" s="112" t="s">
        <v>387</v>
      </c>
      <c r="F57" s="134">
        <v>529.53</v>
      </c>
      <c r="G57" s="134">
        <v>541.65</v>
      </c>
      <c r="H57" s="134">
        <v>521.74</v>
      </c>
      <c r="I57" s="134">
        <f t="shared" si="7"/>
        <v>19.909999999999968</v>
      </c>
      <c r="J57" s="134">
        <v>535.89</v>
      </c>
      <c r="K57" s="134">
        <v>524.71</v>
      </c>
      <c r="L57" s="114">
        <f t="shared" si="11"/>
        <v>-2</v>
      </c>
      <c r="M57" s="118">
        <f t="shared" si="12"/>
        <v>-3.7735849056603774E-3</v>
      </c>
      <c r="N57" s="134">
        <f t="shared" si="13"/>
        <v>525.75</v>
      </c>
      <c r="O57" s="135">
        <v>1</v>
      </c>
      <c r="P57" s="136" t="s">
        <v>740</v>
      </c>
      <c r="Q57" s="137">
        <v>1</v>
      </c>
      <c r="R57" s="136" t="s">
        <v>387</v>
      </c>
      <c r="S57" s="138">
        <v>2</v>
      </c>
      <c r="T57" s="136" t="s">
        <v>740</v>
      </c>
      <c r="U57" s="140">
        <v>0</v>
      </c>
      <c r="V57" s="139"/>
      <c r="W57" s="141">
        <v>1</v>
      </c>
      <c r="X57" s="136" t="s">
        <v>387</v>
      </c>
      <c r="Y57" s="142">
        <v>1</v>
      </c>
      <c r="Z57" s="136" t="s">
        <v>740</v>
      </c>
      <c r="AA57" s="143">
        <v>0</v>
      </c>
      <c r="AB57" s="139"/>
      <c r="AC57" s="144">
        <f t="shared" si="8"/>
        <v>6</v>
      </c>
      <c r="AD57" s="110"/>
      <c r="AE57" s="110" t="str">
        <f t="shared" si="9"/>
        <v>🔺 Bullish</v>
      </c>
      <c r="AF57" s="110" t="str">
        <f t="shared" si="10"/>
        <v>STOCK IN NOW</v>
      </c>
      <c r="AG57" s="111"/>
    </row>
    <row r="58" spans="2:33" ht="25.5" customHeight="1" x14ac:dyDescent="0.25">
      <c r="B58" s="75">
        <v>52</v>
      </c>
      <c r="C58" s="145">
        <v>45285</v>
      </c>
      <c r="D58" s="133">
        <v>525</v>
      </c>
      <c r="E58" s="112" t="s">
        <v>392</v>
      </c>
      <c r="F58" s="134">
        <v>528.16999999999996</v>
      </c>
      <c r="G58" s="134">
        <v>547.70000000000005</v>
      </c>
      <c r="H58" s="134">
        <v>517.20000000000005</v>
      </c>
      <c r="I58" s="134">
        <f t="shared" si="7"/>
        <v>30.5</v>
      </c>
      <c r="J58" s="134">
        <v>519.82000000000005</v>
      </c>
      <c r="K58" s="134">
        <v>539.70000000000005</v>
      </c>
      <c r="L58" s="114">
        <f t="shared" si="11"/>
        <v>-3</v>
      </c>
      <c r="M58" s="118">
        <f t="shared" si="12"/>
        <v>-5.681818181818182E-3</v>
      </c>
      <c r="N58" s="134">
        <f t="shared" si="13"/>
        <v>527</v>
      </c>
      <c r="O58" s="135">
        <v>1</v>
      </c>
      <c r="P58" s="136" t="s">
        <v>392</v>
      </c>
      <c r="Q58" s="137">
        <v>0</v>
      </c>
      <c r="R58" s="136" t="s">
        <v>392</v>
      </c>
      <c r="S58" s="138">
        <v>2</v>
      </c>
      <c r="T58" s="136" t="s">
        <v>392</v>
      </c>
      <c r="U58" s="140">
        <v>0</v>
      </c>
      <c r="V58" s="139"/>
      <c r="W58" s="141">
        <v>1</v>
      </c>
      <c r="X58" s="136" t="s">
        <v>392</v>
      </c>
      <c r="Y58" s="142">
        <v>1</v>
      </c>
      <c r="Z58" s="136" t="s">
        <v>392</v>
      </c>
      <c r="AA58" s="143">
        <v>0</v>
      </c>
      <c r="AB58" s="139"/>
      <c r="AC58" s="144">
        <f t="shared" si="8"/>
        <v>5</v>
      </c>
      <c r="AD58" s="110"/>
      <c r="AE58" s="110" t="str">
        <f t="shared" si="9"/>
        <v>🔺 Bullish</v>
      </c>
      <c r="AF58" s="110" t="str">
        <f t="shared" si="10"/>
        <v>STOCK IN NOW</v>
      </c>
      <c r="AG58" s="111"/>
    </row>
    <row r="59" spans="2:33" ht="25.5" customHeight="1" x14ac:dyDescent="0.25">
      <c r="B59" s="131">
        <v>1</v>
      </c>
      <c r="C59" s="132">
        <v>45292</v>
      </c>
      <c r="D59" s="133">
        <v>532</v>
      </c>
      <c r="E59" s="112" t="s">
        <v>397</v>
      </c>
      <c r="F59" s="134">
        <v>536.70000000000005</v>
      </c>
      <c r="G59" s="134">
        <v>550.52</v>
      </c>
      <c r="H59" s="134">
        <v>525.53</v>
      </c>
      <c r="I59" s="134">
        <f t="shared" si="7"/>
        <v>24.990000000000009</v>
      </c>
      <c r="J59" s="134">
        <v>543.46</v>
      </c>
      <c r="K59" s="134">
        <v>534.64</v>
      </c>
      <c r="L59" s="114">
        <f t="shared" si="11"/>
        <v>7</v>
      </c>
      <c r="M59" s="118">
        <f t="shared" si="12"/>
        <v>1.3333333333333334E-2</v>
      </c>
      <c r="N59" s="134">
        <f t="shared" si="13"/>
        <v>528.75</v>
      </c>
      <c r="O59" s="135">
        <v>2</v>
      </c>
      <c r="P59" s="136" t="s">
        <v>741</v>
      </c>
      <c r="Q59" s="137">
        <v>1</v>
      </c>
      <c r="R59" s="136" t="s">
        <v>397</v>
      </c>
      <c r="S59" s="138">
        <v>2</v>
      </c>
      <c r="T59" s="136" t="s">
        <v>741</v>
      </c>
      <c r="U59" s="140">
        <v>0</v>
      </c>
      <c r="V59" s="139"/>
      <c r="W59" s="141">
        <v>1</v>
      </c>
      <c r="X59" s="136" t="s">
        <v>397</v>
      </c>
      <c r="Y59" s="142">
        <v>1</v>
      </c>
      <c r="Z59" s="136" t="s">
        <v>741</v>
      </c>
      <c r="AA59" s="143">
        <v>0</v>
      </c>
      <c r="AB59" s="139"/>
      <c r="AC59" s="144">
        <f t="shared" si="8"/>
        <v>7</v>
      </c>
      <c r="AD59" s="110"/>
      <c r="AE59" s="110" t="str">
        <f t="shared" si="9"/>
        <v>🔺 Bullish</v>
      </c>
      <c r="AF59" s="110" t="str">
        <f t="shared" si="10"/>
        <v>STOCK IN NOW</v>
      </c>
      <c r="AG59" s="111"/>
    </row>
    <row r="60" spans="2:33" ht="25.5" customHeight="1" x14ac:dyDescent="0.25">
      <c r="B60" s="75">
        <v>2</v>
      </c>
      <c r="C60" s="145">
        <v>45299</v>
      </c>
      <c r="D60" s="133">
        <v>538</v>
      </c>
      <c r="E60" s="112" t="s">
        <v>402</v>
      </c>
      <c r="F60" s="134">
        <v>547.71</v>
      </c>
      <c r="G60" s="134">
        <v>560.63</v>
      </c>
      <c r="H60" s="134">
        <v>532.27</v>
      </c>
      <c r="I60" s="134">
        <f t="shared" si="7"/>
        <v>28.360000000000014</v>
      </c>
      <c r="J60" s="134">
        <v>551.45000000000005</v>
      </c>
      <c r="K60" s="134">
        <v>553.67999999999995</v>
      </c>
      <c r="L60" s="114">
        <f t="shared" si="11"/>
        <v>6</v>
      </c>
      <c r="M60" s="118">
        <f t="shared" si="12"/>
        <v>1.1278195488721804E-2</v>
      </c>
      <c r="N60" s="134">
        <f t="shared" si="13"/>
        <v>530.75</v>
      </c>
      <c r="O60" s="135">
        <v>2</v>
      </c>
      <c r="P60" s="136" t="s">
        <v>742</v>
      </c>
      <c r="Q60" s="137">
        <v>1</v>
      </c>
      <c r="R60" s="136" t="s">
        <v>402</v>
      </c>
      <c r="S60" s="138">
        <v>2</v>
      </c>
      <c r="T60" s="136" t="s">
        <v>742</v>
      </c>
      <c r="U60" s="140">
        <v>0</v>
      </c>
      <c r="V60" s="139"/>
      <c r="W60" s="141">
        <v>1</v>
      </c>
      <c r="X60" s="136" t="s">
        <v>402</v>
      </c>
      <c r="Y60" s="142">
        <v>1</v>
      </c>
      <c r="Z60" s="136" t="s">
        <v>742</v>
      </c>
      <c r="AA60" s="143">
        <v>0</v>
      </c>
      <c r="AB60" s="139"/>
      <c r="AC60" s="144">
        <f t="shared" si="8"/>
        <v>7</v>
      </c>
      <c r="AD60" s="110"/>
      <c r="AE60" s="110" t="str">
        <f t="shared" si="9"/>
        <v>🔺 Bullish</v>
      </c>
      <c r="AF60" s="110" t="str">
        <f t="shared" si="10"/>
        <v>STOCK IN NOW</v>
      </c>
      <c r="AG60" s="111"/>
    </row>
    <row r="61" spans="2:33" ht="25.5" customHeight="1" x14ac:dyDescent="0.25">
      <c r="B61" s="131">
        <v>3</v>
      </c>
      <c r="C61" s="132">
        <v>45306</v>
      </c>
      <c r="D61" s="133">
        <v>542</v>
      </c>
      <c r="E61" s="112" t="s">
        <v>407</v>
      </c>
      <c r="F61" s="134">
        <v>548.99</v>
      </c>
      <c r="G61" s="134">
        <v>568.53</v>
      </c>
      <c r="H61" s="134">
        <v>538.01</v>
      </c>
      <c r="I61" s="134">
        <f t="shared" si="7"/>
        <v>30.519999999999982</v>
      </c>
      <c r="J61" s="134">
        <v>561.83000000000004</v>
      </c>
      <c r="K61" s="134">
        <v>543.15</v>
      </c>
      <c r="L61" s="114">
        <f t="shared" si="11"/>
        <v>4</v>
      </c>
      <c r="M61" s="118">
        <f t="shared" si="12"/>
        <v>7.4349442379182153E-3</v>
      </c>
      <c r="N61" s="134">
        <f t="shared" si="13"/>
        <v>534.25</v>
      </c>
      <c r="O61" s="135">
        <v>2</v>
      </c>
      <c r="P61" s="136" t="s">
        <v>743</v>
      </c>
      <c r="Q61" s="137">
        <v>2</v>
      </c>
      <c r="R61" s="136" t="s">
        <v>407</v>
      </c>
      <c r="S61" s="138">
        <v>2</v>
      </c>
      <c r="T61" s="136" t="s">
        <v>743</v>
      </c>
      <c r="U61" s="140">
        <v>1</v>
      </c>
      <c r="V61" s="136" t="s">
        <v>743</v>
      </c>
      <c r="W61" s="141">
        <v>1</v>
      </c>
      <c r="X61" s="136" t="s">
        <v>407</v>
      </c>
      <c r="Y61" s="142">
        <v>1</v>
      </c>
      <c r="Z61" s="136" t="s">
        <v>743</v>
      </c>
      <c r="AA61" s="143">
        <v>0</v>
      </c>
      <c r="AB61" s="139"/>
      <c r="AC61" s="144">
        <f t="shared" si="8"/>
        <v>9</v>
      </c>
      <c r="AD61" s="110"/>
      <c r="AE61" s="110" t="str">
        <f t="shared" si="9"/>
        <v>🔺 Bullish</v>
      </c>
      <c r="AF61" s="110" t="str">
        <f t="shared" si="10"/>
        <v>STOCK IN NOW</v>
      </c>
      <c r="AG61" s="111"/>
    </row>
    <row r="62" spans="2:33" ht="25.5" customHeight="1" x14ac:dyDescent="0.25">
      <c r="B62" s="75">
        <v>4</v>
      </c>
      <c r="C62" s="145">
        <v>45313</v>
      </c>
      <c r="D62" s="133">
        <v>545</v>
      </c>
      <c r="E62" s="112" t="s">
        <v>412</v>
      </c>
      <c r="F62" s="134">
        <v>546.36</v>
      </c>
      <c r="G62" s="134">
        <v>557.09</v>
      </c>
      <c r="H62" s="134">
        <v>536.61</v>
      </c>
      <c r="I62" s="134">
        <f t="shared" si="7"/>
        <v>20.480000000000018</v>
      </c>
      <c r="J62" s="134">
        <v>550.63</v>
      </c>
      <c r="K62" s="134">
        <v>543.44000000000005</v>
      </c>
      <c r="L62" s="114">
        <f t="shared" si="11"/>
        <v>3</v>
      </c>
      <c r="M62" s="118">
        <f t="shared" si="12"/>
        <v>5.5350553505535052E-3</v>
      </c>
      <c r="N62" s="134">
        <f t="shared" si="13"/>
        <v>539.25</v>
      </c>
      <c r="O62" s="135">
        <v>2</v>
      </c>
      <c r="P62" s="136" t="s">
        <v>744</v>
      </c>
      <c r="Q62" s="137">
        <v>1</v>
      </c>
      <c r="R62" s="136" t="s">
        <v>412</v>
      </c>
      <c r="S62" s="138">
        <v>2</v>
      </c>
      <c r="T62" s="136" t="s">
        <v>744</v>
      </c>
      <c r="U62" s="140">
        <v>0</v>
      </c>
      <c r="V62" s="139"/>
      <c r="W62" s="141">
        <v>1</v>
      </c>
      <c r="X62" s="136" t="s">
        <v>412</v>
      </c>
      <c r="Y62" s="142">
        <v>1</v>
      </c>
      <c r="Z62" s="136" t="s">
        <v>744</v>
      </c>
      <c r="AA62" s="143">
        <v>0</v>
      </c>
      <c r="AB62" s="139"/>
      <c r="AC62" s="144">
        <f t="shared" si="8"/>
        <v>7</v>
      </c>
      <c r="AD62" s="110"/>
      <c r="AE62" s="110" t="str">
        <f t="shared" si="9"/>
        <v>🔺 Bullish</v>
      </c>
      <c r="AF62" s="110" t="str">
        <f t="shared" si="10"/>
        <v>STOCK IN NOW</v>
      </c>
      <c r="AG62" s="111"/>
    </row>
    <row r="63" spans="2:33" ht="25.5" customHeight="1" x14ac:dyDescent="0.25">
      <c r="B63" s="131">
        <v>5</v>
      </c>
      <c r="C63" s="132">
        <v>45320</v>
      </c>
      <c r="D63" s="133">
        <v>540</v>
      </c>
      <c r="E63" s="112" t="s">
        <v>417</v>
      </c>
      <c r="F63" s="134">
        <v>551.29</v>
      </c>
      <c r="G63" s="134">
        <v>566.94000000000005</v>
      </c>
      <c r="H63" s="134">
        <v>535.07000000000005</v>
      </c>
      <c r="I63" s="134">
        <f t="shared" si="7"/>
        <v>31.870000000000005</v>
      </c>
      <c r="J63" s="134">
        <v>560.82000000000005</v>
      </c>
      <c r="K63" s="134">
        <v>553.05999999999995</v>
      </c>
      <c r="L63" s="114">
        <f t="shared" si="11"/>
        <v>-5</v>
      </c>
      <c r="M63" s="118">
        <f t="shared" si="12"/>
        <v>-9.1743119266055051E-3</v>
      </c>
      <c r="N63" s="134">
        <f t="shared" si="13"/>
        <v>541.25</v>
      </c>
      <c r="O63" s="135">
        <v>1</v>
      </c>
      <c r="P63" s="136" t="s">
        <v>745</v>
      </c>
      <c r="Q63" s="137">
        <v>1</v>
      </c>
      <c r="R63" s="136" t="s">
        <v>417</v>
      </c>
      <c r="S63" s="138">
        <v>2</v>
      </c>
      <c r="T63" s="136" t="s">
        <v>745</v>
      </c>
      <c r="U63" s="140">
        <v>0</v>
      </c>
      <c r="V63" s="139"/>
      <c r="W63" s="141">
        <v>1</v>
      </c>
      <c r="X63" s="136" t="s">
        <v>417</v>
      </c>
      <c r="Y63" s="142">
        <v>0</v>
      </c>
      <c r="Z63" s="139"/>
      <c r="AA63" s="143">
        <v>0</v>
      </c>
      <c r="AB63" s="139"/>
      <c r="AC63" s="144">
        <f t="shared" si="8"/>
        <v>5</v>
      </c>
      <c r="AD63" s="110"/>
      <c r="AE63" s="110" t="str">
        <f t="shared" si="9"/>
        <v>🔺 Bullish</v>
      </c>
      <c r="AF63" s="110" t="str">
        <f t="shared" si="10"/>
        <v>STOCK IN NOW</v>
      </c>
      <c r="AG63" s="111"/>
    </row>
    <row r="64" spans="2:33" ht="25.5" customHeight="1" x14ac:dyDescent="0.25">
      <c r="B64" s="75">
        <v>6</v>
      </c>
      <c r="C64" s="145">
        <v>45327</v>
      </c>
      <c r="D64" s="133">
        <v>535</v>
      </c>
      <c r="E64" s="112" t="s">
        <v>422</v>
      </c>
      <c r="F64" s="134">
        <v>542.91999999999996</v>
      </c>
      <c r="G64" s="134">
        <v>552.62</v>
      </c>
      <c r="H64" s="134">
        <v>532.15</v>
      </c>
      <c r="I64" s="134">
        <f t="shared" si="7"/>
        <v>20.470000000000027</v>
      </c>
      <c r="J64" s="134">
        <v>544.36</v>
      </c>
      <c r="K64" s="134">
        <v>549.4</v>
      </c>
      <c r="L64" s="114">
        <f t="shared" si="11"/>
        <v>-5</v>
      </c>
      <c r="M64" s="118">
        <f t="shared" si="12"/>
        <v>-9.2592592592592587E-3</v>
      </c>
      <c r="N64" s="134">
        <f t="shared" si="13"/>
        <v>540.5</v>
      </c>
      <c r="O64" s="135">
        <v>1</v>
      </c>
      <c r="P64" s="136" t="s">
        <v>746</v>
      </c>
      <c r="Q64" s="137">
        <v>0</v>
      </c>
      <c r="R64" s="136" t="s">
        <v>422</v>
      </c>
      <c r="S64" s="138">
        <v>1</v>
      </c>
      <c r="T64" s="136" t="s">
        <v>746</v>
      </c>
      <c r="U64" s="140">
        <v>0</v>
      </c>
      <c r="V64" s="139"/>
      <c r="W64" s="141">
        <v>1</v>
      </c>
      <c r="X64" s="136" t="s">
        <v>422</v>
      </c>
      <c r="Y64" s="142">
        <v>0</v>
      </c>
      <c r="Z64" s="139"/>
      <c r="AA64" s="143">
        <v>0</v>
      </c>
      <c r="AB64" s="139"/>
      <c r="AC64" s="144">
        <f t="shared" si="8"/>
        <v>3</v>
      </c>
      <c r="AD64" s="110"/>
      <c r="AE64" s="110" t="str">
        <f t="shared" si="9"/>
        <v>↑ Mildly Bullish</v>
      </c>
      <c r="AF64" s="110" t="str">
        <f t="shared" si="10"/>
        <v>Consider stock-in</v>
      </c>
      <c r="AG64" s="111"/>
    </row>
    <row r="65" spans="2:33" ht="25.5" customHeight="1" x14ac:dyDescent="0.25">
      <c r="B65" s="131">
        <v>7</v>
      </c>
      <c r="C65" s="132">
        <v>45334</v>
      </c>
      <c r="D65" s="133">
        <v>532</v>
      </c>
      <c r="E65" s="112" t="s">
        <v>427</v>
      </c>
      <c r="F65" s="134">
        <v>544.99</v>
      </c>
      <c r="G65" s="134">
        <v>557.29999999999995</v>
      </c>
      <c r="H65" s="134">
        <v>524.69000000000005</v>
      </c>
      <c r="I65" s="134">
        <f t="shared" si="7"/>
        <v>32.6099999999999</v>
      </c>
      <c r="J65" s="134">
        <v>552.67999999999995</v>
      </c>
      <c r="K65" s="134">
        <v>550.29</v>
      </c>
      <c r="L65" s="114">
        <f t="shared" si="11"/>
        <v>-3</v>
      </c>
      <c r="M65" s="118">
        <f t="shared" si="12"/>
        <v>-5.6074766355140183E-3</v>
      </c>
      <c r="N65" s="134">
        <f t="shared" si="13"/>
        <v>538</v>
      </c>
      <c r="O65" s="135">
        <v>1</v>
      </c>
      <c r="P65" s="136" t="s">
        <v>747</v>
      </c>
      <c r="Q65" s="137">
        <v>0</v>
      </c>
      <c r="R65" s="136" t="s">
        <v>427</v>
      </c>
      <c r="S65" s="138">
        <v>1</v>
      </c>
      <c r="T65" s="136" t="s">
        <v>747</v>
      </c>
      <c r="U65" s="140">
        <v>0</v>
      </c>
      <c r="V65" s="139"/>
      <c r="W65" s="141">
        <v>1</v>
      </c>
      <c r="X65" s="136" t="s">
        <v>427</v>
      </c>
      <c r="Y65" s="142">
        <v>0</v>
      </c>
      <c r="Z65" s="139"/>
      <c r="AA65" s="143">
        <v>0</v>
      </c>
      <c r="AB65" s="139"/>
      <c r="AC65" s="144">
        <f t="shared" si="8"/>
        <v>3</v>
      </c>
      <c r="AD65" s="110"/>
      <c r="AE65" s="110" t="str">
        <f t="shared" si="9"/>
        <v>↑ Mildly Bullish</v>
      </c>
      <c r="AF65" s="110" t="str">
        <f t="shared" si="10"/>
        <v>Consider stock-in</v>
      </c>
      <c r="AG65" s="111"/>
    </row>
    <row r="66" spans="2:33" ht="25.5" customHeight="1" x14ac:dyDescent="0.25">
      <c r="B66" s="75">
        <v>8</v>
      </c>
      <c r="C66" s="145">
        <v>45341</v>
      </c>
      <c r="D66" s="133">
        <v>528</v>
      </c>
      <c r="E66" s="112" t="s">
        <v>432</v>
      </c>
      <c r="F66" s="134">
        <v>537.99</v>
      </c>
      <c r="G66" s="134">
        <v>550.74</v>
      </c>
      <c r="H66" s="134">
        <v>524.6</v>
      </c>
      <c r="I66" s="134">
        <f t="shared" si="7"/>
        <v>26.139999999999986</v>
      </c>
      <c r="J66" s="134">
        <v>547.87</v>
      </c>
      <c r="K66" s="134">
        <v>538.09</v>
      </c>
      <c r="L66" s="114">
        <f t="shared" si="11"/>
        <v>-4</v>
      </c>
      <c r="M66" s="118">
        <f t="shared" si="12"/>
        <v>-7.5187969924812026E-3</v>
      </c>
      <c r="N66" s="134">
        <f t="shared" si="13"/>
        <v>533.75</v>
      </c>
      <c r="O66" s="135">
        <v>0</v>
      </c>
      <c r="P66" s="139"/>
      <c r="Q66" s="137">
        <v>1</v>
      </c>
      <c r="R66" s="136" t="s">
        <v>432</v>
      </c>
      <c r="S66" s="138">
        <v>1</v>
      </c>
      <c r="T66" s="136" t="s">
        <v>748</v>
      </c>
      <c r="U66" s="140">
        <v>0</v>
      </c>
      <c r="V66" s="139"/>
      <c r="W66" s="141">
        <v>1</v>
      </c>
      <c r="X66" s="136" t="s">
        <v>432</v>
      </c>
      <c r="Y66" s="142">
        <v>0</v>
      </c>
      <c r="Z66" s="139"/>
      <c r="AA66" s="143">
        <v>0</v>
      </c>
      <c r="AB66" s="139"/>
      <c r="AC66" s="144">
        <f t="shared" si="8"/>
        <v>3</v>
      </c>
      <c r="AD66" s="110"/>
      <c r="AE66" s="110" t="str">
        <f t="shared" si="9"/>
        <v>↑ Mildly Bullish</v>
      </c>
      <c r="AF66" s="110" t="str">
        <f t="shared" si="10"/>
        <v>Consider stock-in</v>
      </c>
      <c r="AG66" s="111"/>
    </row>
    <row r="67" spans="2:33" ht="25.5" customHeight="1" x14ac:dyDescent="0.25">
      <c r="B67" s="131">
        <v>9</v>
      </c>
      <c r="C67" s="132">
        <v>45348</v>
      </c>
      <c r="D67" s="133">
        <v>525</v>
      </c>
      <c r="E67" s="112" t="s">
        <v>437</v>
      </c>
      <c r="F67" s="134">
        <v>529.24</v>
      </c>
      <c r="G67" s="134">
        <v>552.14</v>
      </c>
      <c r="H67" s="134">
        <v>513.35</v>
      </c>
      <c r="I67" s="134">
        <f t="shared" si="7"/>
        <v>38.789999999999964</v>
      </c>
      <c r="J67" s="134">
        <v>544.26</v>
      </c>
      <c r="K67" s="134">
        <v>518.45000000000005</v>
      </c>
      <c r="L67" s="114">
        <f t="shared" si="11"/>
        <v>-3</v>
      </c>
      <c r="M67" s="118">
        <f t="shared" si="12"/>
        <v>-5.681818181818182E-3</v>
      </c>
      <c r="N67" s="134">
        <f t="shared" si="13"/>
        <v>530</v>
      </c>
      <c r="O67" s="135">
        <v>0</v>
      </c>
      <c r="P67" s="139"/>
      <c r="Q67" s="137">
        <v>1</v>
      </c>
      <c r="R67" s="136" t="s">
        <v>437</v>
      </c>
      <c r="S67" s="138">
        <v>1</v>
      </c>
      <c r="T67" s="136" t="s">
        <v>749</v>
      </c>
      <c r="U67" s="140">
        <v>0</v>
      </c>
      <c r="V67" s="139"/>
      <c r="W67" s="141">
        <v>0</v>
      </c>
      <c r="X67" s="136" t="s">
        <v>437</v>
      </c>
      <c r="Y67" s="142">
        <v>0</v>
      </c>
      <c r="Z67" s="139"/>
      <c r="AA67" s="143">
        <v>0</v>
      </c>
      <c r="AB67" s="139"/>
      <c r="AC67" s="144">
        <f t="shared" si="8"/>
        <v>2</v>
      </c>
      <c r="AD67" s="110"/>
      <c r="AE67" s="110" t="str">
        <f t="shared" si="9"/>
        <v>↑ Mildly Bullish</v>
      </c>
      <c r="AF67" s="110" t="str">
        <f t="shared" si="10"/>
        <v>Consider stock-in</v>
      </c>
      <c r="AG67" s="111"/>
    </row>
    <row r="68" spans="2:33" ht="25.5" customHeight="1" x14ac:dyDescent="0.25">
      <c r="B68" s="75">
        <v>10</v>
      </c>
      <c r="C68" s="145">
        <v>45355</v>
      </c>
      <c r="D68" s="133">
        <v>522</v>
      </c>
      <c r="E68" s="112" t="s">
        <v>441</v>
      </c>
      <c r="F68" s="134">
        <v>525.62</v>
      </c>
      <c r="G68" s="134">
        <v>531.69000000000005</v>
      </c>
      <c r="H68" s="134">
        <v>516.74</v>
      </c>
      <c r="I68" s="134">
        <f t="shared" si="7"/>
        <v>14.950000000000045</v>
      </c>
      <c r="J68" s="134">
        <v>528.12</v>
      </c>
      <c r="K68" s="134">
        <v>526.73</v>
      </c>
      <c r="L68" s="114">
        <f t="shared" si="11"/>
        <v>-3</v>
      </c>
      <c r="M68" s="118">
        <f t="shared" si="12"/>
        <v>-5.7142857142857143E-3</v>
      </c>
      <c r="N68" s="134">
        <f t="shared" si="13"/>
        <v>526.75</v>
      </c>
      <c r="O68" s="135">
        <v>0</v>
      </c>
      <c r="P68" s="139"/>
      <c r="Q68" s="137">
        <v>1</v>
      </c>
      <c r="R68" s="136" t="s">
        <v>441</v>
      </c>
      <c r="S68" s="138">
        <v>1</v>
      </c>
      <c r="T68" s="136" t="s">
        <v>750</v>
      </c>
      <c r="U68" s="140">
        <v>0</v>
      </c>
      <c r="V68" s="139"/>
      <c r="W68" s="141">
        <v>0</v>
      </c>
      <c r="X68" s="136" t="s">
        <v>441</v>
      </c>
      <c r="Y68" s="142">
        <v>0</v>
      </c>
      <c r="Z68" s="139"/>
      <c r="AA68" s="143">
        <v>0</v>
      </c>
      <c r="AB68" s="139"/>
      <c r="AC68" s="144">
        <f t="shared" si="8"/>
        <v>2</v>
      </c>
      <c r="AD68" s="110"/>
      <c r="AE68" s="110" t="str">
        <f t="shared" si="9"/>
        <v>↑ Mildly Bullish</v>
      </c>
      <c r="AF68" s="110" t="str">
        <f t="shared" si="10"/>
        <v>Consider stock-in</v>
      </c>
      <c r="AG68" s="111"/>
    </row>
    <row r="69" spans="2:33" ht="25.5" customHeight="1" x14ac:dyDescent="0.25">
      <c r="B69" s="131">
        <v>11</v>
      </c>
      <c r="C69" s="132">
        <v>45362</v>
      </c>
      <c r="D69" s="133">
        <v>520</v>
      </c>
      <c r="E69" s="112" t="s">
        <v>446</v>
      </c>
      <c r="F69" s="134">
        <v>520.66</v>
      </c>
      <c r="G69" s="134">
        <v>529.08000000000004</v>
      </c>
      <c r="H69" s="134">
        <v>508.47</v>
      </c>
      <c r="I69" s="134">
        <f t="shared" si="7"/>
        <v>20.610000000000014</v>
      </c>
      <c r="J69" s="134">
        <v>516.11</v>
      </c>
      <c r="K69" s="134">
        <v>525.86</v>
      </c>
      <c r="L69" s="114">
        <f t="shared" si="11"/>
        <v>-2</v>
      </c>
      <c r="M69" s="118">
        <f t="shared" si="12"/>
        <v>-3.8314176245210726E-3</v>
      </c>
      <c r="N69" s="134">
        <f t="shared" si="13"/>
        <v>523.75</v>
      </c>
      <c r="O69" s="135">
        <v>-1</v>
      </c>
      <c r="P69" s="136" t="s">
        <v>751</v>
      </c>
      <c r="Q69" s="137">
        <v>1</v>
      </c>
      <c r="R69" s="136" t="s">
        <v>446</v>
      </c>
      <c r="S69" s="138">
        <v>0</v>
      </c>
      <c r="T69" s="139"/>
      <c r="U69" s="140">
        <v>0</v>
      </c>
      <c r="V69" s="139"/>
      <c r="W69" s="141">
        <v>0</v>
      </c>
      <c r="X69" s="136" t="s">
        <v>446</v>
      </c>
      <c r="Y69" s="142">
        <v>0</v>
      </c>
      <c r="Z69" s="139"/>
      <c r="AA69" s="143">
        <v>0</v>
      </c>
      <c r="AB69" s="139"/>
      <c r="AC69" s="144">
        <f t="shared" si="8"/>
        <v>0</v>
      </c>
      <c r="AD69" s="110"/>
      <c r="AE69" s="110" t="str">
        <f t="shared" si="9"/>
        <v>→ Neutral</v>
      </c>
      <c r="AF69" s="110" t="str">
        <f t="shared" si="10"/>
        <v>Hold</v>
      </c>
      <c r="AG69" s="111"/>
    </row>
    <row r="70" spans="2:33" ht="25.5" customHeight="1" x14ac:dyDescent="0.25">
      <c r="B70" s="75">
        <v>12</v>
      </c>
      <c r="C70" s="145">
        <v>45369</v>
      </c>
      <c r="D70" s="133">
        <v>518</v>
      </c>
      <c r="E70" s="112" t="s">
        <v>451</v>
      </c>
      <c r="F70" s="134">
        <v>522.07000000000005</v>
      </c>
      <c r="G70" s="134">
        <v>534.85</v>
      </c>
      <c r="H70" s="134">
        <v>511.5</v>
      </c>
      <c r="I70" s="134">
        <f t="shared" si="7"/>
        <v>23.350000000000023</v>
      </c>
      <c r="J70" s="134">
        <v>517.82000000000005</v>
      </c>
      <c r="K70" s="134">
        <v>530.4</v>
      </c>
      <c r="L70" s="114">
        <f t="shared" si="11"/>
        <v>-2</v>
      </c>
      <c r="M70" s="118">
        <f t="shared" si="12"/>
        <v>-3.8461538461538464E-3</v>
      </c>
      <c r="N70" s="134">
        <f t="shared" si="13"/>
        <v>521.25</v>
      </c>
      <c r="O70" s="135">
        <v>-1</v>
      </c>
      <c r="P70" s="136" t="s">
        <v>752</v>
      </c>
      <c r="Q70" s="137">
        <v>1</v>
      </c>
      <c r="R70" s="136" t="s">
        <v>451</v>
      </c>
      <c r="S70" s="138">
        <v>0</v>
      </c>
      <c r="T70" s="139"/>
      <c r="U70" s="140">
        <v>0</v>
      </c>
      <c r="V70" s="139"/>
      <c r="W70" s="141">
        <v>0</v>
      </c>
      <c r="X70" s="136" t="s">
        <v>451</v>
      </c>
      <c r="Y70" s="142">
        <v>0</v>
      </c>
      <c r="Z70" s="139"/>
      <c r="AA70" s="143">
        <v>0</v>
      </c>
      <c r="AB70" s="139"/>
      <c r="AC70" s="144">
        <f t="shared" si="8"/>
        <v>0</v>
      </c>
      <c r="AD70" s="110"/>
      <c r="AE70" s="110" t="str">
        <f t="shared" si="9"/>
        <v>→ Neutral</v>
      </c>
      <c r="AF70" s="110" t="str">
        <f t="shared" si="10"/>
        <v>Hold</v>
      </c>
      <c r="AG70" s="111"/>
    </row>
    <row r="71" spans="2:33" ht="25.5" customHeight="1" x14ac:dyDescent="0.25">
      <c r="B71" s="131">
        <v>13</v>
      </c>
      <c r="C71" s="132">
        <v>45376</v>
      </c>
      <c r="D71" s="133">
        <v>522</v>
      </c>
      <c r="E71" s="112" t="s">
        <v>456</v>
      </c>
      <c r="F71" s="134">
        <v>528.80999999999995</v>
      </c>
      <c r="G71" s="134">
        <v>544.27</v>
      </c>
      <c r="H71" s="134">
        <v>517.9</v>
      </c>
      <c r="I71" s="134">
        <f t="shared" ref="I71:I102" si="14">IFERROR(G71-H71,"")</f>
        <v>26.370000000000005</v>
      </c>
      <c r="J71" s="134">
        <v>525.54999999999995</v>
      </c>
      <c r="K71" s="134">
        <v>538.89</v>
      </c>
      <c r="L71" s="114">
        <f t="shared" si="11"/>
        <v>4</v>
      </c>
      <c r="M71" s="118">
        <f t="shared" si="12"/>
        <v>7.7220077220077222E-3</v>
      </c>
      <c r="N71" s="134">
        <f t="shared" si="13"/>
        <v>520.5</v>
      </c>
      <c r="O71" s="135">
        <v>0</v>
      </c>
      <c r="P71" s="139"/>
      <c r="Q71" s="137">
        <v>2</v>
      </c>
      <c r="R71" s="136" t="s">
        <v>456</v>
      </c>
      <c r="S71" s="138">
        <v>0</v>
      </c>
      <c r="T71" s="139"/>
      <c r="U71" s="140">
        <v>0</v>
      </c>
      <c r="V71" s="139"/>
      <c r="W71" s="141">
        <v>0</v>
      </c>
      <c r="X71" s="136" t="s">
        <v>456</v>
      </c>
      <c r="Y71" s="142">
        <v>0</v>
      </c>
      <c r="Z71" s="139"/>
      <c r="AA71" s="143">
        <v>0</v>
      </c>
      <c r="AB71" s="139"/>
      <c r="AC71" s="144">
        <f t="shared" ref="AC71:AC102" si="15">SUM(O71,Q71,S71,U71,W71,Y71,AA71)</f>
        <v>2</v>
      </c>
      <c r="AD71" s="110"/>
      <c r="AE71" s="110" t="str">
        <f t="shared" ref="AE71:AE102" si="16">IFERROR(IF(AC71&gt;=4,"🔺 Bullish",IF(AC71&lt;=-4,"🔻 Bearish",IF(AC71&gt;=2,"↑ Mildly Bullish",IF(AC71&lt;=-2,"↓ Mildly Bearish","→ Neutral")))),"—")</f>
        <v>↑ Mildly Bullish</v>
      </c>
      <c r="AF71" s="110" t="str">
        <f t="shared" ref="AF71:AF102" si="17">IFERROR(IF(AC71&gt;=4,"STOCK IN NOW",IF(AC71&lt;=-4,"REDUCE EXPOSURE",IF(AC71&gt;=2,"Consider stock-in",IF(AC71&lt;=-2,"Review sell price","Hold")))),"—")</f>
        <v>Consider stock-in</v>
      </c>
      <c r="AG71" s="111"/>
    </row>
    <row r="72" spans="2:33" ht="25.5" customHeight="1" x14ac:dyDescent="0.25">
      <c r="B72" s="75">
        <v>14</v>
      </c>
      <c r="C72" s="145">
        <v>45383</v>
      </c>
      <c r="D72" s="133">
        <v>525</v>
      </c>
      <c r="E72" s="112" t="s">
        <v>461</v>
      </c>
      <c r="F72" s="134">
        <v>527.97</v>
      </c>
      <c r="G72" s="134">
        <v>535.55999999999995</v>
      </c>
      <c r="H72" s="134">
        <v>519.14</v>
      </c>
      <c r="I72" s="134">
        <f t="shared" si="14"/>
        <v>16.419999999999959</v>
      </c>
      <c r="J72" s="134">
        <v>528.49</v>
      </c>
      <c r="K72" s="134">
        <v>530.42999999999995</v>
      </c>
      <c r="L72" s="114">
        <f t="shared" si="11"/>
        <v>3</v>
      </c>
      <c r="M72" s="118">
        <f t="shared" si="12"/>
        <v>5.7471264367816091E-3</v>
      </c>
      <c r="N72" s="134">
        <f t="shared" si="13"/>
        <v>521.25</v>
      </c>
      <c r="O72" s="135">
        <v>0</v>
      </c>
      <c r="P72" s="139"/>
      <c r="Q72" s="137">
        <v>2</v>
      </c>
      <c r="R72" s="136" t="s">
        <v>461</v>
      </c>
      <c r="S72" s="138">
        <v>1</v>
      </c>
      <c r="T72" s="136" t="s">
        <v>753</v>
      </c>
      <c r="U72" s="140">
        <v>1</v>
      </c>
      <c r="V72" s="136" t="s">
        <v>753</v>
      </c>
      <c r="W72" s="141">
        <v>0</v>
      </c>
      <c r="X72" s="136" t="s">
        <v>461</v>
      </c>
      <c r="Y72" s="142">
        <v>0</v>
      </c>
      <c r="Z72" s="139"/>
      <c r="AA72" s="143">
        <v>0</v>
      </c>
      <c r="AB72" s="139"/>
      <c r="AC72" s="144">
        <f t="shared" si="15"/>
        <v>4</v>
      </c>
      <c r="AD72" s="110"/>
      <c r="AE72" s="110" t="str">
        <f t="shared" si="16"/>
        <v>🔺 Bullish</v>
      </c>
      <c r="AF72" s="110" t="str">
        <f t="shared" si="17"/>
        <v>STOCK IN NOW</v>
      </c>
      <c r="AG72" s="111"/>
    </row>
    <row r="73" spans="2:33" ht="25.5" customHeight="1" x14ac:dyDescent="0.25">
      <c r="B73" s="131">
        <v>15</v>
      </c>
      <c r="C73" s="132">
        <v>45390</v>
      </c>
      <c r="D73" s="133">
        <v>528</v>
      </c>
      <c r="E73" s="112" t="s">
        <v>466</v>
      </c>
      <c r="F73" s="134">
        <v>531.9</v>
      </c>
      <c r="G73" s="134">
        <v>545.94000000000005</v>
      </c>
      <c r="H73" s="134">
        <v>523.20000000000005</v>
      </c>
      <c r="I73" s="134">
        <f t="shared" si="14"/>
        <v>22.740000000000009</v>
      </c>
      <c r="J73" s="134">
        <v>527.95000000000005</v>
      </c>
      <c r="K73" s="134">
        <v>539.76</v>
      </c>
      <c r="L73" s="114">
        <f t="shared" ref="L73:L104" si="18">IFERROR(D73-D72,"")</f>
        <v>3</v>
      </c>
      <c r="M73" s="118">
        <f t="shared" ref="M73:M104" si="19">IFERROR(L73/D72,"")</f>
        <v>5.7142857142857143E-3</v>
      </c>
      <c r="N73" s="134">
        <f t="shared" si="13"/>
        <v>523.25</v>
      </c>
      <c r="O73" s="135">
        <v>0</v>
      </c>
      <c r="P73" s="139"/>
      <c r="Q73" s="137">
        <v>2</v>
      </c>
      <c r="R73" s="136" t="s">
        <v>466</v>
      </c>
      <c r="S73" s="138">
        <v>1</v>
      </c>
      <c r="T73" s="136" t="s">
        <v>466</v>
      </c>
      <c r="U73" s="140">
        <v>1</v>
      </c>
      <c r="V73" s="136" t="s">
        <v>466</v>
      </c>
      <c r="W73" s="141">
        <v>0</v>
      </c>
      <c r="X73" s="136" t="s">
        <v>466</v>
      </c>
      <c r="Y73" s="142">
        <v>0</v>
      </c>
      <c r="Z73" s="139"/>
      <c r="AA73" s="143">
        <v>0</v>
      </c>
      <c r="AB73" s="139"/>
      <c r="AC73" s="144">
        <f t="shared" si="15"/>
        <v>4</v>
      </c>
      <c r="AD73" s="110"/>
      <c r="AE73" s="110" t="str">
        <f t="shared" si="16"/>
        <v>🔺 Bullish</v>
      </c>
      <c r="AF73" s="110" t="str">
        <f t="shared" si="17"/>
        <v>STOCK IN NOW</v>
      </c>
      <c r="AG73" s="111"/>
    </row>
    <row r="74" spans="2:33" ht="25.5" customHeight="1" x14ac:dyDescent="0.25">
      <c r="B74" s="75">
        <v>16</v>
      </c>
      <c r="C74" s="145">
        <v>45397</v>
      </c>
      <c r="D74" s="133">
        <v>532</v>
      </c>
      <c r="E74" s="112" t="s">
        <v>471</v>
      </c>
      <c r="F74" s="134">
        <v>533.1</v>
      </c>
      <c r="G74" s="134">
        <v>545.64</v>
      </c>
      <c r="H74" s="134">
        <v>520.78</v>
      </c>
      <c r="I74" s="134">
        <f t="shared" si="14"/>
        <v>24.860000000000014</v>
      </c>
      <c r="J74" s="134">
        <v>526.99</v>
      </c>
      <c r="K74" s="134">
        <v>540.32000000000005</v>
      </c>
      <c r="L74" s="114">
        <f t="shared" si="18"/>
        <v>4</v>
      </c>
      <c r="M74" s="118">
        <f t="shared" si="19"/>
        <v>7.575757575757576E-3</v>
      </c>
      <c r="N74" s="134">
        <f t="shared" si="13"/>
        <v>526.75</v>
      </c>
      <c r="O74" s="135">
        <v>0</v>
      </c>
      <c r="P74" s="139"/>
      <c r="Q74" s="137">
        <v>2</v>
      </c>
      <c r="R74" s="136" t="s">
        <v>471</v>
      </c>
      <c r="S74" s="138">
        <v>1</v>
      </c>
      <c r="T74" s="136" t="s">
        <v>471</v>
      </c>
      <c r="U74" s="140">
        <v>1</v>
      </c>
      <c r="V74" s="136" t="s">
        <v>471</v>
      </c>
      <c r="W74" s="141">
        <v>0</v>
      </c>
      <c r="X74" s="136" t="s">
        <v>471</v>
      </c>
      <c r="Y74" s="142">
        <v>0</v>
      </c>
      <c r="Z74" s="139"/>
      <c r="AA74" s="143">
        <v>0</v>
      </c>
      <c r="AB74" s="139"/>
      <c r="AC74" s="144">
        <f t="shared" si="15"/>
        <v>4</v>
      </c>
      <c r="AD74" s="110"/>
      <c r="AE74" s="110" t="str">
        <f t="shared" si="16"/>
        <v>🔺 Bullish</v>
      </c>
      <c r="AF74" s="110" t="str">
        <f t="shared" si="17"/>
        <v>STOCK IN NOW</v>
      </c>
      <c r="AG74" s="111"/>
    </row>
    <row r="75" spans="2:33" ht="25.5" customHeight="1" x14ac:dyDescent="0.25">
      <c r="B75" s="131">
        <v>17</v>
      </c>
      <c r="C75" s="132">
        <v>45404</v>
      </c>
      <c r="D75" s="133">
        <v>535</v>
      </c>
      <c r="E75" s="112" t="s">
        <v>476</v>
      </c>
      <c r="F75" s="134">
        <v>533.9</v>
      </c>
      <c r="G75" s="134">
        <v>542.29</v>
      </c>
      <c r="H75" s="134">
        <v>524.62</v>
      </c>
      <c r="I75" s="134">
        <f t="shared" si="14"/>
        <v>17.669999999999959</v>
      </c>
      <c r="J75" s="134">
        <v>531.46</v>
      </c>
      <c r="K75" s="134">
        <v>535.23</v>
      </c>
      <c r="L75" s="114">
        <f t="shared" si="18"/>
        <v>3</v>
      </c>
      <c r="M75" s="118">
        <f t="shared" si="19"/>
        <v>5.6390977443609019E-3</v>
      </c>
      <c r="N75" s="134">
        <f t="shared" ref="N75:N106" si="20">IFERROR(AVERAGE(D72:D75),"")</f>
        <v>530</v>
      </c>
      <c r="O75" s="135">
        <v>0</v>
      </c>
      <c r="P75" s="139"/>
      <c r="Q75" s="137">
        <v>2</v>
      </c>
      <c r="R75" s="136" t="s">
        <v>476</v>
      </c>
      <c r="S75" s="138">
        <v>1</v>
      </c>
      <c r="T75" s="136" t="s">
        <v>754</v>
      </c>
      <c r="U75" s="140">
        <v>1</v>
      </c>
      <c r="V75" s="136" t="s">
        <v>754</v>
      </c>
      <c r="W75" s="141">
        <v>0</v>
      </c>
      <c r="X75" s="136" t="s">
        <v>476</v>
      </c>
      <c r="Y75" s="142">
        <v>1</v>
      </c>
      <c r="Z75" s="136" t="s">
        <v>754</v>
      </c>
      <c r="AA75" s="143">
        <v>0</v>
      </c>
      <c r="AB75" s="139"/>
      <c r="AC75" s="144">
        <f t="shared" si="15"/>
        <v>5</v>
      </c>
      <c r="AD75" s="110"/>
      <c r="AE75" s="110" t="str">
        <f t="shared" si="16"/>
        <v>🔺 Bullish</v>
      </c>
      <c r="AF75" s="110" t="str">
        <f t="shared" si="17"/>
        <v>STOCK IN NOW</v>
      </c>
      <c r="AG75" s="111"/>
    </row>
    <row r="76" spans="2:33" ht="25.5" customHeight="1" x14ac:dyDescent="0.25">
      <c r="B76" s="75">
        <v>18</v>
      </c>
      <c r="C76" s="145">
        <v>45411</v>
      </c>
      <c r="D76" s="133">
        <v>538</v>
      </c>
      <c r="E76" s="112" t="s">
        <v>481</v>
      </c>
      <c r="F76" s="134">
        <v>540.01</v>
      </c>
      <c r="G76" s="134">
        <v>548.01</v>
      </c>
      <c r="H76" s="134">
        <v>531.89</v>
      </c>
      <c r="I76" s="134">
        <f t="shared" si="14"/>
        <v>16.120000000000005</v>
      </c>
      <c r="J76" s="134">
        <v>543.35</v>
      </c>
      <c r="K76" s="134">
        <v>538.66999999999996</v>
      </c>
      <c r="L76" s="114">
        <f t="shared" si="18"/>
        <v>3</v>
      </c>
      <c r="M76" s="118">
        <f t="shared" si="19"/>
        <v>5.6074766355140183E-3</v>
      </c>
      <c r="N76" s="134">
        <f t="shared" si="20"/>
        <v>533.25</v>
      </c>
      <c r="O76" s="135">
        <v>1</v>
      </c>
      <c r="P76" s="136" t="s">
        <v>755</v>
      </c>
      <c r="Q76" s="137">
        <v>2</v>
      </c>
      <c r="R76" s="136" t="s">
        <v>481</v>
      </c>
      <c r="S76" s="138">
        <v>1</v>
      </c>
      <c r="T76" s="136" t="s">
        <v>755</v>
      </c>
      <c r="U76" s="140">
        <v>1</v>
      </c>
      <c r="V76" s="136" t="s">
        <v>755</v>
      </c>
      <c r="W76" s="141">
        <v>0</v>
      </c>
      <c r="X76" s="136" t="s">
        <v>481</v>
      </c>
      <c r="Y76" s="142">
        <v>1</v>
      </c>
      <c r="Z76" s="136" t="s">
        <v>755</v>
      </c>
      <c r="AA76" s="143">
        <v>0</v>
      </c>
      <c r="AB76" s="139"/>
      <c r="AC76" s="144">
        <f t="shared" si="15"/>
        <v>6</v>
      </c>
      <c r="AD76" s="110"/>
      <c r="AE76" s="110" t="str">
        <f t="shared" si="16"/>
        <v>🔺 Bullish</v>
      </c>
      <c r="AF76" s="110" t="str">
        <f t="shared" si="17"/>
        <v>STOCK IN NOW</v>
      </c>
      <c r="AG76" s="111"/>
    </row>
    <row r="77" spans="2:33" ht="25.5" customHeight="1" x14ac:dyDescent="0.25">
      <c r="B77" s="131">
        <v>19</v>
      </c>
      <c r="C77" s="132">
        <v>45418</v>
      </c>
      <c r="D77" s="133">
        <v>542</v>
      </c>
      <c r="E77" s="112" t="s">
        <v>486</v>
      </c>
      <c r="F77" s="134">
        <v>547.32000000000005</v>
      </c>
      <c r="G77" s="134">
        <v>555.61</v>
      </c>
      <c r="H77" s="134">
        <v>536.11</v>
      </c>
      <c r="I77" s="134">
        <f t="shared" si="14"/>
        <v>19.5</v>
      </c>
      <c r="J77" s="134">
        <v>551.24</v>
      </c>
      <c r="K77" s="134">
        <v>548.73</v>
      </c>
      <c r="L77" s="114">
        <f t="shared" si="18"/>
        <v>4</v>
      </c>
      <c r="M77" s="118">
        <f t="shared" si="19"/>
        <v>7.4349442379182153E-3</v>
      </c>
      <c r="N77" s="134">
        <f t="shared" si="20"/>
        <v>536.75</v>
      </c>
      <c r="O77" s="135">
        <v>1</v>
      </c>
      <c r="P77" s="136" t="s">
        <v>756</v>
      </c>
      <c r="Q77" s="137">
        <v>2</v>
      </c>
      <c r="R77" s="136" t="s">
        <v>486</v>
      </c>
      <c r="S77" s="138">
        <v>2</v>
      </c>
      <c r="T77" s="136" t="s">
        <v>756</v>
      </c>
      <c r="U77" s="140">
        <v>1</v>
      </c>
      <c r="V77" s="136" t="s">
        <v>756</v>
      </c>
      <c r="W77" s="141">
        <v>0</v>
      </c>
      <c r="X77" s="136" t="s">
        <v>486</v>
      </c>
      <c r="Y77" s="142">
        <v>0</v>
      </c>
      <c r="Z77" s="139"/>
      <c r="AA77" s="143">
        <v>0</v>
      </c>
      <c r="AB77" s="139"/>
      <c r="AC77" s="144">
        <f t="shared" si="15"/>
        <v>6</v>
      </c>
      <c r="AD77" s="110"/>
      <c r="AE77" s="110" t="str">
        <f t="shared" si="16"/>
        <v>🔺 Bullish</v>
      </c>
      <c r="AF77" s="110" t="str">
        <f t="shared" si="17"/>
        <v>STOCK IN NOW</v>
      </c>
      <c r="AG77" s="111"/>
    </row>
    <row r="78" spans="2:33" ht="25.5" customHeight="1" x14ac:dyDescent="0.25">
      <c r="B78" s="75">
        <v>20</v>
      </c>
      <c r="C78" s="145">
        <v>45425</v>
      </c>
      <c r="D78" s="133">
        <v>545</v>
      </c>
      <c r="E78" s="112" t="s">
        <v>491</v>
      </c>
      <c r="F78" s="134">
        <v>548.09</v>
      </c>
      <c r="G78" s="134">
        <v>564.04</v>
      </c>
      <c r="H78" s="134">
        <v>537.36</v>
      </c>
      <c r="I78" s="134">
        <f t="shared" si="14"/>
        <v>26.67999999999995</v>
      </c>
      <c r="J78" s="134">
        <v>542.77</v>
      </c>
      <c r="K78" s="134">
        <v>556.51</v>
      </c>
      <c r="L78" s="114">
        <f t="shared" si="18"/>
        <v>3</v>
      </c>
      <c r="M78" s="118">
        <f t="shared" si="19"/>
        <v>5.5350553505535052E-3</v>
      </c>
      <c r="N78" s="134">
        <f t="shared" si="20"/>
        <v>540</v>
      </c>
      <c r="O78" s="135">
        <v>1</v>
      </c>
      <c r="P78" s="136" t="s">
        <v>757</v>
      </c>
      <c r="Q78" s="137">
        <v>2</v>
      </c>
      <c r="R78" s="136" t="s">
        <v>491</v>
      </c>
      <c r="S78" s="138">
        <v>2</v>
      </c>
      <c r="T78" s="136" t="s">
        <v>757</v>
      </c>
      <c r="U78" s="140">
        <v>1</v>
      </c>
      <c r="V78" s="136" t="s">
        <v>757</v>
      </c>
      <c r="W78" s="141">
        <v>0</v>
      </c>
      <c r="X78" s="136" t="s">
        <v>491</v>
      </c>
      <c r="Y78" s="142">
        <v>0</v>
      </c>
      <c r="Z78" s="139"/>
      <c r="AA78" s="143">
        <v>0</v>
      </c>
      <c r="AB78" s="139"/>
      <c r="AC78" s="144">
        <f t="shared" si="15"/>
        <v>6</v>
      </c>
      <c r="AD78" s="110"/>
      <c r="AE78" s="110" t="str">
        <f t="shared" si="16"/>
        <v>🔺 Bullish</v>
      </c>
      <c r="AF78" s="110" t="str">
        <f t="shared" si="17"/>
        <v>STOCK IN NOW</v>
      </c>
      <c r="AG78" s="111"/>
    </row>
    <row r="79" spans="2:33" ht="25.5" customHeight="1" x14ac:dyDescent="0.25">
      <c r="B79" s="131">
        <v>21</v>
      </c>
      <c r="C79" s="132">
        <v>45432</v>
      </c>
      <c r="D79" s="133">
        <v>548</v>
      </c>
      <c r="E79" s="112" t="s">
        <v>495</v>
      </c>
      <c r="F79" s="134">
        <v>554.30999999999995</v>
      </c>
      <c r="G79" s="134">
        <v>568.88</v>
      </c>
      <c r="H79" s="134">
        <v>543.20000000000005</v>
      </c>
      <c r="I79" s="134">
        <f t="shared" si="14"/>
        <v>25.67999999999995</v>
      </c>
      <c r="J79" s="134">
        <v>554.22</v>
      </c>
      <c r="K79" s="134">
        <v>560.71</v>
      </c>
      <c r="L79" s="114">
        <f t="shared" si="18"/>
        <v>3</v>
      </c>
      <c r="M79" s="118">
        <f t="shared" si="19"/>
        <v>5.5045871559633031E-3</v>
      </c>
      <c r="N79" s="134">
        <f t="shared" si="20"/>
        <v>543.25</v>
      </c>
      <c r="O79" s="135">
        <v>1</v>
      </c>
      <c r="P79" s="136" t="s">
        <v>758</v>
      </c>
      <c r="Q79" s="137">
        <v>2</v>
      </c>
      <c r="R79" s="136" t="s">
        <v>495</v>
      </c>
      <c r="S79" s="138">
        <v>2</v>
      </c>
      <c r="T79" s="136" t="s">
        <v>758</v>
      </c>
      <c r="U79" s="140">
        <v>1</v>
      </c>
      <c r="V79" s="136" t="s">
        <v>758</v>
      </c>
      <c r="W79" s="141">
        <v>0</v>
      </c>
      <c r="X79" s="136" t="s">
        <v>495</v>
      </c>
      <c r="Y79" s="142">
        <v>0</v>
      </c>
      <c r="Z79" s="139"/>
      <c r="AA79" s="143">
        <v>0</v>
      </c>
      <c r="AB79" s="139"/>
      <c r="AC79" s="144">
        <f t="shared" si="15"/>
        <v>6</v>
      </c>
      <c r="AD79" s="110"/>
      <c r="AE79" s="110" t="str">
        <f t="shared" si="16"/>
        <v>🔺 Bullish</v>
      </c>
      <c r="AF79" s="110" t="str">
        <f t="shared" si="17"/>
        <v>STOCK IN NOW</v>
      </c>
      <c r="AG79" s="111"/>
    </row>
    <row r="80" spans="2:33" ht="25.5" customHeight="1" x14ac:dyDescent="0.25">
      <c r="B80" s="75">
        <v>22</v>
      </c>
      <c r="C80" s="145">
        <v>45439</v>
      </c>
      <c r="D80" s="133">
        <v>550</v>
      </c>
      <c r="E80" s="112" t="s">
        <v>500</v>
      </c>
      <c r="F80" s="134">
        <v>551.82000000000005</v>
      </c>
      <c r="G80" s="134">
        <v>558.78</v>
      </c>
      <c r="H80" s="134">
        <v>546.20000000000005</v>
      </c>
      <c r="I80" s="134">
        <f t="shared" si="14"/>
        <v>12.579999999999927</v>
      </c>
      <c r="J80" s="134">
        <v>551.47</v>
      </c>
      <c r="K80" s="134">
        <v>554</v>
      </c>
      <c r="L80" s="114">
        <f t="shared" si="18"/>
        <v>2</v>
      </c>
      <c r="M80" s="118">
        <f t="shared" si="19"/>
        <v>3.6496350364963502E-3</v>
      </c>
      <c r="N80" s="134">
        <f t="shared" si="20"/>
        <v>546.25</v>
      </c>
      <c r="O80" s="135">
        <v>1</v>
      </c>
      <c r="P80" s="136" t="s">
        <v>759</v>
      </c>
      <c r="Q80" s="137">
        <v>2</v>
      </c>
      <c r="R80" s="136" t="s">
        <v>500</v>
      </c>
      <c r="S80" s="138">
        <v>2</v>
      </c>
      <c r="T80" s="136" t="s">
        <v>759</v>
      </c>
      <c r="U80" s="140">
        <v>1</v>
      </c>
      <c r="V80" s="136" t="s">
        <v>759</v>
      </c>
      <c r="W80" s="141">
        <v>0</v>
      </c>
      <c r="X80" s="136" t="s">
        <v>500</v>
      </c>
      <c r="Y80" s="142">
        <v>0</v>
      </c>
      <c r="Z80" s="139"/>
      <c r="AA80" s="143">
        <v>0</v>
      </c>
      <c r="AB80" s="139"/>
      <c r="AC80" s="144">
        <f t="shared" si="15"/>
        <v>6</v>
      </c>
      <c r="AD80" s="110"/>
      <c r="AE80" s="110" t="str">
        <f t="shared" si="16"/>
        <v>🔺 Bullish</v>
      </c>
      <c r="AF80" s="110" t="str">
        <f t="shared" si="17"/>
        <v>STOCK IN NOW</v>
      </c>
      <c r="AG80" s="111"/>
    </row>
    <row r="81" spans="2:33" ht="25.5" customHeight="1" x14ac:dyDescent="0.25">
      <c r="B81" s="131">
        <v>23</v>
      </c>
      <c r="C81" s="132">
        <v>45446</v>
      </c>
      <c r="D81" s="133">
        <v>548</v>
      </c>
      <c r="E81" s="112" t="s">
        <v>505</v>
      </c>
      <c r="F81" s="134">
        <v>555.54</v>
      </c>
      <c r="G81" s="134">
        <v>569.41999999999996</v>
      </c>
      <c r="H81" s="134">
        <v>543.64</v>
      </c>
      <c r="I81" s="134">
        <f t="shared" si="14"/>
        <v>25.779999999999973</v>
      </c>
      <c r="J81" s="134">
        <v>564.92999999999995</v>
      </c>
      <c r="K81" s="134">
        <v>553.67999999999995</v>
      </c>
      <c r="L81" s="114">
        <f t="shared" si="18"/>
        <v>-2</v>
      </c>
      <c r="M81" s="118">
        <f t="shared" si="19"/>
        <v>-3.6363636363636364E-3</v>
      </c>
      <c r="N81" s="134">
        <f t="shared" si="20"/>
        <v>547.75</v>
      </c>
      <c r="O81" s="135">
        <v>0</v>
      </c>
      <c r="P81" s="139"/>
      <c r="Q81" s="137">
        <v>1</v>
      </c>
      <c r="R81" s="136" t="s">
        <v>505</v>
      </c>
      <c r="S81" s="138">
        <v>1</v>
      </c>
      <c r="T81" s="136" t="s">
        <v>760</v>
      </c>
      <c r="U81" s="140">
        <v>0</v>
      </c>
      <c r="V81" s="139"/>
      <c r="W81" s="141">
        <v>0</v>
      </c>
      <c r="X81" s="136" t="s">
        <v>505</v>
      </c>
      <c r="Y81" s="142">
        <v>0</v>
      </c>
      <c r="Z81" s="139"/>
      <c r="AA81" s="143">
        <v>0</v>
      </c>
      <c r="AB81" s="139"/>
      <c r="AC81" s="144">
        <f t="shared" si="15"/>
        <v>2</v>
      </c>
      <c r="AD81" s="110"/>
      <c r="AE81" s="110" t="str">
        <f t="shared" si="16"/>
        <v>↑ Mildly Bullish</v>
      </c>
      <c r="AF81" s="110" t="str">
        <f t="shared" si="17"/>
        <v>Consider stock-in</v>
      </c>
      <c r="AG81" s="111"/>
    </row>
    <row r="82" spans="2:33" ht="25.5" customHeight="1" x14ac:dyDescent="0.25">
      <c r="B82" s="75">
        <v>24</v>
      </c>
      <c r="C82" s="145">
        <v>45453</v>
      </c>
      <c r="D82" s="133">
        <v>545</v>
      </c>
      <c r="E82" s="112" t="s">
        <v>510</v>
      </c>
      <c r="F82" s="134">
        <v>544.91999999999996</v>
      </c>
      <c r="G82" s="134">
        <v>552.85</v>
      </c>
      <c r="H82" s="134">
        <v>536.20000000000005</v>
      </c>
      <c r="I82" s="134">
        <f t="shared" si="14"/>
        <v>16.649999999999977</v>
      </c>
      <c r="J82" s="134">
        <v>547.12</v>
      </c>
      <c r="K82" s="134">
        <v>542.65</v>
      </c>
      <c r="L82" s="114">
        <f t="shared" si="18"/>
        <v>-3</v>
      </c>
      <c r="M82" s="118">
        <f t="shared" si="19"/>
        <v>-5.4744525547445258E-3</v>
      </c>
      <c r="N82" s="134">
        <f t="shared" si="20"/>
        <v>547.75</v>
      </c>
      <c r="O82" s="135">
        <v>0</v>
      </c>
      <c r="P82" s="139"/>
      <c r="Q82" s="137">
        <v>1</v>
      </c>
      <c r="R82" s="136" t="s">
        <v>510</v>
      </c>
      <c r="S82" s="138">
        <v>1</v>
      </c>
      <c r="T82" s="136" t="s">
        <v>761</v>
      </c>
      <c r="U82" s="140">
        <v>0</v>
      </c>
      <c r="V82" s="139"/>
      <c r="W82" s="141">
        <v>0</v>
      </c>
      <c r="X82" s="136" t="s">
        <v>510</v>
      </c>
      <c r="Y82" s="142">
        <v>0</v>
      </c>
      <c r="Z82" s="139"/>
      <c r="AA82" s="143">
        <v>0</v>
      </c>
      <c r="AB82" s="139"/>
      <c r="AC82" s="144">
        <f t="shared" si="15"/>
        <v>2</v>
      </c>
      <c r="AD82" s="110"/>
      <c r="AE82" s="110" t="str">
        <f t="shared" si="16"/>
        <v>↑ Mildly Bullish</v>
      </c>
      <c r="AF82" s="110" t="str">
        <f t="shared" si="17"/>
        <v>Consider stock-in</v>
      </c>
      <c r="AG82" s="111"/>
    </row>
    <row r="83" spans="2:33" ht="25.5" customHeight="1" x14ac:dyDescent="0.25">
      <c r="B83" s="131">
        <v>25</v>
      </c>
      <c r="C83" s="132">
        <v>45460</v>
      </c>
      <c r="D83" s="133">
        <v>542</v>
      </c>
      <c r="E83" s="112" t="s">
        <v>515</v>
      </c>
      <c r="F83" s="134">
        <v>549.33000000000004</v>
      </c>
      <c r="G83" s="134">
        <v>565.65</v>
      </c>
      <c r="H83" s="134">
        <v>536.51</v>
      </c>
      <c r="I83" s="134">
        <f t="shared" si="14"/>
        <v>29.139999999999986</v>
      </c>
      <c r="J83" s="134">
        <v>558.25</v>
      </c>
      <c r="K83" s="134">
        <v>547.73</v>
      </c>
      <c r="L83" s="114">
        <f t="shared" si="18"/>
        <v>-3</v>
      </c>
      <c r="M83" s="118">
        <f t="shared" si="19"/>
        <v>-5.5045871559633031E-3</v>
      </c>
      <c r="N83" s="134">
        <f t="shared" si="20"/>
        <v>546.25</v>
      </c>
      <c r="O83" s="135">
        <v>0</v>
      </c>
      <c r="P83" s="139"/>
      <c r="Q83" s="137">
        <v>1</v>
      </c>
      <c r="R83" s="136" t="s">
        <v>515</v>
      </c>
      <c r="S83" s="138">
        <v>1</v>
      </c>
      <c r="T83" s="136" t="s">
        <v>762</v>
      </c>
      <c r="U83" s="140">
        <v>0</v>
      </c>
      <c r="V83" s="139"/>
      <c r="W83" s="141">
        <v>0</v>
      </c>
      <c r="X83" s="136" t="s">
        <v>515</v>
      </c>
      <c r="Y83" s="142">
        <v>0</v>
      </c>
      <c r="Z83" s="139"/>
      <c r="AA83" s="143">
        <v>0</v>
      </c>
      <c r="AB83" s="139"/>
      <c r="AC83" s="144">
        <f t="shared" si="15"/>
        <v>2</v>
      </c>
      <c r="AD83" s="110"/>
      <c r="AE83" s="110" t="str">
        <f t="shared" si="16"/>
        <v>↑ Mildly Bullish</v>
      </c>
      <c r="AF83" s="110" t="str">
        <f t="shared" si="17"/>
        <v>Consider stock-in</v>
      </c>
      <c r="AG83" s="111"/>
    </row>
    <row r="84" spans="2:33" ht="25.5" customHeight="1" x14ac:dyDescent="0.25">
      <c r="B84" s="75">
        <v>26</v>
      </c>
      <c r="C84" s="145">
        <v>45467</v>
      </c>
      <c r="D84" s="133">
        <v>545</v>
      </c>
      <c r="E84" s="112" t="s">
        <v>520</v>
      </c>
      <c r="F84" s="134">
        <v>545.29999999999995</v>
      </c>
      <c r="G84" s="134">
        <v>551.29</v>
      </c>
      <c r="H84" s="134">
        <v>538.53</v>
      </c>
      <c r="I84" s="134">
        <f t="shared" si="14"/>
        <v>12.759999999999991</v>
      </c>
      <c r="J84" s="134">
        <v>544.91999999999996</v>
      </c>
      <c r="K84" s="134">
        <v>545.98</v>
      </c>
      <c r="L84" s="114">
        <f t="shared" si="18"/>
        <v>3</v>
      </c>
      <c r="M84" s="118">
        <f t="shared" si="19"/>
        <v>5.5350553505535052E-3</v>
      </c>
      <c r="N84" s="134">
        <f t="shared" si="20"/>
        <v>545</v>
      </c>
      <c r="O84" s="135">
        <v>0</v>
      </c>
      <c r="P84" s="139"/>
      <c r="Q84" s="137">
        <v>1</v>
      </c>
      <c r="R84" s="136" t="s">
        <v>520</v>
      </c>
      <c r="S84" s="138">
        <v>1</v>
      </c>
      <c r="T84" s="136" t="s">
        <v>520</v>
      </c>
      <c r="U84" s="140">
        <v>0</v>
      </c>
      <c r="V84" s="139"/>
      <c r="W84" s="141">
        <v>0</v>
      </c>
      <c r="X84" s="136" t="s">
        <v>520</v>
      </c>
      <c r="Y84" s="142">
        <v>0</v>
      </c>
      <c r="Z84" s="139"/>
      <c r="AA84" s="143">
        <v>0</v>
      </c>
      <c r="AB84" s="139"/>
      <c r="AC84" s="144">
        <f t="shared" si="15"/>
        <v>2</v>
      </c>
      <c r="AD84" s="110"/>
      <c r="AE84" s="110" t="str">
        <f t="shared" si="16"/>
        <v>↑ Mildly Bullish</v>
      </c>
      <c r="AF84" s="110" t="str">
        <f t="shared" si="17"/>
        <v>Consider stock-in</v>
      </c>
      <c r="AG84" s="111"/>
    </row>
    <row r="85" spans="2:33" ht="25.5" customHeight="1" x14ac:dyDescent="0.25">
      <c r="B85" s="131">
        <v>27</v>
      </c>
      <c r="C85" s="132">
        <v>45474</v>
      </c>
      <c r="D85" s="133">
        <v>548</v>
      </c>
      <c r="E85" s="112" t="s">
        <v>525</v>
      </c>
      <c r="F85" s="134">
        <v>556.39</v>
      </c>
      <c r="G85" s="134">
        <v>565.89</v>
      </c>
      <c r="H85" s="134">
        <v>543.55999999999995</v>
      </c>
      <c r="I85" s="134">
        <f t="shared" si="14"/>
        <v>22.330000000000041</v>
      </c>
      <c r="J85" s="134">
        <v>560.48</v>
      </c>
      <c r="K85" s="134">
        <v>560.67999999999995</v>
      </c>
      <c r="L85" s="114">
        <f t="shared" si="18"/>
        <v>3</v>
      </c>
      <c r="M85" s="118">
        <f t="shared" si="19"/>
        <v>5.5045871559633031E-3</v>
      </c>
      <c r="N85" s="134">
        <f t="shared" si="20"/>
        <v>545</v>
      </c>
      <c r="O85" s="135">
        <v>1</v>
      </c>
      <c r="P85" s="136" t="s">
        <v>763</v>
      </c>
      <c r="Q85" s="137">
        <v>1</v>
      </c>
      <c r="R85" s="136" t="s">
        <v>525</v>
      </c>
      <c r="S85" s="138">
        <v>2</v>
      </c>
      <c r="T85" s="136" t="s">
        <v>763</v>
      </c>
      <c r="U85" s="140">
        <v>0</v>
      </c>
      <c r="V85" s="139"/>
      <c r="W85" s="141">
        <v>0</v>
      </c>
      <c r="X85" s="136" t="s">
        <v>525</v>
      </c>
      <c r="Y85" s="142">
        <v>0</v>
      </c>
      <c r="Z85" s="139"/>
      <c r="AA85" s="143">
        <v>0</v>
      </c>
      <c r="AB85" s="139"/>
      <c r="AC85" s="144">
        <f t="shared" si="15"/>
        <v>4</v>
      </c>
      <c r="AD85" s="110"/>
      <c r="AE85" s="110" t="str">
        <f t="shared" si="16"/>
        <v>🔺 Bullish</v>
      </c>
      <c r="AF85" s="110" t="str">
        <f t="shared" si="17"/>
        <v>STOCK IN NOW</v>
      </c>
      <c r="AG85" s="111"/>
    </row>
    <row r="86" spans="2:33" ht="25.5" customHeight="1" x14ac:dyDescent="0.25">
      <c r="B86" s="75">
        <v>28</v>
      </c>
      <c r="C86" s="145">
        <v>45481</v>
      </c>
      <c r="D86" s="133">
        <v>552</v>
      </c>
      <c r="E86" s="112" t="s">
        <v>530</v>
      </c>
      <c r="F86" s="134">
        <v>562.61</v>
      </c>
      <c r="G86" s="134">
        <v>572.54</v>
      </c>
      <c r="H86" s="134">
        <v>545.13</v>
      </c>
      <c r="I86" s="134">
        <f t="shared" si="14"/>
        <v>27.409999999999968</v>
      </c>
      <c r="J86" s="134">
        <v>567.87</v>
      </c>
      <c r="K86" s="134">
        <v>567.96</v>
      </c>
      <c r="L86" s="114">
        <f t="shared" si="18"/>
        <v>4</v>
      </c>
      <c r="M86" s="118">
        <f t="shared" si="19"/>
        <v>7.2992700729927005E-3</v>
      </c>
      <c r="N86" s="134">
        <f t="shared" si="20"/>
        <v>546.75</v>
      </c>
      <c r="O86" s="135">
        <v>1</v>
      </c>
      <c r="P86" s="136" t="s">
        <v>764</v>
      </c>
      <c r="Q86" s="137">
        <v>1</v>
      </c>
      <c r="R86" s="136" t="s">
        <v>530</v>
      </c>
      <c r="S86" s="138">
        <v>2</v>
      </c>
      <c r="T86" s="136" t="s">
        <v>764</v>
      </c>
      <c r="U86" s="140">
        <v>0</v>
      </c>
      <c r="V86" s="139"/>
      <c r="W86" s="141">
        <v>0</v>
      </c>
      <c r="X86" s="136" t="s">
        <v>530</v>
      </c>
      <c r="Y86" s="142">
        <v>0</v>
      </c>
      <c r="Z86" s="139"/>
      <c r="AA86" s="143">
        <v>0</v>
      </c>
      <c r="AB86" s="139"/>
      <c r="AC86" s="144">
        <f t="shared" si="15"/>
        <v>4</v>
      </c>
      <c r="AD86" s="110"/>
      <c r="AE86" s="110" t="str">
        <f t="shared" si="16"/>
        <v>🔺 Bullish</v>
      </c>
      <c r="AF86" s="110" t="str">
        <f t="shared" si="17"/>
        <v>STOCK IN NOW</v>
      </c>
      <c r="AG86" s="111"/>
    </row>
    <row r="87" spans="2:33" ht="25.5" customHeight="1" x14ac:dyDescent="0.25">
      <c r="B87" s="131">
        <v>29</v>
      </c>
      <c r="C87" s="132">
        <v>45488</v>
      </c>
      <c r="D87" s="133">
        <v>555</v>
      </c>
      <c r="E87" s="112" t="s">
        <v>535</v>
      </c>
      <c r="F87" s="134">
        <v>566.53</v>
      </c>
      <c r="G87" s="134">
        <v>582.42999999999995</v>
      </c>
      <c r="H87" s="134">
        <v>551.61</v>
      </c>
      <c r="I87" s="134">
        <f t="shared" si="14"/>
        <v>30.819999999999936</v>
      </c>
      <c r="J87" s="134">
        <v>576.88</v>
      </c>
      <c r="K87" s="134">
        <v>567.72</v>
      </c>
      <c r="L87" s="114">
        <f t="shared" si="18"/>
        <v>3</v>
      </c>
      <c r="M87" s="118">
        <f t="shared" si="19"/>
        <v>5.434782608695652E-3</v>
      </c>
      <c r="N87" s="134">
        <f t="shared" si="20"/>
        <v>550</v>
      </c>
      <c r="O87" s="135">
        <v>1</v>
      </c>
      <c r="P87" s="136" t="s">
        <v>765</v>
      </c>
      <c r="Q87" s="137">
        <v>2</v>
      </c>
      <c r="R87" s="136" t="s">
        <v>535</v>
      </c>
      <c r="S87" s="138">
        <v>2</v>
      </c>
      <c r="T87" s="136" t="s">
        <v>765</v>
      </c>
      <c r="U87" s="140">
        <v>1</v>
      </c>
      <c r="V87" s="136" t="s">
        <v>765</v>
      </c>
      <c r="W87" s="141">
        <v>0</v>
      </c>
      <c r="X87" s="136" t="s">
        <v>535</v>
      </c>
      <c r="Y87" s="142">
        <v>0</v>
      </c>
      <c r="Z87" s="139"/>
      <c r="AA87" s="143">
        <v>0</v>
      </c>
      <c r="AB87" s="139"/>
      <c r="AC87" s="144">
        <f t="shared" si="15"/>
        <v>6</v>
      </c>
      <c r="AD87" s="110"/>
      <c r="AE87" s="110" t="str">
        <f t="shared" si="16"/>
        <v>🔺 Bullish</v>
      </c>
      <c r="AF87" s="110" t="str">
        <f t="shared" si="17"/>
        <v>STOCK IN NOW</v>
      </c>
      <c r="AG87" s="111"/>
    </row>
    <row r="88" spans="2:33" ht="25.5" customHeight="1" x14ac:dyDescent="0.25">
      <c r="B88" s="75">
        <v>30</v>
      </c>
      <c r="C88" s="145">
        <v>45495</v>
      </c>
      <c r="D88" s="133">
        <v>558</v>
      </c>
      <c r="E88" s="112" t="s">
        <v>540</v>
      </c>
      <c r="F88" s="134">
        <v>563.22</v>
      </c>
      <c r="G88" s="134">
        <v>581.04</v>
      </c>
      <c r="H88" s="134">
        <v>550.49</v>
      </c>
      <c r="I88" s="134">
        <f t="shared" si="14"/>
        <v>30.549999999999955</v>
      </c>
      <c r="J88" s="134">
        <v>556.77</v>
      </c>
      <c r="K88" s="134">
        <v>574.9</v>
      </c>
      <c r="L88" s="114">
        <f t="shared" si="18"/>
        <v>3</v>
      </c>
      <c r="M88" s="118">
        <f t="shared" si="19"/>
        <v>5.4054054054054057E-3</v>
      </c>
      <c r="N88" s="134">
        <f t="shared" si="20"/>
        <v>553.25</v>
      </c>
      <c r="O88" s="135">
        <v>2</v>
      </c>
      <c r="P88" s="136" t="s">
        <v>766</v>
      </c>
      <c r="Q88" s="137">
        <v>2</v>
      </c>
      <c r="R88" s="136" t="s">
        <v>540</v>
      </c>
      <c r="S88" s="138">
        <v>2</v>
      </c>
      <c r="T88" s="136" t="s">
        <v>766</v>
      </c>
      <c r="U88" s="140">
        <v>1</v>
      </c>
      <c r="V88" s="136" t="s">
        <v>766</v>
      </c>
      <c r="W88" s="141">
        <v>0</v>
      </c>
      <c r="X88" s="136" t="s">
        <v>540</v>
      </c>
      <c r="Y88" s="142">
        <v>0</v>
      </c>
      <c r="Z88" s="139"/>
      <c r="AA88" s="143">
        <v>0</v>
      </c>
      <c r="AB88" s="139"/>
      <c r="AC88" s="144">
        <f t="shared" si="15"/>
        <v>7</v>
      </c>
      <c r="AD88" s="110"/>
      <c r="AE88" s="110" t="str">
        <f t="shared" si="16"/>
        <v>🔺 Bullish</v>
      </c>
      <c r="AF88" s="110" t="str">
        <f t="shared" si="17"/>
        <v>STOCK IN NOW</v>
      </c>
      <c r="AG88" s="111"/>
    </row>
    <row r="89" spans="2:33" ht="25.5" customHeight="1" x14ac:dyDescent="0.25">
      <c r="B89" s="131">
        <v>31</v>
      </c>
      <c r="C89" s="132">
        <v>45502</v>
      </c>
      <c r="D89" s="133">
        <v>560</v>
      </c>
      <c r="E89" s="112" t="s">
        <v>545</v>
      </c>
      <c r="F89" s="134">
        <v>561.29999999999995</v>
      </c>
      <c r="G89" s="134">
        <v>573.83000000000004</v>
      </c>
      <c r="H89" s="134">
        <v>548.13</v>
      </c>
      <c r="I89" s="134">
        <f t="shared" si="14"/>
        <v>25.700000000000045</v>
      </c>
      <c r="J89" s="134">
        <v>555.95000000000005</v>
      </c>
      <c r="K89" s="134">
        <v>567.95000000000005</v>
      </c>
      <c r="L89" s="114">
        <f t="shared" si="18"/>
        <v>2</v>
      </c>
      <c r="M89" s="118">
        <f t="shared" si="19"/>
        <v>3.5842293906810036E-3</v>
      </c>
      <c r="N89" s="134">
        <f t="shared" si="20"/>
        <v>556.25</v>
      </c>
      <c r="O89" s="135">
        <v>2</v>
      </c>
      <c r="P89" s="136" t="s">
        <v>767</v>
      </c>
      <c r="Q89" s="137">
        <v>2</v>
      </c>
      <c r="R89" s="136" t="s">
        <v>545</v>
      </c>
      <c r="S89" s="138">
        <v>2</v>
      </c>
      <c r="T89" s="136" t="s">
        <v>767</v>
      </c>
      <c r="U89" s="140">
        <v>1</v>
      </c>
      <c r="V89" s="136" t="s">
        <v>767</v>
      </c>
      <c r="W89" s="141">
        <v>0</v>
      </c>
      <c r="X89" s="136" t="s">
        <v>545</v>
      </c>
      <c r="Y89" s="142">
        <v>0</v>
      </c>
      <c r="Z89" s="139"/>
      <c r="AA89" s="143">
        <v>0</v>
      </c>
      <c r="AB89" s="139"/>
      <c r="AC89" s="144">
        <f t="shared" si="15"/>
        <v>7</v>
      </c>
      <c r="AD89" s="110"/>
      <c r="AE89" s="110" t="str">
        <f t="shared" si="16"/>
        <v>🔺 Bullish</v>
      </c>
      <c r="AF89" s="110" t="str">
        <f t="shared" si="17"/>
        <v>STOCK IN NOW</v>
      </c>
      <c r="AG89" s="111"/>
    </row>
    <row r="90" spans="2:33" ht="25.5" customHeight="1" x14ac:dyDescent="0.25">
      <c r="B90" s="75">
        <v>32</v>
      </c>
      <c r="C90" s="145">
        <v>45509</v>
      </c>
      <c r="D90" s="133">
        <v>562</v>
      </c>
      <c r="E90" s="112" t="s">
        <v>549</v>
      </c>
      <c r="F90" s="134">
        <v>564.76</v>
      </c>
      <c r="G90" s="134">
        <v>575.29999999999995</v>
      </c>
      <c r="H90" s="134">
        <v>552.57000000000005</v>
      </c>
      <c r="I90" s="134">
        <f t="shared" si="14"/>
        <v>22.729999999999905</v>
      </c>
      <c r="J90" s="134">
        <v>571.99</v>
      </c>
      <c r="K90" s="134">
        <v>560.29999999999995</v>
      </c>
      <c r="L90" s="114">
        <f t="shared" si="18"/>
        <v>2</v>
      </c>
      <c r="M90" s="118">
        <f t="shared" si="19"/>
        <v>3.5714285714285713E-3</v>
      </c>
      <c r="N90" s="134">
        <f t="shared" si="20"/>
        <v>558.75</v>
      </c>
      <c r="O90" s="135">
        <v>2</v>
      </c>
      <c r="P90" s="136" t="s">
        <v>768</v>
      </c>
      <c r="Q90" s="137">
        <v>2</v>
      </c>
      <c r="R90" s="136" t="s">
        <v>549</v>
      </c>
      <c r="S90" s="138">
        <v>2</v>
      </c>
      <c r="T90" s="136" t="s">
        <v>768</v>
      </c>
      <c r="U90" s="140">
        <v>1</v>
      </c>
      <c r="V90" s="136" t="s">
        <v>768</v>
      </c>
      <c r="W90" s="141">
        <v>0</v>
      </c>
      <c r="X90" s="136" t="s">
        <v>549</v>
      </c>
      <c r="Y90" s="142">
        <v>1</v>
      </c>
      <c r="Z90" s="136" t="s">
        <v>768</v>
      </c>
      <c r="AA90" s="143">
        <v>0</v>
      </c>
      <c r="AB90" s="139"/>
      <c r="AC90" s="144">
        <f t="shared" si="15"/>
        <v>8</v>
      </c>
      <c r="AD90" s="110"/>
      <c r="AE90" s="110" t="str">
        <f t="shared" si="16"/>
        <v>🔺 Bullish</v>
      </c>
      <c r="AF90" s="110" t="str">
        <f t="shared" si="17"/>
        <v>STOCK IN NOW</v>
      </c>
      <c r="AG90" s="111"/>
    </row>
    <row r="91" spans="2:33" ht="25.5" customHeight="1" x14ac:dyDescent="0.25">
      <c r="B91" s="131">
        <v>33</v>
      </c>
      <c r="C91" s="132">
        <v>45516</v>
      </c>
      <c r="D91" s="133">
        <v>558</v>
      </c>
      <c r="E91" s="112" t="s">
        <v>554</v>
      </c>
      <c r="F91" s="134">
        <v>562.28</v>
      </c>
      <c r="G91" s="134">
        <v>574.01</v>
      </c>
      <c r="H91" s="134">
        <v>550.05999999999995</v>
      </c>
      <c r="I91" s="134">
        <f t="shared" si="14"/>
        <v>23.950000000000045</v>
      </c>
      <c r="J91" s="134">
        <v>559.78</v>
      </c>
      <c r="K91" s="134">
        <v>569.05999999999995</v>
      </c>
      <c r="L91" s="114">
        <f t="shared" si="18"/>
        <v>-4</v>
      </c>
      <c r="M91" s="118">
        <f t="shared" si="19"/>
        <v>-7.1174377224199285E-3</v>
      </c>
      <c r="N91" s="134">
        <f t="shared" si="20"/>
        <v>559.5</v>
      </c>
      <c r="O91" s="135">
        <v>1</v>
      </c>
      <c r="P91" s="136" t="s">
        <v>554</v>
      </c>
      <c r="Q91" s="137">
        <v>1</v>
      </c>
      <c r="R91" s="136" t="s">
        <v>554</v>
      </c>
      <c r="S91" s="138">
        <v>2</v>
      </c>
      <c r="T91" s="136" t="s">
        <v>554</v>
      </c>
      <c r="U91" s="140">
        <v>0</v>
      </c>
      <c r="V91" s="139"/>
      <c r="W91" s="141">
        <v>0</v>
      </c>
      <c r="X91" s="136" t="s">
        <v>554</v>
      </c>
      <c r="Y91" s="142">
        <v>0</v>
      </c>
      <c r="Z91" s="139"/>
      <c r="AA91" s="143">
        <v>0</v>
      </c>
      <c r="AB91" s="139"/>
      <c r="AC91" s="144">
        <f t="shared" si="15"/>
        <v>4</v>
      </c>
      <c r="AD91" s="110"/>
      <c r="AE91" s="110" t="str">
        <f t="shared" si="16"/>
        <v>🔺 Bullish</v>
      </c>
      <c r="AF91" s="110" t="str">
        <f t="shared" si="17"/>
        <v>STOCK IN NOW</v>
      </c>
      <c r="AG91" s="111"/>
    </row>
    <row r="92" spans="2:33" ht="25.5" customHeight="1" x14ac:dyDescent="0.25">
      <c r="B92" s="75">
        <v>34</v>
      </c>
      <c r="C92" s="145">
        <v>45523</v>
      </c>
      <c r="D92" s="133">
        <v>555</v>
      </c>
      <c r="E92" s="112" t="s">
        <v>559</v>
      </c>
      <c r="F92" s="134">
        <v>552.29999999999995</v>
      </c>
      <c r="G92" s="134">
        <v>559.11</v>
      </c>
      <c r="H92" s="134">
        <v>544.64</v>
      </c>
      <c r="I92" s="134">
        <f t="shared" si="14"/>
        <v>14.470000000000027</v>
      </c>
      <c r="J92" s="134">
        <v>552.6</v>
      </c>
      <c r="K92" s="134">
        <v>549.29999999999995</v>
      </c>
      <c r="L92" s="114">
        <f t="shared" si="18"/>
        <v>-3</v>
      </c>
      <c r="M92" s="118">
        <f t="shared" si="19"/>
        <v>-5.3763440860215058E-3</v>
      </c>
      <c r="N92" s="134">
        <f t="shared" si="20"/>
        <v>558.75</v>
      </c>
      <c r="O92" s="135">
        <v>1</v>
      </c>
      <c r="P92" s="136" t="s">
        <v>769</v>
      </c>
      <c r="Q92" s="137">
        <v>1</v>
      </c>
      <c r="R92" s="136" t="s">
        <v>559</v>
      </c>
      <c r="S92" s="138">
        <v>1</v>
      </c>
      <c r="T92" s="136" t="s">
        <v>769</v>
      </c>
      <c r="U92" s="140">
        <v>0</v>
      </c>
      <c r="V92" s="139"/>
      <c r="W92" s="141">
        <v>0</v>
      </c>
      <c r="X92" s="136" t="s">
        <v>559</v>
      </c>
      <c r="Y92" s="142">
        <v>0</v>
      </c>
      <c r="Z92" s="139"/>
      <c r="AA92" s="143">
        <v>0</v>
      </c>
      <c r="AB92" s="139"/>
      <c r="AC92" s="144">
        <f t="shared" si="15"/>
        <v>3</v>
      </c>
      <c r="AD92" s="110"/>
      <c r="AE92" s="110" t="str">
        <f t="shared" si="16"/>
        <v>↑ Mildly Bullish</v>
      </c>
      <c r="AF92" s="110" t="str">
        <f t="shared" si="17"/>
        <v>Consider stock-in</v>
      </c>
      <c r="AG92" s="111"/>
    </row>
    <row r="93" spans="2:33" ht="25.5" customHeight="1" x14ac:dyDescent="0.25">
      <c r="B93" s="131">
        <v>35</v>
      </c>
      <c r="C93" s="132">
        <v>45530</v>
      </c>
      <c r="D93" s="133">
        <v>552</v>
      </c>
      <c r="E93" s="112" t="s">
        <v>564</v>
      </c>
      <c r="F93" s="134">
        <v>555.71</v>
      </c>
      <c r="G93" s="134">
        <v>574.85</v>
      </c>
      <c r="H93" s="134">
        <v>544.4</v>
      </c>
      <c r="I93" s="134">
        <f t="shared" si="14"/>
        <v>30.450000000000045</v>
      </c>
      <c r="J93" s="134">
        <v>566.4</v>
      </c>
      <c r="K93" s="134">
        <v>548.72</v>
      </c>
      <c r="L93" s="114">
        <f t="shared" si="18"/>
        <v>-3</v>
      </c>
      <c r="M93" s="118">
        <f t="shared" si="19"/>
        <v>-5.4054054054054057E-3</v>
      </c>
      <c r="N93" s="134">
        <f t="shared" si="20"/>
        <v>556.75</v>
      </c>
      <c r="O93" s="135">
        <v>0</v>
      </c>
      <c r="P93" s="139"/>
      <c r="Q93" s="137">
        <v>1</v>
      </c>
      <c r="R93" s="136" t="s">
        <v>564</v>
      </c>
      <c r="S93" s="138">
        <v>1</v>
      </c>
      <c r="T93" s="136" t="s">
        <v>564</v>
      </c>
      <c r="U93" s="140">
        <v>0</v>
      </c>
      <c r="V93" s="139"/>
      <c r="W93" s="141">
        <v>0</v>
      </c>
      <c r="X93" s="136" t="s">
        <v>564</v>
      </c>
      <c r="Y93" s="142">
        <v>0</v>
      </c>
      <c r="Z93" s="139"/>
      <c r="AA93" s="143">
        <v>0</v>
      </c>
      <c r="AB93" s="139"/>
      <c r="AC93" s="144">
        <f t="shared" si="15"/>
        <v>2</v>
      </c>
      <c r="AD93" s="110"/>
      <c r="AE93" s="110" t="str">
        <f t="shared" si="16"/>
        <v>↑ Mildly Bullish</v>
      </c>
      <c r="AF93" s="110" t="str">
        <f t="shared" si="17"/>
        <v>Consider stock-in</v>
      </c>
      <c r="AG93" s="111"/>
    </row>
    <row r="94" spans="2:33" ht="25.5" customHeight="1" x14ac:dyDescent="0.25">
      <c r="B94" s="75">
        <v>36</v>
      </c>
      <c r="C94" s="145">
        <v>45537</v>
      </c>
      <c r="D94" s="133">
        <v>555</v>
      </c>
      <c r="E94" s="112" t="s">
        <v>568</v>
      </c>
      <c r="F94" s="134">
        <v>563.08000000000004</v>
      </c>
      <c r="G94" s="134">
        <v>576.70000000000005</v>
      </c>
      <c r="H94" s="134">
        <v>550.41</v>
      </c>
      <c r="I94" s="134">
        <f t="shared" si="14"/>
        <v>26.290000000000077</v>
      </c>
      <c r="J94" s="134">
        <v>565.26</v>
      </c>
      <c r="K94" s="134">
        <v>568.98</v>
      </c>
      <c r="L94" s="114">
        <f t="shared" si="18"/>
        <v>3</v>
      </c>
      <c r="M94" s="118">
        <f t="shared" si="19"/>
        <v>5.434782608695652E-3</v>
      </c>
      <c r="N94" s="134">
        <f t="shared" si="20"/>
        <v>555</v>
      </c>
      <c r="O94" s="135">
        <v>1</v>
      </c>
      <c r="P94" s="136" t="s">
        <v>770</v>
      </c>
      <c r="Q94" s="137">
        <v>1</v>
      </c>
      <c r="R94" s="136" t="s">
        <v>568</v>
      </c>
      <c r="S94" s="138">
        <v>2</v>
      </c>
      <c r="T94" s="136" t="s">
        <v>770</v>
      </c>
      <c r="U94" s="140">
        <v>0</v>
      </c>
      <c r="V94" s="139"/>
      <c r="W94" s="141">
        <v>0</v>
      </c>
      <c r="X94" s="136" t="s">
        <v>568</v>
      </c>
      <c r="Y94" s="142">
        <v>0</v>
      </c>
      <c r="Z94" s="139"/>
      <c r="AA94" s="143">
        <v>0</v>
      </c>
      <c r="AB94" s="139"/>
      <c r="AC94" s="144">
        <f t="shared" si="15"/>
        <v>4</v>
      </c>
      <c r="AD94" s="110"/>
      <c r="AE94" s="110" t="str">
        <f t="shared" si="16"/>
        <v>🔺 Bullish</v>
      </c>
      <c r="AF94" s="110" t="str">
        <f t="shared" si="17"/>
        <v>STOCK IN NOW</v>
      </c>
      <c r="AG94" s="111"/>
    </row>
    <row r="95" spans="2:33" ht="25.5" customHeight="1" x14ac:dyDescent="0.25">
      <c r="B95" s="131">
        <v>37</v>
      </c>
      <c r="C95" s="132">
        <v>45544</v>
      </c>
      <c r="D95" s="133">
        <v>558</v>
      </c>
      <c r="E95" s="112" t="s">
        <v>573</v>
      </c>
      <c r="F95" s="134">
        <v>563.89</v>
      </c>
      <c r="G95" s="134">
        <v>577.38</v>
      </c>
      <c r="H95" s="134">
        <v>551.38</v>
      </c>
      <c r="I95" s="134">
        <f t="shared" si="14"/>
        <v>26</v>
      </c>
      <c r="J95" s="134">
        <v>560.52</v>
      </c>
      <c r="K95" s="134">
        <v>573.15</v>
      </c>
      <c r="L95" s="114">
        <f t="shared" si="18"/>
        <v>3</v>
      </c>
      <c r="M95" s="118">
        <f t="shared" si="19"/>
        <v>5.4054054054054057E-3</v>
      </c>
      <c r="N95" s="134">
        <f t="shared" si="20"/>
        <v>555</v>
      </c>
      <c r="O95" s="135">
        <v>1</v>
      </c>
      <c r="P95" s="136" t="s">
        <v>771</v>
      </c>
      <c r="Q95" s="137">
        <v>2</v>
      </c>
      <c r="R95" s="136" t="s">
        <v>573</v>
      </c>
      <c r="S95" s="138">
        <v>2</v>
      </c>
      <c r="T95" s="136" t="s">
        <v>771</v>
      </c>
      <c r="U95" s="140">
        <v>1</v>
      </c>
      <c r="V95" s="136" t="s">
        <v>771</v>
      </c>
      <c r="W95" s="141">
        <v>0</v>
      </c>
      <c r="X95" s="136" t="s">
        <v>573</v>
      </c>
      <c r="Y95" s="142">
        <v>0</v>
      </c>
      <c r="Z95" s="139"/>
      <c r="AA95" s="143">
        <v>0</v>
      </c>
      <c r="AB95" s="139"/>
      <c r="AC95" s="144">
        <f t="shared" si="15"/>
        <v>6</v>
      </c>
      <c r="AD95" s="110"/>
      <c r="AE95" s="110" t="str">
        <f t="shared" si="16"/>
        <v>🔺 Bullish</v>
      </c>
      <c r="AF95" s="110" t="str">
        <f t="shared" si="17"/>
        <v>STOCK IN NOW</v>
      </c>
      <c r="AG95" s="111"/>
    </row>
    <row r="96" spans="2:33" ht="25.5" customHeight="1" x14ac:dyDescent="0.25">
      <c r="B96" s="75">
        <v>38</v>
      </c>
      <c r="C96" s="145">
        <v>45551</v>
      </c>
      <c r="D96" s="133">
        <v>560</v>
      </c>
      <c r="E96" s="112" t="s">
        <v>578</v>
      </c>
      <c r="F96" s="134">
        <v>564.94000000000005</v>
      </c>
      <c r="G96" s="134">
        <v>573.25</v>
      </c>
      <c r="H96" s="134">
        <v>556.84</v>
      </c>
      <c r="I96" s="134">
        <f t="shared" si="14"/>
        <v>16.409999999999968</v>
      </c>
      <c r="J96" s="134">
        <v>565.29</v>
      </c>
      <c r="K96" s="134">
        <v>569.53</v>
      </c>
      <c r="L96" s="114">
        <f t="shared" si="18"/>
        <v>2</v>
      </c>
      <c r="M96" s="118">
        <f t="shared" si="19"/>
        <v>3.5842293906810036E-3</v>
      </c>
      <c r="N96" s="134">
        <f t="shared" si="20"/>
        <v>556.25</v>
      </c>
      <c r="O96" s="135">
        <v>1</v>
      </c>
      <c r="P96" s="136" t="s">
        <v>772</v>
      </c>
      <c r="Q96" s="137">
        <v>2</v>
      </c>
      <c r="R96" s="136" t="s">
        <v>578</v>
      </c>
      <c r="S96" s="138">
        <v>2</v>
      </c>
      <c r="T96" s="136" t="s">
        <v>772</v>
      </c>
      <c r="U96" s="140">
        <v>1</v>
      </c>
      <c r="V96" s="136" t="s">
        <v>772</v>
      </c>
      <c r="W96" s="141">
        <v>0</v>
      </c>
      <c r="X96" s="136" t="s">
        <v>578</v>
      </c>
      <c r="Y96" s="142">
        <v>1</v>
      </c>
      <c r="Z96" s="136" t="s">
        <v>772</v>
      </c>
      <c r="AA96" s="143">
        <v>0</v>
      </c>
      <c r="AB96" s="139"/>
      <c r="AC96" s="144">
        <f t="shared" si="15"/>
        <v>7</v>
      </c>
      <c r="AD96" s="110"/>
      <c r="AE96" s="110" t="str">
        <f t="shared" si="16"/>
        <v>🔺 Bullish</v>
      </c>
      <c r="AF96" s="110" t="str">
        <f t="shared" si="17"/>
        <v>STOCK IN NOW</v>
      </c>
      <c r="AG96" s="111"/>
    </row>
    <row r="97" spans="2:33" ht="25.5" customHeight="1" x14ac:dyDescent="0.25">
      <c r="B97" s="131">
        <v>39</v>
      </c>
      <c r="C97" s="132">
        <v>45558</v>
      </c>
      <c r="D97" s="133">
        <v>562</v>
      </c>
      <c r="E97" s="112" t="s">
        <v>583</v>
      </c>
      <c r="F97" s="134">
        <v>560.71</v>
      </c>
      <c r="G97" s="134">
        <v>566.4</v>
      </c>
      <c r="H97" s="134">
        <v>551.52</v>
      </c>
      <c r="I97" s="134">
        <f t="shared" si="14"/>
        <v>14.879999999999995</v>
      </c>
      <c r="J97" s="134">
        <v>559.47</v>
      </c>
      <c r="K97" s="134">
        <v>560.65</v>
      </c>
      <c r="L97" s="114">
        <f t="shared" si="18"/>
        <v>2</v>
      </c>
      <c r="M97" s="118">
        <f t="shared" si="19"/>
        <v>3.5714285714285713E-3</v>
      </c>
      <c r="N97" s="134">
        <f t="shared" si="20"/>
        <v>558.75</v>
      </c>
      <c r="O97" s="135">
        <v>1</v>
      </c>
      <c r="P97" s="136" t="s">
        <v>773</v>
      </c>
      <c r="Q97" s="137">
        <v>2</v>
      </c>
      <c r="R97" s="136" t="s">
        <v>583</v>
      </c>
      <c r="S97" s="138">
        <v>2</v>
      </c>
      <c r="T97" s="136" t="s">
        <v>773</v>
      </c>
      <c r="U97" s="140">
        <v>1</v>
      </c>
      <c r="V97" s="136" t="s">
        <v>773</v>
      </c>
      <c r="W97" s="141">
        <v>0</v>
      </c>
      <c r="X97" s="136" t="s">
        <v>583</v>
      </c>
      <c r="Y97" s="142">
        <v>1</v>
      </c>
      <c r="Z97" s="136" t="s">
        <v>773</v>
      </c>
      <c r="AA97" s="143">
        <v>0</v>
      </c>
      <c r="AB97" s="139"/>
      <c r="AC97" s="144">
        <f t="shared" si="15"/>
        <v>7</v>
      </c>
      <c r="AD97" s="110"/>
      <c r="AE97" s="110" t="str">
        <f t="shared" si="16"/>
        <v>🔺 Bullish</v>
      </c>
      <c r="AF97" s="110" t="str">
        <f t="shared" si="17"/>
        <v>STOCK IN NOW</v>
      </c>
      <c r="AG97" s="111"/>
    </row>
    <row r="98" spans="2:33" ht="25.5" customHeight="1" x14ac:dyDescent="0.25">
      <c r="B98" s="75">
        <v>40</v>
      </c>
      <c r="C98" s="145">
        <v>45565</v>
      </c>
      <c r="D98" s="133">
        <v>565</v>
      </c>
      <c r="E98" s="112" t="s">
        <v>588</v>
      </c>
      <c r="F98" s="134">
        <v>569.42999999999995</v>
      </c>
      <c r="G98" s="134">
        <v>577.76</v>
      </c>
      <c r="H98" s="134">
        <v>559.5</v>
      </c>
      <c r="I98" s="134">
        <f t="shared" si="14"/>
        <v>18.259999999999991</v>
      </c>
      <c r="J98" s="134">
        <v>569.88</v>
      </c>
      <c r="K98" s="134">
        <v>573.41</v>
      </c>
      <c r="L98" s="114">
        <f t="shared" si="18"/>
        <v>3</v>
      </c>
      <c r="M98" s="118">
        <f t="shared" si="19"/>
        <v>5.3380782918149468E-3</v>
      </c>
      <c r="N98" s="134">
        <f t="shared" si="20"/>
        <v>561.25</v>
      </c>
      <c r="O98" s="135">
        <v>1</v>
      </c>
      <c r="P98" s="136" t="s">
        <v>588</v>
      </c>
      <c r="Q98" s="137">
        <v>2</v>
      </c>
      <c r="R98" s="136" t="s">
        <v>588</v>
      </c>
      <c r="S98" s="138">
        <v>2</v>
      </c>
      <c r="T98" s="136" t="s">
        <v>588</v>
      </c>
      <c r="U98" s="140">
        <v>1</v>
      </c>
      <c r="V98" s="136" t="s">
        <v>588</v>
      </c>
      <c r="W98" s="141">
        <v>0</v>
      </c>
      <c r="X98" s="136" t="s">
        <v>588</v>
      </c>
      <c r="Y98" s="142">
        <v>1</v>
      </c>
      <c r="Z98" s="136" t="s">
        <v>588</v>
      </c>
      <c r="AA98" s="143">
        <v>0</v>
      </c>
      <c r="AB98" s="139"/>
      <c r="AC98" s="144">
        <f t="shared" si="15"/>
        <v>7</v>
      </c>
      <c r="AD98" s="110"/>
      <c r="AE98" s="110" t="str">
        <f t="shared" si="16"/>
        <v>🔺 Bullish</v>
      </c>
      <c r="AF98" s="110" t="str">
        <f t="shared" si="17"/>
        <v>STOCK IN NOW</v>
      </c>
      <c r="AG98" s="111"/>
    </row>
    <row r="99" spans="2:33" ht="25.5" customHeight="1" x14ac:dyDescent="0.25">
      <c r="B99" s="131">
        <v>41</v>
      </c>
      <c r="C99" s="132">
        <v>45572</v>
      </c>
      <c r="D99" s="133">
        <v>568</v>
      </c>
      <c r="E99" s="112" t="s">
        <v>593</v>
      </c>
      <c r="F99" s="134">
        <v>576.54999999999995</v>
      </c>
      <c r="G99" s="134">
        <v>590.80999999999995</v>
      </c>
      <c r="H99" s="134">
        <v>564.38</v>
      </c>
      <c r="I99" s="134">
        <f t="shared" si="14"/>
        <v>26.42999999999995</v>
      </c>
      <c r="J99" s="134">
        <v>582.95000000000005</v>
      </c>
      <c r="K99" s="134">
        <v>578.69000000000005</v>
      </c>
      <c r="L99" s="114">
        <f t="shared" si="18"/>
        <v>3</v>
      </c>
      <c r="M99" s="118">
        <f t="shared" si="19"/>
        <v>5.3097345132743362E-3</v>
      </c>
      <c r="N99" s="134">
        <f t="shared" si="20"/>
        <v>563.75</v>
      </c>
      <c r="O99" s="135">
        <v>1</v>
      </c>
      <c r="P99" s="136" t="s">
        <v>774</v>
      </c>
      <c r="Q99" s="137">
        <v>2</v>
      </c>
      <c r="R99" s="136" t="s">
        <v>593</v>
      </c>
      <c r="S99" s="138">
        <v>2</v>
      </c>
      <c r="T99" s="136" t="s">
        <v>774</v>
      </c>
      <c r="U99" s="140">
        <v>1</v>
      </c>
      <c r="V99" s="136" t="s">
        <v>774</v>
      </c>
      <c r="W99" s="141">
        <v>1</v>
      </c>
      <c r="X99" s="136" t="s">
        <v>593</v>
      </c>
      <c r="Y99" s="142">
        <v>1</v>
      </c>
      <c r="Z99" s="136" t="s">
        <v>774</v>
      </c>
      <c r="AA99" s="143">
        <v>0</v>
      </c>
      <c r="AB99" s="139"/>
      <c r="AC99" s="144">
        <f t="shared" si="15"/>
        <v>8</v>
      </c>
      <c r="AD99" s="110"/>
      <c r="AE99" s="110" t="str">
        <f t="shared" si="16"/>
        <v>🔺 Bullish</v>
      </c>
      <c r="AF99" s="110" t="str">
        <f t="shared" si="17"/>
        <v>STOCK IN NOW</v>
      </c>
      <c r="AG99" s="111"/>
    </row>
    <row r="100" spans="2:33" ht="25.5" customHeight="1" x14ac:dyDescent="0.25">
      <c r="B100" s="75">
        <v>42</v>
      </c>
      <c r="C100" s="145">
        <v>45579</v>
      </c>
      <c r="D100" s="133">
        <v>572</v>
      </c>
      <c r="E100" s="112" t="s">
        <v>598</v>
      </c>
      <c r="F100" s="134">
        <v>576.87</v>
      </c>
      <c r="G100" s="134">
        <v>590.66</v>
      </c>
      <c r="H100" s="134">
        <v>567.73</v>
      </c>
      <c r="I100" s="134">
        <f t="shared" si="14"/>
        <v>22.92999999999995</v>
      </c>
      <c r="J100" s="134">
        <v>584.20000000000005</v>
      </c>
      <c r="K100" s="134">
        <v>574.41</v>
      </c>
      <c r="L100" s="114">
        <f t="shared" si="18"/>
        <v>4</v>
      </c>
      <c r="M100" s="118">
        <f t="shared" si="19"/>
        <v>7.0422535211267607E-3</v>
      </c>
      <c r="N100" s="134">
        <f t="shared" si="20"/>
        <v>566.75</v>
      </c>
      <c r="O100" s="135">
        <v>2</v>
      </c>
      <c r="P100" s="136" t="s">
        <v>775</v>
      </c>
      <c r="Q100" s="137">
        <v>2</v>
      </c>
      <c r="R100" s="136" t="s">
        <v>598</v>
      </c>
      <c r="S100" s="138">
        <v>2</v>
      </c>
      <c r="T100" s="136" t="s">
        <v>775</v>
      </c>
      <c r="U100" s="140">
        <v>1</v>
      </c>
      <c r="V100" s="136" t="s">
        <v>775</v>
      </c>
      <c r="W100" s="141">
        <v>1</v>
      </c>
      <c r="X100" s="136" t="s">
        <v>598</v>
      </c>
      <c r="Y100" s="142">
        <v>1</v>
      </c>
      <c r="Z100" s="136" t="s">
        <v>775</v>
      </c>
      <c r="AA100" s="143">
        <v>0</v>
      </c>
      <c r="AB100" s="139"/>
      <c r="AC100" s="144">
        <f t="shared" si="15"/>
        <v>9</v>
      </c>
      <c r="AD100" s="110"/>
      <c r="AE100" s="110" t="str">
        <f t="shared" si="16"/>
        <v>🔺 Bullish</v>
      </c>
      <c r="AF100" s="110" t="str">
        <f t="shared" si="17"/>
        <v>STOCK IN NOW</v>
      </c>
      <c r="AG100" s="111"/>
    </row>
    <row r="101" spans="2:33" ht="25.5" customHeight="1" x14ac:dyDescent="0.25">
      <c r="B101" s="131">
        <v>43</v>
      </c>
      <c r="C101" s="132">
        <v>45586</v>
      </c>
      <c r="D101" s="133">
        <v>575</v>
      </c>
      <c r="E101" s="112" t="s">
        <v>603</v>
      </c>
      <c r="F101" s="134">
        <v>573.77</v>
      </c>
      <c r="G101" s="134">
        <v>584.28</v>
      </c>
      <c r="H101" s="134">
        <v>563.94000000000005</v>
      </c>
      <c r="I101" s="134">
        <f t="shared" si="14"/>
        <v>20.339999999999918</v>
      </c>
      <c r="J101" s="134">
        <v>579.34</v>
      </c>
      <c r="K101" s="134">
        <v>566.96</v>
      </c>
      <c r="L101" s="114">
        <f t="shared" si="18"/>
        <v>3</v>
      </c>
      <c r="M101" s="118">
        <f t="shared" si="19"/>
        <v>5.244755244755245E-3</v>
      </c>
      <c r="N101" s="134">
        <f t="shared" si="20"/>
        <v>570</v>
      </c>
      <c r="O101" s="135">
        <v>1</v>
      </c>
      <c r="P101" s="136" t="s">
        <v>776</v>
      </c>
      <c r="Q101" s="137">
        <v>2</v>
      </c>
      <c r="R101" s="136" t="s">
        <v>603</v>
      </c>
      <c r="S101" s="138">
        <v>2</v>
      </c>
      <c r="T101" s="136" t="s">
        <v>776</v>
      </c>
      <c r="U101" s="140">
        <v>1</v>
      </c>
      <c r="V101" s="136" t="s">
        <v>776</v>
      </c>
      <c r="W101" s="141">
        <v>1</v>
      </c>
      <c r="X101" s="136" t="s">
        <v>603</v>
      </c>
      <c r="Y101" s="142">
        <v>1</v>
      </c>
      <c r="Z101" s="136" t="s">
        <v>776</v>
      </c>
      <c r="AA101" s="143">
        <v>0</v>
      </c>
      <c r="AB101" s="139"/>
      <c r="AC101" s="144">
        <f t="shared" si="15"/>
        <v>8</v>
      </c>
      <c r="AD101" s="110"/>
      <c r="AE101" s="110" t="str">
        <f t="shared" si="16"/>
        <v>🔺 Bullish</v>
      </c>
      <c r="AF101" s="110" t="str">
        <f t="shared" si="17"/>
        <v>STOCK IN NOW</v>
      </c>
      <c r="AG101" s="111"/>
    </row>
    <row r="102" spans="2:33" ht="25.5" customHeight="1" x14ac:dyDescent="0.25">
      <c r="B102" s="75">
        <v>44</v>
      </c>
      <c r="C102" s="145">
        <v>45593</v>
      </c>
      <c r="D102" s="133">
        <v>572</v>
      </c>
      <c r="E102" s="112" t="s">
        <v>607</v>
      </c>
      <c r="F102" s="134">
        <v>569.59</v>
      </c>
      <c r="G102" s="134">
        <v>575.86</v>
      </c>
      <c r="H102" s="134">
        <v>561.86</v>
      </c>
      <c r="I102" s="134">
        <f t="shared" si="14"/>
        <v>14</v>
      </c>
      <c r="J102" s="134">
        <v>570.13</v>
      </c>
      <c r="K102" s="134">
        <v>566.63</v>
      </c>
      <c r="L102" s="114">
        <f t="shared" si="18"/>
        <v>-3</v>
      </c>
      <c r="M102" s="118">
        <f t="shared" si="19"/>
        <v>-5.2173913043478265E-3</v>
      </c>
      <c r="N102" s="134">
        <f t="shared" si="20"/>
        <v>571.75</v>
      </c>
      <c r="O102" s="135">
        <v>0</v>
      </c>
      <c r="P102" s="139"/>
      <c r="Q102" s="137">
        <v>1</v>
      </c>
      <c r="R102" s="136" t="s">
        <v>607</v>
      </c>
      <c r="S102" s="138">
        <v>2</v>
      </c>
      <c r="T102" s="136" t="s">
        <v>607</v>
      </c>
      <c r="U102" s="140">
        <v>0</v>
      </c>
      <c r="V102" s="139"/>
      <c r="W102" s="141">
        <v>1</v>
      </c>
      <c r="X102" s="136" t="s">
        <v>607</v>
      </c>
      <c r="Y102" s="142">
        <v>0</v>
      </c>
      <c r="Z102" s="139"/>
      <c r="AA102" s="143">
        <v>0</v>
      </c>
      <c r="AB102" s="139"/>
      <c r="AC102" s="144">
        <f t="shared" si="15"/>
        <v>4</v>
      </c>
      <c r="AD102" s="110"/>
      <c r="AE102" s="110" t="str">
        <f t="shared" si="16"/>
        <v>🔺 Bullish</v>
      </c>
      <c r="AF102" s="110" t="str">
        <f t="shared" si="17"/>
        <v>STOCK IN NOW</v>
      </c>
      <c r="AG102" s="111"/>
    </row>
    <row r="103" spans="2:33" ht="25.5" customHeight="1" x14ac:dyDescent="0.25">
      <c r="B103" s="131">
        <v>45</v>
      </c>
      <c r="C103" s="132">
        <v>45600</v>
      </c>
      <c r="D103" s="133">
        <v>570</v>
      </c>
      <c r="E103" s="112" t="s">
        <v>612</v>
      </c>
      <c r="F103" s="134">
        <v>568.99</v>
      </c>
      <c r="G103" s="134">
        <v>578.54999999999995</v>
      </c>
      <c r="H103" s="134">
        <v>559.01</v>
      </c>
      <c r="I103" s="134">
        <f t="shared" ref="I103:I134" si="21">IFERROR(G103-H103,"")</f>
        <v>19.539999999999964</v>
      </c>
      <c r="J103" s="134">
        <v>569.67999999999995</v>
      </c>
      <c r="K103" s="134">
        <v>567.29999999999995</v>
      </c>
      <c r="L103" s="114">
        <f t="shared" si="18"/>
        <v>-2</v>
      </c>
      <c r="M103" s="118">
        <f t="shared" si="19"/>
        <v>-3.4965034965034965E-3</v>
      </c>
      <c r="N103" s="134">
        <f t="shared" si="20"/>
        <v>572.25</v>
      </c>
      <c r="O103" s="135">
        <v>0</v>
      </c>
      <c r="P103" s="139"/>
      <c r="Q103" s="137">
        <v>1</v>
      </c>
      <c r="R103" s="136" t="s">
        <v>612</v>
      </c>
      <c r="S103" s="138">
        <v>2</v>
      </c>
      <c r="T103" s="136" t="s">
        <v>777</v>
      </c>
      <c r="U103" s="140">
        <v>0</v>
      </c>
      <c r="V103" s="139"/>
      <c r="W103" s="141">
        <v>0</v>
      </c>
      <c r="X103" s="136" t="s">
        <v>612</v>
      </c>
      <c r="Y103" s="142">
        <v>0</v>
      </c>
      <c r="Z103" s="139"/>
      <c r="AA103" s="143">
        <v>0</v>
      </c>
      <c r="AB103" s="139"/>
      <c r="AC103" s="144">
        <f t="shared" ref="AC103:AC111" si="22">SUM(O103,Q103,S103,U103,W103,Y103,AA103)</f>
        <v>3</v>
      </c>
      <c r="AD103" s="110"/>
      <c r="AE103" s="110" t="str">
        <f t="shared" ref="AE103:AE111" si="23">IFERROR(IF(AC103&gt;=4,"🔺 Bullish",IF(AC103&lt;=-4,"🔻 Bearish",IF(AC103&gt;=2,"↑ Mildly Bullish",IF(AC103&lt;=-2,"↓ Mildly Bearish","→ Neutral")))),"—")</f>
        <v>↑ Mildly Bullish</v>
      </c>
      <c r="AF103" s="110" t="str">
        <f t="shared" ref="AF103:AF111" si="24">IFERROR(IF(AC103&gt;=4,"STOCK IN NOW",IF(AC103&lt;=-4,"REDUCE EXPOSURE",IF(AC103&gt;=2,"Consider stock-in",IF(AC103&lt;=-2,"Review sell price","Hold")))),"—")</f>
        <v>Consider stock-in</v>
      </c>
      <c r="AG103" s="111"/>
    </row>
    <row r="104" spans="2:33" ht="25.5" customHeight="1" x14ac:dyDescent="0.25">
      <c r="B104" s="75">
        <v>46</v>
      </c>
      <c r="C104" s="145">
        <v>45607</v>
      </c>
      <c r="D104" s="133">
        <v>568</v>
      </c>
      <c r="E104" s="112" t="s">
        <v>616</v>
      </c>
      <c r="F104" s="134">
        <v>572.74</v>
      </c>
      <c r="G104" s="134">
        <v>589.72</v>
      </c>
      <c r="H104" s="134">
        <v>562.85</v>
      </c>
      <c r="I104" s="134">
        <f t="shared" si="21"/>
        <v>26.870000000000005</v>
      </c>
      <c r="J104" s="134">
        <v>566.52</v>
      </c>
      <c r="K104" s="134">
        <v>583.69000000000005</v>
      </c>
      <c r="L104" s="114">
        <f t="shared" si="18"/>
        <v>-2</v>
      </c>
      <c r="M104" s="118">
        <f t="shared" si="19"/>
        <v>-3.5087719298245615E-3</v>
      </c>
      <c r="N104" s="134">
        <f t="shared" si="20"/>
        <v>571.25</v>
      </c>
      <c r="O104" s="135">
        <v>0</v>
      </c>
      <c r="P104" s="139"/>
      <c r="Q104" s="137">
        <v>1</v>
      </c>
      <c r="R104" s="136" t="s">
        <v>616</v>
      </c>
      <c r="S104" s="138">
        <v>1</v>
      </c>
      <c r="T104" s="136" t="s">
        <v>778</v>
      </c>
      <c r="U104" s="140">
        <v>0</v>
      </c>
      <c r="V104" s="139"/>
      <c r="W104" s="141">
        <v>0</v>
      </c>
      <c r="X104" s="136" t="s">
        <v>616</v>
      </c>
      <c r="Y104" s="142">
        <v>0</v>
      </c>
      <c r="Z104" s="139"/>
      <c r="AA104" s="143">
        <v>0</v>
      </c>
      <c r="AB104" s="139"/>
      <c r="AC104" s="144">
        <f t="shared" si="22"/>
        <v>2</v>
      </c>
      <c r="AD104" s="110"/>
      <c r="AE104" s="110" t="str">
        <f t="shared" si="23"/>
        <v>↑ Mildly Bullish</v>
      </c>
      <c r="AF104" s="110" t="str">
        <f t="shared" si="24"/>
        <v>Consider stock-in</v>
      </c>
      <c r="AG104" s="111"/>
    </row>
    <row r="105" spans="2:33" ht="25.5" customHeight="1" x14ac:dyDescent="0.25">
      <c r="B105" s="131">
        <v>47</v>
      </c>
      <c r="C105" s="132">
        <v>45614</v>
      </c>
      <c r="D105" s="133">
        <v>572</v>
      </c>
      <c r="E105" s="112" t="s">
        <v>621</v>
      </c>
      <c r="F105" s="134">
        <v>569.27</v>
      </c>
      <c r="G105" s="134">
        <v>579.52</v>
      </c>
      <c r="H105" s="134">
        <v>560.07000000000005</v>
      </c>
      <c r="I105" s="134">
        <f t="shared" si="21"/>
        <v>19.449999999999932</v>
      </c>
      <c r="J105" s="134">
        <v>569.17999999999995</v>
      </c>
      <c r="K105" s="134">
        <v>566.63</v>
      </c>
      <c r="L105" s="114">
        <f t="shared" ref="L105:L111" si="25">IFERROR(D105-D104,"")</f>
        <v>4</v>
      </c>
      <c r="M105" s="118">
        <f t="shared" ref="M105:M136" si="26">IFERROR(L105/D104,"")</f>
        <v>7.0422535211267607E-3</v>
      </c>
      <c r="N105" s="134">
        <f t="shared" si="20"/>
        <v>570.5</v>
      </c>
      <c r="O105" s="135">
        <v>1</v>
      </c>
      <c r="P105" s="136" t="s">
        <v>779</v>
      </c>
      <c r="Q105" s="137">
        <v>1</v>
      </c>
      <c r="R105" s="136" t="s">
        <v>621</v>
      </c>
      <c r="S105" s="138">
        <v>2</v>
      </c>
      <c r="T105" s="136" t="s">
        <v>779</v>
      </c>
      <c r="U105" s="140">
        <v>0</v>
      </c>
      <c r="V105" s="139"/>
      <c r="W105" s="141">
        <v>0</v>
      </c>
      <c r="X105" s="136" t="s">
        <v>621</v>
      </c>
      <c r="Y105" s="142">
        <v>0</v>
      </c>
      <c r="Z105" s="139"/>
      <c r="AA105" s="143">
        <v>0</v>
      </c>
      <c r="AB105" s="139"/>
      <c r="AC105" s="144">
        <f t="shared" si="22"/>
        <v>4</v>
      </c>
      <c r="AD105" s="110"/>
      <c r="AE105" s="110" t="str">
        <f t="shared" si="23"/>
        <v>🔺 Bullish</v>
      </c>
      <c r="AF105" s="110" t="str">
        <f t="shared" si="24"/>
        <v>STOCK IN NOW</v>
      </c>
      <c r="AG105" s="111"/>
    </row>
    <row r="106" spans="2:33" ht="25.5" customHeight="1" x14ac:dyDescent="0.25">
      <c r="B106" s="75">
        <v>48</v>
      </c>
      <c r="C106" s="145">
        <v>45621</v>
      </c>
      <c r="D106" s="133">
        <v>575</v>
      </c>
      <c r="E106" s="112" t="s">
        <v>626</v>
      </c>
      <c r="F106" s="134">
        <v>581.51</v>
      </c>
      <c r="G106" s="134">
        <v>600.51</v>
      </c>
      <c r="H106" s="134">
        <v>567.99</v>
      </c>
      <c r="I106" s="134">
        <f t="shared" si="21"/>
        <v>32.519999999999982</v>
      </c>
      <c r="J106" s="134">
        <v>594.39</v>
      </c>
      <c r="K106" s="134">
        <v>575.15</v>
      </c>
      <c r="L106" s="114">
        <f t="shared" si="25"/>
        <v>3</v>
      </c>
      <c r="M106" s="118">
        <f t="shared" si="26"/>
        <v>5.244755244755245E-3</v>
      </c>
      <c r="N106" s="134">
        <f t="shared" si="20"/>
        <v>571.25</v>
      </c>
      <c r="O106" s="135">
        <v>1</v>
      </c>
      <c r="P106" s="136" t="s">
        <v>780</v>
      </c>
      <c r="Q106" s="137">
        <v>1</v>
      </c>
      <c r="R106" s="136" t="s">
        <v>626</v>
      </c>
      <c r="S106" s="138">
        <v>2</v>
      </c>
      <c r="T106" s="136" t="s">
        <v>780</v>
      </c>
      <c r="U106" s="140">
        <v>0</v>
      </c>
      <c r="V106" s="139"/>
      <c r="W106" s="141">
        <v>0</v>
      </c>
      <c r="X106" s="136" t="s">
        <v>626</v>
      </c>
      <c r="Y106" s="142">
        <v>0</v>
      </c>
      <c r="Z106" s="139"/>
      <c r="AA106" s="143">
        <v>0</v>
      </c>
      <c r="AB106" s="139"/>
      <c r="AC106" s="144">
        <f t="shared" si="22"/>
        <v>4</v>
      </c>
      <c r="AD106" s="110"/>
      <c r="AE106" s="110" t="str">
        <f t="shared" si="23"/>
        <v>🔺 Bullish</v>
      </c>
      <c r="AF106" s="110" t="str">
        <f t="shared" si="24"/>
        <v>STOCK IN NOW</v>
      </c>
      <c r="AG106" s="111"/>
    </row>
    <row r="107" spans="2:33" ht="25.5" customHeight="1" x14ac:dyDescent="0.25">
      <c r="B107" s="131">
        <v>49</v>
      </c>
      <c r="C107" s="132">
        <v>45628</v>
      </c>
      <c r="D107" s="133">
        <v>578</v>
      </c>
      <c r="E107" s="112" t="s">
        <v>631</v>
      </c>
      <c r="F107" s="134">
        <v>577.36</v>
      </c>
      <c r="G107" s="134">
        <v>584.23</v>
      </c>
      <c r="H107" s="134">
        <v>568.51</v>
      </c>
      <c r="I107" s="134">
        <f t="shared" si="21"/>
        <v>15.720000000000027</v>
      </c>
      <c r="J107" s="134">
        <v>576.76</v>
      </c>
      <c r="K107" s="134">
        <v>577.33000000000004</v>
      </c>
      <c r="L107" s="114">
        <f t="shared" si="25"/>
        <v>3</v>
      </c>
      <c r="M107" s="118">
        <f t="shared" si="26"/>
        <v>5.2173913043478265E-3</v>
      </c>
      <c r="N107" s="134">
        <f t="shared" ref="N107:N138" si="27">IFERROR(AVERAGE(D104:D107),"")</f>
        <v>573.25</v>
      </c>
      <c r="O107" s="135">
        <v>1</v>
      </c>
      <c r="P107" s="136" t="s">
        <v>781</v>
      </c>
      <c r="Q107" s="137">
        <v>1</v>
      </c>
      <c r="R107" s="136" t="s">
        <v>631</v>
      </c>
      <c r="S107" s="138">
        <v>2</v>
      </c>
      <c r="T107" s="136" t="s">
        <v>781</v>
      </c>
      <c r="U107" s="140">
        <v>0</v>
      </c>
      <c r="V107" s="139"/>
      <c r="W107" s="141">
        <v>0</v>
      </c>
      <c r="X107" s="136" t="s">
        <v>631</v>
      </c>
      <c r="Y107" s="142">
        <v>0</v>
      </c>
      <c r="Z107" s="139"/>
      <c r="AA107" s="143">
        <v>0</v>
      </c>
      <c r="AB107" s="139"/>
      <c r="AC107" s="144">
        <f t="shared" si="22"/>
        <v>4</v>
      </c>
      <c r="AD107" s="110"/>
      <c r="AE107" s="110" t="str">
        <f t="shared" si="23"/>
        <v>🔺 Bullish</v>
      </c>
      <c r="AF107" s="110" t="str">
        <f t="shared" si="24"/>
        <v>STOCK IN NOW</v>
      </c>
      <c r="AG107" s="111"/>
    </row>
    <row r="108" spans="2:33" ht="25.5" customHeight="1" x14ac:dyDescent="0.25">
      <c r="B108" s="75">
        <v>50</v>
      </c>
      <c r="C108" s="145">
        <v>45635</v>
      </c>
      <c r="D108" s="133">
        <v>580</v>
      </c>
      <c r="E108" s="112" t="s">
        <v>635</v>
      </c>
      <c r="F108" s="134">
        <v>587.87</v>
      </c>
      <c r="G108" s="134">
        <v>602.72</v>
      </c>
      <c r="H108" s="134">
        <v>572.49</v>
      </c>
      <c r="I108" s="134">
        <f t="shared" si="21"/>
        <v>30.230000000000018</v>
      </c>
      <c r="J108" s="134">
        <v>589.03</v>
      </c>
      <c r="K108" s="134">
        <v>594.58000000000004</v>
      </c>
      <c r="L108" s="114">
        <f t="shared" si="25"/>
        <v>2</v>
      </c>
      <c r="M108" s="118">
        <f t="shared" si="26"/>
        <v>3.4602076124567475E-3</v>
      </c>
      <c r="N108" s="134">
        <f t="shared" si="27"/>
        <v>576.25</v>
      </c>
      <c r="O108" s="135">
        <v>1</v>
      </c>
      <c r="P108" s="136" t="s">
        <v>782</v>
      </c>
      <c r="Q108" s="137">
        <v>1</v>
      </c>
      <c r="R108" s="136" t="s">
        <v>635</v>
      </c>
      <c r="S108" s="138">
        <v>2</v>
      </c>
      <c r="T108" s="136" t="s">
        <v>782</v>
      </c>
      <c r="U108" s="140">
        <v>0</v>
      </c>
      <c r="V108" s="139"/>
      <c r="W108" s="141">
        <v>0</v>
      </c>
      <c r="X108" s="136" t="s">
        <v>635</v>
      </c>
      <c r="Y108" s="142">
        <v>1</v>
      </c>
      <c r="Z108" s="136" t="s">
        <v>782</v>
      </c>
      <c r="AA108" s="143">
        <v>0</v>
      </c>
      <c r="AB108" s="139"/>
      <c r="AC108" s="144">
        <f t="shared" si="22"/>
        <v>5</v>
      </c>
      <c r="AD108" s="110"/>
      <c r="AE108" s="110" t="str">
        <f t="shared" si="23"/>
        <v>🔺 Bullish</v>
      </c>
      <c r="AF108" s="110" t="str">
        <f t="shared" si="24"/>
        <v>STOCK IN NOW</v>
      </c>
      <c r="AG108" s="111"/>
    </row>
    <row r="109" spans="2:33" ht="25.5" customHeight="1" x14ac:dyDescent="0.25">
      <c r="B109" s="131">
        <v>51</v>
      </c>
      <c r="C109" s="132">
        <v>45642</v>
      </c>
      <c r="D109" s="133">
        <v>578</v>
      </c>
      <c r="E109" s="112" t="s">
        <v>640</v>
      </c>
      <c r="F109" s="134">
        <v>584.64</v>
      </c>
      <c r="G109" s="134">
        <v>601.77</v>
      </c>
      <c r="H109" s="134">
        <v>569.72</v>
      </c>
      <c r="I109" s="134">
        <f t="shared" si="21"/>
        <v>32.049999999999955</v>
      </c>
      <c r="J109" s="134">
        <v>598.04</v>
      </c>
      <c r="K109" s="134">
        <v>577.88</v>
      </c>
      <c r="L109" s="114">
        <f t="shared" si="25"/>
        <v>-2</v>
      </c>
      <c r="M109" s="118">
        <f t="shared" si="26"/>
        <v>-3.4482758620689655E-3</v>
      </c>
      <c r="N109" s="134">
        <f t="shared" si="27"/>
        <v>577.75</v>
      </c>
      <c r="O109" s="135">
        <v>0</v>
      </c>
      <c r="P109" s="139"/>
      <c r="Q109" s="137">
        <v>0</v>
      </c>
      <c r="R109" s="136" t="s">
        <v>640</v>
      </c>
      <c r="S109" s="138">
        <v>1</v>
      </c>
      <c r="T109" s="136" t="s">
        <v>640</v>
      </c>
      <c r="U109" s="140">
        <v>0</v>
      </c>
      <c r="V109" s="139"/>
      <c r="W109" s="141">
        <v>0</v>
      </c>
      <c r="X109" s="136" t="s">
        <v>640</v>
      </c>
      <c r="Y109" s="142">
        <v>0</v>
      </c>
      <c r="Z109" s="139"/>
      <c r="AA109" s="143">
        <v>0</v>
      </c>
      <c r="AB109" s="139"/>
      <c r="AC109" s="144">
        <f t="shared" si="22"/>
        <v>1</v>
      </c>
      <c r="AD109" s="110"/>
      <c r="AE109" s="110" t="str">
        <f t="shared" si="23"/>
        <v>→ Neutral</v>
      </c>
      <c r="AF109" s="110" t="str">
        <f t="shared" si="24"/>
        <v>Hold</v>
      </c>
      <c r="AG109" s="111"/>
    </row>
    <row r="110" spans="2:33" ht="25.5" customHeight="1" x14ac:dyDescent="0.25">
      <c r="B110" s="75">
        <v>52</v>
      </c>
      <c r="C110" s="145">
        <v>45649</v>
      </c>
      <c r="D110" s="133">
        <v>575</v>
      </c>
      <c r="E110" s="112" t="s">
        <v>392</v>
      </c>
      <c r="F110" s="134">
        <v>576.64</v>
      </c>
      <c r="G110" s="134">
        <v>585.91999999999996</v>
      </c>
      <c r="H110" s="134">
        <v>565.6</v>
      </c>
      <c r="I110" s="134">
        <f t="shared" si="21"/>
        <v>20.319999999999936</v>
      </c>
      <c r="J110" s="134">
        <v>573.6</v>
      </c>
      <c r="K110" s="134">
        <v>581.32000000000005</v>
      </c>
      <c r="L110" s="114">
        <f t="shared" si="25"/>
        <v>-3</v>
      </c>
      <c r="M110" s="118">
        <f t="shared" si="26"/>
        <v>-5.1903114186851208E-3</v>
      </c>
      <c r="N110" s="134">
        <f t="shared" si="27"/>
        <v>577.75</v>
      </c>
      <c r="O110" s="135">
        <v>0</v>
      </c>
      <c r="P110" s="139"/>
      <c r="Q110" s="137">
        <v>0</v>
      </c>
      <c r="R110" s="136" t="s">
        <v>392</v>
      </c>
      <c r="S110" s="138">
        <v>1</v>
      </c>
      <c r="T110" s="136" t="s">
        <v>392</v>
      </c>
      <c r="U110" s="140">
        <v>0</v>
      </c>
      <c r="V110" s="139"/>
      <c r="W110" s="141">
        <v>0</v>
      </c>
      <c r="X110" s="136" t="s">
        <v>392</v>
      </c>
      <c r="Y110" s="142">
        <v>0</v>
      </c>
      <c r="Z110" s="139"/>
      <c r="AA110" s="143">
        <v>0</v>
      </c>
      <c r="AB110" s="139"/>
      <c r="AC110" s="144">
        <f t="shared" si="22"/>
        <v>1</v>
      </c>
      <c r="AD110" s="110"/>
      <c r="AE110" s="110" t="str">
        <f t="shared" si="23"/>
        <v>→ Neutral</v>
      </c>
      <c r="AF110" s="110" t="str">
        <f t="shared" si="24"/>
        <v>Hold</v>
      </c>
      <c r="AG110" s="111"/>
    </row>
    <row r="111" spans="2:33" ht="25.5" customHeight="1" x14ac:dyDescent="0.25">
      <c r="B111" s="131">
        <v>1</v>
      </c>
      <c r="C111" s="132">
        <v>45656</v>
      </c>
      <c r="D111" s="133">
        <v>578</v>
      </c>
      <c r="E111" s="112" t="s">
        <v>649</v>
      </c>
      <c r="F111" s="134">
        <v>585.12</v>
      </c>
      <c r="G111" s="134">
        <v>603.75</v>
      </c>
      <c r="H111" s="134">
        <v>569.99</v>
      </c>
      <c r="I111" s="134">
        <f t="shared" si="21"/>
        <v>33.759999999999991</v>
      </c>
      <c r="J111" s="134">
        <v>596.37</v>
      </c>
      <c r="K111" s="134">
        <v>581</v>
      </c>
      <c r="L111" s="114">
        <f t="shared" si="25"/>
        <v>3</v>
      </c>
      <c r="M111" s="118">
        <f t="shared" si="26"/>
        <v>5.2173913043478265E-3</v>
      </c>
      <c r="N111" s="134">
        <f t="shared" si="27"/>
        <v>577.75</v>
      </c>
      <c r="O111" s="135">
        <v>1</v>
      </c>
      <c r="P111" s="136" t="s">
        <v>783</v>
      </c>
      <c r="Q111" s="137">
        <v>0</v>
      </c>
      <c r="R111" s="136" t="s">
        <v>649</v>
      </c>
      <c r="S111" s="138">
        <v>1</v>
      </c>
      <c r="T111" s="136" t="s">
        <v>783</v>
      </c>
      <c r="U111" s="140">
        <v>0</v>
      </c>
      <c r="V111" s="139"/>
      <c r="W111" s="141">
        <v>0</v>
      </c>
      <c r="X111" s="136" t="s">
        <v>649</v>
      </c>
      <c r="Y111" s="142">
        <v>0</v>
      </c>
      <c r="Z111" s="139"/>
      <c r="AA111" s="143">
        <v>0</v>
      </c>
      <c r="AB111" s="139"/>
      <c r="AC111" s="144">
        <f t="shared" si="22"/>
        <v>2</v>
      </c>
      <c r="AD111" s="110"/>
      <c r="AE111" s="110" t="str">
        <f t="shared" si="23"/>
        <v>↑ Mildly Bullish</v>
      </c>
      <c r="AF111" s="110" t="str">
        <f t="shared" si="24"/>
        <v>Consider stock-in</v>
      </c>
      <c r="AG111" s="111"/>
    </row>
  </sheetData>
  <mergeCells count="11">
    <mergeCell ref="W5:X5"/>
    <mergeCell ref="F5:K5"/>
    <mergeCell ref="O5:P5"/>
    <mergeCell ref="Q5:R5"/>
    <mergeCell ref="S5:T5"/>
    <mergeCell ref="L5:N5"/>
    <mergeCell ref="U5:V5"/>
    <mergeCell ref="Y5:Z5"/>
    <mergeCell ref="AA5:AB5"/>
    <mergeCell ref="B5:E5"/>
    <mergeCell ref="AC5:AG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V11"/>
  <sheetViews>
    <sheetView showGridLines="0" workbookViewId="0">
      <pane xSplit="9" ySplit="6" topLeftCell="J7" activePane="bottomRight" state="frozen"/>
      <selection pane="topRight"/>
      <selection pane="bottomLeft"/>
      <selection pane="bottomRight" activeCell="A7" sqref="A7"/>
    </sheetView>
  </sheetViews>
  <sheetFormatPr defaultRowHeight="15" x14ac:dyDescent="0.25"/>
  <cols>
    <col min="1" max="1" width="1.42578125" style="70" customWidth="1"/>
    <col min="2" max="2" width="20" style="70" customWidth="1"/>
    <col min="3" max="3" width="13.5703125" style="70" customWidth="1"/>
    <col min="4" max="4" width="16" style="70" customWidth="1"/>
    <col min="5" max="5" width="14" style="70" customWidth="1"/>
    <col min="6" max="6" width="12" style="70" customWidth="1"/>
    <col min="7" max="7" width="11.28515625" style="70" customWidth="1"/>
    <col min="8" max="8" width="17.85546875" style="70" customWidth="1"/>
    <col min="9" max="9" width="10.85546875" style="70" customWidth="1"/>
    <col min="10" max="11" width="12" style="70" customWidth="1"/>
    <col min="12" max="12" width="13" style="70" customWidth="1"/>
    <col min="13" max="13" width="9" style="70" customWidth="1"/>
    <col min="14" max="14" width="13" style="70" customWidth="1"/>
    <col min="15" max="15" width="9" style="70" customWidth="1"/>
    <col min="16" max="16" width="13" style="70" customWidth="1"/>
    <col min="17" max="17" width="9" style="70" customWidth="1"/>
    <col min="18" max="18" width="16" style="70" customWidth="1"/>
    <col min="19" max="19" width="9" style="70" customWidth="1"/>
    <col min="20" max="20" width="26" style="70" customWidth="1"/>
    <col min="21" max="21" width="14" style="70" customWidth="1"/>
    <col min="22" max="22" width="28" style="70" customWidth="1"/>
    <col min="23" max="16384" width="9.140625" style="70"/>
  </cols>
  <sheetData>
    <row r="1" spans="2:22" ht="6" customHeight="1" x14ac:dyDescent="0.25"/>
    <row r="2" spans="2:22" ht="38.1" customHeight="1" x14ac:dyDescent="0.25">
      <c r="B2" s="176" t="s">
        <v>784</v>
      </c>
      <c r="C2" s="169"/>
      <c r="D2" s="169"/>
      <c r="E2" s="169"/>
      <c r="F2" s="169"/>
      <c r="G2" s="169"/>
      <c r="H2" s="169"/>
      <c r="I2" s="169"/>
      <c r="J2" s="169"/>
      <c r="K2" s="169"/>
      <c r="L2" s="169"/>
      <c r="M2" s="169"/>
      <c r="N2" s="169"/>
      <c r="O2" s="169"/>
      <c r="P2" s="169"/>
      <c r="Q2" s="169"/>
      <c r="R2" s="169"/>
      <c r="S2" s="169"/>
      <c r="T2" s="169"/>
      <c r="U2" s="169"/>
      <c r="V2" s="169"/>
    </row>
    <row r="3" spans="2:22" ht="18" customHeight="1" x14ac:dyDescent="0.25">
      <c r="B3" s="165" t="s">
        <v>785</v>
      </c>
      <c r="C3" s="166"/>
      <c r="D3" s="166"/>
      <c r="E3" s="166"/>
      <c r="F3" s="166"/>
      <c r="G3" s="166"/>
      <c r="H3" s="166"/>
      <c r="I3" s="166"/>
      <c r="J3" s="166"/>
      <c r="K3" s="166"/>
      <c r="L3" s="166"/>
      <c r="M3" s="166"/>
      <c r="N3" s="166"/>
      <c r="O3" s="166"/>
      <c r="P3" s="166"/>
      <c r="Q3" s="166"/>
      <c r="R3" s="166"/>
      <c r="S3" s="166"/>
      <c r="T3" s="166"/>
      <c r="U3" s="166"/>
      <c r="V3" s="166"/>
    </row>
    <row r="4" spans="2:22" ht="20.25" customHeight="1" x14ac:dyDescent="0.25">
      <c r="B4" s="164" t="s">
        <v>786</v>
      </c>
      <c r="C4" s="69"/>
      <c r="D4" s="69"/>
      <c r="E4" s="69"/>
      <c r="F4" s="69"/>
      <c r="G4" s="69"/>
      <c r="H4" s="69"/>
      <c r="I4" s="69"/>
      <c r="J4" s="69"/>
      <c r="K4" s="69"/>
      <c r="L4" s="69"/>
      <c r="M4" s="69"/>
      <c r="N4" s="69"/>
      <c r="O4" s="69"/>
      <c r="P4" s="69"/>
      <c r="Q4" s="69"/>
      <c r="R4" s="69"/>
      <c r="S4" s="69"/>
      <c r="T4" s="69"/>
      <c r="U4" s="69"/>
      <c r="V4" s="69"/>
    </row>
    <row r="5" spans="2:22" ht="18" customHeight="1" x14ac:dyDescent="0.25">
      <c r="B5" s="177" t="s">
        <v>787</v>
      </c>
      <c r="C5" s="178"/>
      <c r="D5" s="178"/>
      <c r="E5" s="178"/>
      <c r="F5" s="178"/>
      <c r="G5" s="178"/>
      <c r="H5" s="178"/>
      <c r="I5" s="179"/>
      <c r="J5" s="96" t="s">
        <v>788</v>
      </c>
      <c r="K5" s="71"/>
      <c r="L5" s="96" t="s">
        <v>789</v>
      </c>
      <c r="M5" s="71"/>
      <c r="N5" s="97" t="s">
        <v>790</v>
      </c>
      <c r="O5" s="71"/>
      <c r="P5" s="146" t="s">
        <v>791</v>
      </c>
      <c r="Q5" s="71"/>
      <c r="R5" s="98" t="s">
        <v>792</v>
      </c>
      <c r="S5" s="71"/>
      <c r="T5" s="71"/>
      <c r="U5" s="71"/>
      <c r="V5" s="71"/>
    </row>
    <row r="6" spans="2:22" ht="38.1" customHeight="1" x14ac:dyDescent="0.25">
      <c r="B6" s="102" t="s">
        <v>85</v>
      </c>
      <c r="C6" s="102" t="s">
        <v>793</v>
      </c>
      <c r="D6" s="102" t="s">
        <v>794</v>
      </c>
      <c r="E6" s="102" t="s">
        <v>795</v>
      </c>
      <c r="F6" s="102" t="s">
        <v>796</v>
      </c>
      <c r="G6" s="102" t="s">
        <v>797</v>
      </c>
      <c r="H6" s="102" t="s">
        <v>695</v>
      </c>
      <c r="I6" s="102" t="s">
        <v>798</v>
      </c>
      <c r="J6" s="103" t="s">
        <v>799</v>
      </c>
      <c r="K6" s="103" t="s">
        <v>678</v>
      </c>
      <c r="L6" s="103" t="s">
        <v>800</v>
      </c>
      <c r="M6" s="103" t="s">
        <v>801</v>
      </c>
      <c r="N6" s="104" t="s">
        <v>802</v>
      </c>
      <c r="O6" s="104" t="s">
        <v>803</v>
      </c>
      <c r="P6" s="147" t="s">
        <v>804</v>
      </c>
      <c r="Q6" s="147" t="s">
        <v>805</v>
      </c>
      <c r="R6" s="105" t="s">
        <v>696</v>
      </c>
      <c r="S6" s="105" t="s">
        <v>806</v>
      </c>
      <c r="T6" s="105" t="s">
        <v>807</v>
      </c>
      <c r="U6" s="105" t="s">
        <v>808</v>
      </c>
      <c r="V6" s="102" t="s">
        <v>809</v>
      </c>
    </row>
    <row r="7" spans="2:22" ht="28.5" customHeight="1" x14ac:dyDescent="0.25">
      <c r="B7" s="148" t="s">
        <v>110</v>
      </c>
      <c r="C7" s="149" t="s">
        <v>111</v>
      </c>
      <c r="D7" s="149" t="s">
        <v>105</v>
      </c>
      <c r="E7" s="149" t="s">
        <v>107</v>
      </c>
      <c r="F7" s="149" t="s">
        <v>810</v>
      </c>
      <c r="G7" s="150">
        <v>2</v>
      </c>
      <c r="H7" s="151" t="s">
        <v>811</v>
      </c>
      <c r="I7" s="149" t="s">
        <v>103</v>
      </c>
      <c r="J7" s="152">
        <v>565.51</v>
      </c>
      <c r="K7" s="153">
        <v>577.75</v>
      </c>
      <c r="L7" s="152">
        <v>574.55999999999995</v>
      </c>
      <c r="M7" s="154">
        <f>IFERROR((L7-J7)/J7,"")</f>
        <v>1.600325370019974E-2</v>
      </c>
      <c r="N7" s="155">
        <v>596.61</v>
      </c>
      <c r="O7" s="156">
        <f>IFERROR((N7-J7)/J7,"")</f>
        <v>5.4994606638255776E-2</v>
      </c>
      <c r="P7" s="157">
        <v>554.77</v>
      </c>
      <c r="Q7" s="158">
        <f>IFERROR((P7-J7)/J7,"")</f>
        <v>-1.8991706601121129E-2</v>
      </c>
      <c r="R7" s="159" t="s">
        <v>812</v>
      </c>
      <c r="S7" s="110">
        <v>5</v>
      </c>
      <c r="T7" s="160" t="s">
        <v>813</v>
      </c>
      <c r="U7" s="161" t="s">
        <v>115</v>
      </c>
      <c r="V7" s="111"/>
    </row>
    <row r="8" spans="2:22" ht="28.5" customHeight="1" x14ac:dyDescent="0.25">
      <c r="B8" s="162" t="s">
        <v>110</v>
      </c>
      <c r="C8" s="76" t="s">
        <v>111</v>
      </c>
      <c r="D8" s="76" t="s">
        <v>120</v>
      </c>
      <c r="E8" s="76" t="s">
        <v>122</v>
      </c>
      <c r="F8" s="76" t="s">
        <v>814</v>
      </c>
      <c r="G8" s="163">
        <v>2</v>
      </c>
      <c r="H8" s="151" t="s">
        <v>811</v>
      </c>
      <c r="I8" s="76" t="s">
        <v>103</v>
      </c>
      <c r="J8" s="152">
        <v>591.79999999999995</v>
      </c>
      <c r="K8" s="153">
        <v>577.75</v>
      </c>
      <c r="L8" s="152">
        <v>601.27</v>
      </c>
      <c r="M8" s="154">
        <f>IFERROR((L8-J8)/J8,"")</f>
        <v>1.6002027712064933E-2</v>
      </c>
      <c r="N8" s="155">
        <v>624.35</v>
      </c>
      <c r="O8" s="156">
        <f>IFERROR((N8-J8)/J8,"")</f>
        <v>5.5001689760054193E-2</v>
      </c>
      <c r="P8" s="157">
        <v>580.55999999999995</v>
      </c>
      <c r="Q8" s="158">
        <f>IFERROR((P8-J8)/J8,"")</f>
        <v>-1.8992903007772913E-2</v>
      </c>
      <c r="R8" s="159" t="s">
        <v>812</v>
      </c>
      <c r="S8" s="110">
        <v>5</v>
      </c>
      <c r="T8" s="160" t="s">
        <v>813</v>
      </c>
      <c r="U8" s="161" t="s">
        <v>115</v>
      </c>
      <c r="V8" s="111"/>
    </row>
    <row r="9" spans="2:22" ht="28.5" customHeight="1" x14ac:dyDescent="0.25">
      <c r="B9" s="148" t="s">
        <v>135</v>
      </c>
      <c r="C9" s="149" t="s">
        <v>136</v>
      </c>
      <c r="D9" s="149" t="s">
        <v>130</v>
      </c>
      <c r="E9" s="149" t="s">
        <v>132</v>
      </c>
      <c r="F9" s="149" t="s">
        <v>815</v>
      </c>
      <c r="G9" s="150">
        <v>2</v>
      </c>
      <c r="H9" s="151" t="s">
        <v>811</v>
      </c>
      <c r="I9" s="149" t="s">
        <v>103</v>
      </c>
      <c r="J9" s="152">
        <v>570.20000000000005</v>
      </c>
      <c r="K9" s="153">
        <v>577.75</v>
      </c>
      <c r="L9" s="152">
        <v>579.32000000000005</v>
      </c>
      <c r="M9" s="154">
        <f>IFERROR((L9-J9)/J9,"")</f>
        <v>1.5994387934058232E-2</v>
      </c>
      <c r="N9" s="155">
        <v>601.55999999999995</v>
      </c>
      <c r="O9" s="156">
        <f>IFERROR((N9-J9)/J9,"")</f>
        <v>5.4998246229393012E-2</v>
      </c>
      <c r="P9" s="157">
        <v>559.37</v>
      </c>
      <c r="Q9" s="158">
        <f>IFERROR((P9-J9)/J9,"")</f>
        <v>-1.8993335671694214E-2</v>
      </c>
      <c r="R9" s="159" t="s">
        <v>812</v>
      </c>
      <c r="S9" s="110">
        <v>5</v>
      </c>
      <c r="T9" s="160" t="s">
        <v>813</v>
      </c>
      <c r="U9" s="161" t="s">
        <v>115</v>
      </c>
      <c r="V9" s="111"/>
    </row>
    <row r="10" spans="2:22" ht="28.5" customHeight="1" x14ac:dyDescent="0.25">
      <c r="B10" s="162" t="s">
        <v>110</v>
      </c>
      <c r="C10" s="76" t="s">
        <v>111</v>
      </c>
      <c r="D10" s="76" t="s">
        <v>105</v>
      </c>
      <c r="E10" s="76" t="s">
        <v>141</v>
      </c>
      <c r="F10" s="76" t="s">
        <v>816</v>
      </c>
      <c r="G10" s="163">
        <v>2</v>
      </c>
      <c r="H10" s="151" t="s">
        <v>811</v>
      </c>
      <c r="I10" s="76" t="s">
        <v>129</v>
      </c>
      <c r="J10" s="152">
        <v>578.59</v>
      </c>
      <c r="K10" s="153">
        <v>577.75</v>
      </c>
      <c r="L10" s="152">
        <v>587.85</v>
      </c>
      <c r="M10" s="154">
        <f>IFERROR((L10-J10)/J10,"")</f>
        <v>1.6004424549335438E-2</v>
      </c>
      <c r="N10" s="155">
        <v>610.41</v>
      </c>
      <c r="O10" s="156">
        <f>IFERROR((N10-J10)/J10,"")</f>
        <v>5.499576556801869E-2</v>
      </c>
      <c r="P10" s="157">
        <v>567.6</v>
      </c>
      <c r="Q10" s="158">
        <f>IFERROR((P10-J10)/J10,"")</f>
        <v>-1.8994452029934855E-2</v>
      </c>
      <c r="R10" s="159" t="s">
        <v>812</v>
      </c>
      <c r="S10" s="110">
        <v>5</v>
      </c>
      <c r="T10" s="160" t="s">
        <v>813</v>
      </c>
      <c r="U10" s="161" t="s">
        <v>115</v>
      </c>
      <c r="V10" s="111"/>
    </row>
    <row r="11" spans="2:22" ht="28.5" customHeight="1" x14ac:dyDescent="0.25">
      <c r="B11" s="148" t="s">
        <v>817</v>
      </c>
      <c r="C11" s="149" t="s">
        <v>818</v>
      </c>
      <c r="D11" s="149" t="s">
        <v>120</v>
      </c>
      <c r="E11" s="149" t="s">
        <v>819</v>
      </c>
      <c r="F11" s="149" t="s">
        <v>130</v>
      </c>
      <c r="G11" s="150">
        <v>2</v>
      </c>
      <c r="H11" s="151" t="s">
        <v>811</v>
      </c>
      <c r="I11" s="149" t="s">
        <v>820</v>
      </c>
      <c r="J11" s="152">
        <v>590.19000000000005</v>
      </c>
      <c r="K11" s="153">
        <v>577.75</v>
      </c>
      <c r="L11" s="152">
        <v>599.63</v>
      </c>
      <c r="M11" s="154">
        <f>IFERROR((L11-J11)/J11,"")</f>
        <v>1.5994849116386146E-2</v>
      </c>
      <c r="N11" s="155">
        <v>622.65</v>
      </c>
      <c r="O11" s="156">
        <f>IFERROR((N11-J11)/J11,"")</f>
        <v>5.4999237533675457E-2</v>
      </c>
      <c r="P11" s="157">
        <v>578.98</v>
      </c>
      <c r="Q11" s="158">
        <f>IFERROR((P11-J11)/J11,"")</f>
        <v>-1.899388332570873E-2</v>
      </c>
      <c r="R11" s="159" t="s">
        <v>812</v>
      </c>
      <c r="S11" s="110">
        <v>5</v>
      </c>
      <c r="T11" s="160" t="s">
        <v>813</v>
      </c>
      <c r="U11" s="161" t="s">
        <v>115</v>
      </c>
      <c r="V11" s="111"/>
    </row>
  </sheetData>
  <mergeCells count="6">
    <mergeCell ref="J5:K5"/>
    <mergeCell ref="B5:I5"/>
    <mergeCell ref="L5:M5"/>
    <mergeCell ref="P5:Q5"/>
    <mergeCell ref="N5:O5"/>
    <mergeCell ref="R5:V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D425"/>
  <sheetViews>
    <sheetView showGridLines="0" workbookViewId="0">
      <pane xSplit="8" ySplit="5" topLeftCell="I35" activePane="bottomRight" state="frozen"/>
      <selection pane="topRight"/>
      <selection pane="bottomLeft"/>
      <selection pane="bottomRight" activeCell="M5" sqref="M5"/>
    </sheetView>
  </sheetViews>
  <sheetFormatPr defaultRowHeight="15" x14ac:dyDescent="0.25"/>
  <cols>
    <col min="1" max="1" width="1.42578125" style="70" customWidth="1"/>
    <col min="2" max="2" width="14" style="70" customWidth="1"/>
    <col min="3" max="3" width="9.85546875" style="70" customWidth="1"/>
    <col min="4" max="4" width="7" style="70" customWidth="1"/>
    <col min="5" max="5" width="18" style="70" customWidth="1"/>
    <col min="6" max="6" width="13.140625" style="70" customWidth="1"/>
    <col min="7" max="7" width="11.7109375" style="70" customWidth="1"/>
    <col min="8" max="8" width="38" style="70" customWidth="1"/>
    <col min="9" max="9" width="11" style="70" customWidth="1"/>
    <col min="10" max="10" width="16" style="70" customWidth="1"/>
    <col min="11" max="11" width="20" style="70" customWidth="1"/>
    <col min="12" max="12" width="9.140625" style="70" customWidth="1"/>
    <col min="13" max="13" width="9.42578125" style="70" customWidth="1"/>
    <col min="14" max="14" width="16" style="70" customWidth="1"/>
    <col min="15" max="15" width="8" style="70" customWidth="1"/>
    <col min="16" max="16" width="14" style="70" customWidth="1"/>
    <col min="17" max="17" width="12" style="70" customWidth="1"/>
    <col min="18" max="18" width="20" style="70" customWidth="1"/>
    <col min="19" max="19" width="21.140625" style="70" customWidth="1"/>
    <col min="20" max="21" width="8" style="70" customWidth="1"/>
    <col min="22" max="22" width="9" style="70" customWidth="1"/>
    <col min="23" max="23" width="10" style="70" customWidth="1"/>
    <col min="24" max="24" width="11.5703125" style="70" customWidth="1"/>
    <col min="25" max="29" width="8" style="70" customWidth="1"/>
    <col min="30" max="30" width="28" style="70" customWidth="1"/>
    <col min="31" max="16384" width="9.140625" style="70"/>
  </cols>
  <sheetData>
    <row r="1" spans="2:30" ht="6" customHeight="1" x14ac:dyDescent="0.25"/>
    <row r="2" spans="2:30" ht="38.1" customHeight="1" x14ac:dyDescent="0.25">
      <c r="B2" s="176" t="s">
        <v>821</v>
      </c>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row>
    <row r="3" spans="2:30" ht="18" customHeight="1" x14ac:dyDescent="0.25">
      <c r="B3" s="181" t="s">
        <v>822</v>
      </c>
      <c r="C3" s="182"/>
      <c r="D3" s="182"/>
      <c r="E3" s="182"/>
      <c r="F3" s="182"/>
      <c r="G3" s="182"/>
      <c r="H3" s="182"/>
      <c r="I3" s="182"/>
      <c r="J3" s="182"/>
      <c r="K3" s="182"/>
      <c r="L3" s="182"/>
      <c r="M3" s="182"/>
      <c r="N3" s="182"/>
      <c r="O3" s="182"/>
      <c r="P3" s="182"/>
      <c r="Q3" s="182"/>
      <c r="R3" s="182"/>
      <c r="S3" s="182"/>
      <c r="T3" s="182"/>
      <c r="U3" s="182"/>
      <c r="V3" s="182"/>
      <c r="W3" s="182"/>
      <c r="X3" s="182"/>
      <c r="Y3" s="182"/>
      <c r="Z3" s="182"/>
      <c r="AA3" s="182"/>
      <c r="AB3" s="182"/>
    </row>
    <row r="4" spans="2:30" ht="18" customHeight="1" x14ac:dyDescent="0.25">
      <c r="B4" s="95" t="s">
        <v>62</v>
      </c>
      <c r="C4" s="71"/>
      <c r="D4" s="71"/>
      <c r="E4" s="71"/>
      <c r="F4" s="71"/>
      <c r="G4" s="71"/>
      <c r="H4" s="71"/>
      <c r="I4" s="96" t="s">
        <v>63</v>
      </c>
      <c r="J4" s="71"/>
      <c r="K4" s="71"/>
      <c r="L4" s="71"/>
      <c r="M4" s="71"/>
      <c r="N4" s="97" t="s">
        <v>64</v>
      </c>
      <c r="O4" s="71"/>
      <c r="P4" s="71"/>
      <c r="Q4" s="71"/>
      <c r="R4" s="71"/>
      <c r="S4" s="98" t="s">
        <v>65</v>
      </c>
      <c r="T4" s="71"/>
      <c r="U4" s="71"/>
      <c r="V4" s="99" t="s">
        <v>66</v>
      </c>
      <c r="W4" s="71"/>
      <c r="X4" s="71"/>
      <c r="Y4" s="71"/>
      <c r="Z4" s="100" t="s">
        <v>67</v>
      </c>
      <c r="AA4" s="71"/>
      <c r="AB4" s="71"/>
      <c r="AC4" s="71"/>
      <c r="AD4" s="101"/>
    </row>
    <row r="5" spans="2:30" ht="36" customHeight="1" x14ac:dyDescent="0.25">
      <c r="B5" s="102" t="s">
        <v>68</v>
      </c>
      <c r="C5" s="102" t="s">
        <v>69</v>
      </c>
      <c r="D5" s="102" t="s">
        <v>70</v>
      </c>
      <c r="E5" s="102" t="s">
        <v>71</v>
      </c>
      <c r="F5" s="102" t="s">
        <v>72</v>
      </c>
      <c r="G5" s="102" t="s">
        <v>73</v>
      </c>
      <c r="H5" s="102" t="s">
        <v>74</v>
      </c>
      <c r="I5" s="103" t="s">
        <v>75</v>
      </c>
      <c r="J5" s="103" t="s">
        <v>76</v>
      </c>
      <c r="K5" s="103" t="s">
        <v>77</v>
      </c>
      <c r="L5" s="103" t="s">
        <v>78</v>
      </c>
      <c r="M5" s="103" t="s">
        <v>79</v>
      </c>
      <c r="N5" s="104" t="s">
        <v>80</v>
      </c>
      <c r="O5" s="104" t="s">
        <v>81</v>
      </c>
      <c r="P5" s="104" t="s">
        <v>82</v>
      </c>
      <c r="Q5" s="104" t="s">
        <v>83</v>
      </c>
      <c r="R5" s="104" t="s">
        <v>84</v>
      </c>
      <c r="S5" s="105" t="s">
        <v>85</v>
      </c>
      <c r="T5" s="105" t="s">
        <v>86</v>
      </c>
      <c r="U5" s="105" t="s">
        <v>87</v>
      </c>
      <c r="V5" s="106" t="s">
        <v>88</v>
      </c>
      <c r="W5" s="106" t="s">
        <v>89</v>
      </c>
      <c r="X5" s="106" t="s">
        <v>90</v>
      </c>
      <c r="Y5" s="106" t="s">
        <v>91</v>
      </c>
      <c r="Z5" s="107" t="s">
        <v>92</v>
      </c>
      <c r="AA5" s="107" t="s">
        <v>93</v>
      </c>
      <c r="AB5" s="107" t="s">
        <v>94</v>
      </c>
      <c r="AC5" s="107" t="s">
        <v>95</v>
      </c>
      <c r="AD5" s="102" t="s">
        <v>96</v>
      </c>
    </row>
    <row r="6" spans="2:30" ht="24.75" customHeight="1" x14ac:dyDescent="0.25">
      <c r="B6" s="108">
        <v>44928</v>
      </c>
      <c r="C6" s="109" t="s">
        <v>97</v>
      </c>
      <c r="D6" s="109">
        <v>1</v>
      </c>
      <c r="E6" s="110" t="str">
        <f t="shared" ref="E6:E69" si="0">TEXT(B6,"YYYYMMDD")&amp;"-"&amp;TEXT(ROW()-5,"000")</f>
        <v>20230102-001</v>
      </c>
      <c r="F6" s="111" t="s">
        <v>98</v>
      </c>
      <c r="G6" s="111" t="s">
        <v>99</v>
      </c>
      <c r="H6" s="112" t="s">
        <v>823</v>
      </c>
      <c r="I6" s="113">
        <v>1645</v>
      </c>
      <c r="J6" s="111" t="s">
        <v>101</v>
      </c>
      <c r="K6" s="111" t="s">
        <v>102</v>
      </c>
      <c r="L6" s="111" t="s">
        <v>103</v>
      </c>
      <c r="M6" s="111" t="s">
        <v>104</v>
      </c>
      <c r="N6" s="111" t="s">
        <v>824</v>
      </c>
      <c r="O6" s="111" t="s">
        <v>106</v>
      </c>
      <c r="P6" s="111" t="s">
        <v>107</v>
      </c>
      <c r="Q6" s="110" t="s">
        <v>108</v>
      </c>
      <c r="R6" s="110" t="s">
        <v>109</v>
      </c>
      <c r="S6" s="111" t="s">
        <v>825</v>
      </c>
      <c r="T6" s="111" t="s">
        <v>111</v>
      </c>
      <c r="U6" s="111" t="s">
        <v>103</v>
      </c>
      <c r="V6" s="110" t="s">
        <v>112</v>
      </c>
      <c r="W6" s="114">
        <f>IFERROR(I6-AVERAGEIFS(I5:I$6,J5:J$6,"ICIS / Platts",B5:B$6,B6),"")</f>
        <v>0</v>
      </c>
      <c r="X6" s="110" t="s">
        <v>113</v>
      </c>
      <c r="Y6" s="110" t="s">
        <v>114</v>
      </c>
      <c r="Z6" s="111" t="s">
        <v>115</v>
      </c>
      <c r="AA6" s="111" t="s">
        <v>115</v>
      </c>
      <c r="AB6" s="111" t="s">
        <v>115</v>
      </c>
      <c r="AC6" s="111" t="s">
        <v>116</v>
      </c>
      <c r="AD6" s="111"/>
    </row>
    <row r="7" spans="2:30" ht="24.75" customHeight="1" x14ac:dyDescent="0.25">
      <c r="B7" s="115">
        <v>44929</v>
      </c>
      <c r="C7" s="116" t="s">
        <v>117</v>
      </c>
      <c r="D7" s="116">
        <v>1</v>
      </c>
      <c r="E7" s="110" t="str">
        <f t="shared" si="0"/>
        <v>20230103-002</v>
      </c>
      <c r="F7" s="111" t="s">
        <v>98</v>
      </c>
      <c r="G7" s="111" t="s">
        <v>99</v>
      </c>
      <c r="H7" s="112" t="s">
        <v>823</v>
      </c>
      <c r="I7" s="113">
        <v>1678.11</v>
      </c>
      <c r="J7" s="111" t="s">
        <v>118</v>
      </c>
      <c r="K7" s="111" t="s">
        <v>826</v>
      </c>
      <c r="L7" s="111" t="s">
        <v>103</v>
      </c>
      <c r="M7" s="111" t="s">
        <v>104</v>
      </c>
      <c r="N7" s="111" t="s">
        <v>827</v>
      </c>
      <c r="O7" s="111" t="s">
        <v>121</v>
      </c>
      <c r="P7" s="111" t="s">
        <v>132</v>
      </c>
      <c r="Q7" s="110" t="s">
        <v>123</v>
      </c>
      <c r="R7" s="110" t="s">
        <v>134</v>
      </c>
      <c r="S7" s="111" t="s">
        <v>825</v>
      </c>
      <c r="T7" s="111" t="s">
        <v>111</v>
      </c>
      <c r="U7" s="111" t="s">
        <v>103</v>
      </c>
      <c r="V7" s="110" t="s">
        <v>112</v>
      </c>
      <c r="W7" s="114" t="str">
        <f>IFERROR(I7-AVERAGEIFS(I$6:I6,J$6:J6,"ICIS / Platts",B$6:B6,B7),"")</f>
        <v/>
      </c>
      <c r="X7" s="110" t="s">
        <v>125</v>
      </c>
      <c r="Y7" s="110" t="s">
        <v>114</v>
      </c>
      <c r="Z7" s="111" t="s">
        <v>115</v>
      </c>
      <c r="AA7" s="111" t="s">
        <v>115</v>
      </c>
      <c r="AB7" s="111" t="s">
        <v>115</v>
      </c>
      <c r="AC7" s="111" t="s">
        <v>116</v>
      </c>
      <c r="AD7" s="111"/>
    </row>
    <row r="8" spans="2:30" ht="24.75" customHeight="1" x14ac:dyDescent="0.25">
      <c r="B8" s="108">
        <v>44930</v>
      </c>
      <c r="C8" s="109" t="s">
        <v>126</v>
      </c>
      <c r="D8" s="109">
        <v>1</v>
      </c>
      <c r="E8" s="110" t="str">
        <f t="shared" si="0"/>
        <v>20230104-003</v>
      </c>
      <c r="F8" s="111" t="s">
        <v>98</v>
      </c>
      <c r="G8" s="111" t="s">
        <v>99</v>
      </c>
      <c r="H8" s="112" t="s">
        <v>823</v>
      </c>
      <c r="I8" s="113">
        <v>1656.58</v>
      </c>
      <c r="J8" s="111" t="s">
        <v>127</v>
      </c>
      <c r="K8" s="111" t="s">
        <v>828</v>
      </c>
      <c r="L8" s="111" t="s">
        <v>129</v>
      </c>
      <c r="M8" s="111" t="s">
        <v>104</v>
      </c>
      <c r="N8" s="111" t="s">
        <v>829</v>
      </c>
      <c r="O8" s="111" t="s">
        <v>131</v>
      </c>
      <c r="P8" s="111" t="s">
        <v>830</v>
      </c>
      <c r="Q8" s="110" t="s">
        <v>133</v>
      </c>
      <c r="R8" s="110" t="s">
        <v>831</v>
      </c>
      <c r="S8" s="111" t="s">
        <v>832</v>
      </c>
      <c r="T8" s="111" t="s">
        <v>136</v>
      </c>
      <c r="U8" s="111" t="s">
        <v>129</v>
      </c>
      <c r="V8" s="110" t="s">
        <v>112</v>
      </c>
      <c r="W8" s="114" t="str">
        <f>IFERROR(I8-AVERAGEIFS(I$6:I7,J$6:J7,"ICIS / Platts",B$6:B7,B8),"")</f>
        <v/>
      </c>
      <c r="X8" s="110" t="s">
        <v>137</v>
      </c>
      <c r="Y8" s="110" t="s">
        <v>114</v>
      </c>
      <c r="Z8" s="111" t="s">
        <v>115</v>
      </c>
      <c r="AA8" s="111" t="s">
        <v>115</v>
      </c>
      <c r="AB8" s="111" t="s">
        <v>115</v>
      </c>
      <c r="AC8" s="111" t="s">
        <v>116</v>
      </c>
      <c r="AD8" s="111"/>
    </row>
    <row r="9" spans="2:30" ht="24.75" customHeight="1" x14ac:dyDescent="0.25">
      <c r="B9" s="115">
        <v>44932</v>
      </c>
      <c r="C9" s="116" t="s">
        <v>138</v>
      </c>
      <c r="D9" s="116">
        <v>1</v>
      </c>
      <c r="E9" s="110" t="str">
        <f t="shared" si="0"/>
        <v>20230106-004</v>
      </c>
      <c r="F9" s="111" t="s">
        <v>98</v>
      </c>
      <c r="G9" s="111" t="s">
        <v>99</v>
      </c>
      <c r="H9" s="112" t="s">
        <v>823</v>
      </c>
      <c r="I9" s="113">
        <v>1659.23</v>
      </c>
      <c r="J9" s="111" t="s">
        <v>139</v>
      </c>
      <c r="K9" s="111" t="s">
        <v>833</v>
      </c>
      <c r="L9" s="111" t="s">
        <v>103</v>
      </c>
      <c r="M9" s="111" t="s">
        <v>104</v>
      </c>
      <c r="N9" s="111" t="s">
        <v>824</v>
      </c>
      <c r="O9" s="111" t="s">
        <v>106</v>
      </c>
      <c r="P9" s="111" t="s">
        <v>141</v>
      </c>
      <c r="Q9" s="110" t="s">
        <v>133</v>
      </c>
      <c r="R9" s="110" t="s">
        <v>142</v>
      </c>
      <c r="S9" s="111" t="s">
        <v>825</v>
      </c>
      <c r="T9" s="111" t="s">
        <v>111</v>
      </c>
      <c r="U9" s="111" t="s">
        <v>103</v>
      </c>
      <c r="V9" s="110" t="s">
        <v>112</v>
      </c>
      <c r="W9" s="114" t="str">
        <f>IFERROR(I9-AVERAGEIFS(I$6:I8,J$6:J8,"ICIS / Platts",B$6:B8,B9),"")</f>
        <v/>
      </c>
      <c r="X9" s="110" t="s">
        <v>125</v>
      </c>
      <c r="Y9" s="110" t="s">
        <v>114</v>
      </c>
      <c r="Z9" s="111" t="s">
        <v>115</v>
      </c>
      <c r="AA9" s="111" t="s">
        <v>115</v>
      </c>
      <c r="AB9" s="111" t="s">
        <v>115</v>
      </c>
      <c r="AC9" s="111" t="s">
        <v>116</v>
      </c>
      <c r="AD9" s="111"/>
    </row>
    <row r="10" spans="2:30" ht="24.75" customHeight="1" x14ac:dyDescent="0.25">
      <c r="B10" s="108">
        <v>44935</v>
      </c>
      <c r="C10" s="109" t="s">
        <v>97</v>
      </c>
      <c r="D10" s="109">
        <v>2</v>
      </c>
      <c r="E10" s="110" t="str">
        <f t="shared" si="0"/>
        <v>20230109-005</v>
      </c>
      <c r="F10" s="111" t="s">
        <v>98</v>
      </c>
      <c r="G10" s="111" t="s">
        <v>99</v>
      </c>
      <c r="H10" s="112" t="s">
        <v>834</v>
      </c>
      <c r="I10" s="113">
        <v>1635</v>
      </c>
      <c r="J10" s="111" t="s">
        <v>101</v>
      </c>
      <c r="K10" s="111" t="s">
        <v>144</v>
      </c>
      <c r="L10" s="111" t="s">
        <v>103</v>
      </c>
      <c r="M10" s="111" t="s">
        <v>104</v>
      </c>
      <c r="N10" s="111" t="s">
        <v>824</v>
      </c>
      <c r="O10" s="111" t="s">
        <v>106</v>
      </c>
      <c r="P10" s="111" t="s">
        <v>107</v>
      </c>
      <c r="Q10" s="110" t="s">
        <v>108</v>
      </c>
      <c r="R10" s="110" t="s">
        <v>109</v>
      </c>
      <c r="S10" s="111" t="s">
        <v>825</v>
      </c>
      <c r="T10" s="111" t="s">
        <v>111</v>
      </c>
      <c r="U10" s="111" t="s">
        <v>103</v>
      </c>
      <c r="V10" s="110" t="s">
        <v>112</v>
      </c>
      <c r="W10" s="114" t="str">
        <f>IFERROR(I10-AVERAGEIFS(I$6:I9,J$6:J9,"ICIS / Platts",B$6:B9,B10),"")</f>
        <v/>
      </c>
      <c r="X10" s="110" t="s">
        <v>113</v>
      </c>
      <c r="Y10" s="110" t="s">
        <v>114</v>
      </c>
      <c r="Z10" s="111" t="s">
        <v>116</v>
      </c>
      <c r="AA10" s="111" t="s">
        <v>115</v>
      </c>
      <c r="AB10" s="111" t="s">
        <v>115</v>
      </c>
      <c r="AC10" s="111" t="s">
        <v>116</v>
      </c>
      <c r="AD10" s="111"/>
    </row>
    <row r="11" spans="2:30" ht="24.75" customHeight="1" x14ac:dyDescent="0.25">
      <c r="B11" s="115">
        <v>44936</v>
      </c>
      <c r="C11" s="116" t="s">
        <v>117</v>
      </c>
      <c r="D11" s="116">
        <v>2</v>
      </c>
      <c r="E11" s="110" t="str">
        <f t="shared" si="0"/>
        <v>20230110-006</v>
      </c>
      <c r="F11" s="111" t="s">
        <v>98</v>
      </c>
      <c r="G11" s="111" t="s">
        <v>99</v>
      </c>
      <c r="H11" s="112" t="s">
        <v>834</v>
      </c>
      <c r="I11" s="113">
        <v>1674.24</v>
      </c>
      <c r="J11" s="111" t="s">
        <v>118</v>
      </c>
      <c r="K11" s="111" t="s">
        <v>835</v>
      </c>
      <c r="L11" s="111" t="s">
        <v>103</v>
      </c>
      <c r="M11" s="111" t="s">
        <v>104</v>
      </c>
      <c r="N11" s="111" t="s">
        <v>827</v>
      </c>
      <c r="O11" s="111" t="s">
        <v>121</v>
      </c>
      <c r="P11" s="111" t="s">
        <v>132</v>
      </c>
      <c r="Q11" s="110" t="s">
        <v>123</v>
      </c>
      <c r="R11" s="110" t="s">
        <v>134</v>
      </c>
      <c r="S11" s="111" t="s">
        <v>825</v>
      </c>
      <c r="T11" s="111" t="s">
        <v>111</v>
      </c>
      <c r="U11" s="111" t="s">
        <v>103</v>
      </c>
      <c r="V11" s="110" t="s">
        <v>112</v>
      </c>
      <c r="W11" s="114" t="str">
        <f>IFERROR(I11-AVERAGEIFS(I$6:I10,J$6:J10,"ICIS / Platts",B$6:B10,B11),"")</f>
        <v/>
      </c>
      <c r="X11" s="110" t="s">
        <v>125</v>
      </c>
      <c r="Y11" s="110" t="s">
        <v>114</v>
      </c>
      <c r="Z11" s="111" t="s">
        <v>116</v>
      </c>
      <c r="AA11" s="111" t="s">
        <v>115</v>
      </c>
      <c r="AB11" s="111" t="s">
        <v>115</v>
      </c>
      <c r="AC11" s="111" t="s">
        <v>116</v>
      </c>
      <c r="AD11" s="111"/>
    </row>
    <row r="12" spans="2:30" ht="24.75" customHeight="1" x14ac:dyDescent="0.25">
      <c r="B12" s="108">
        <v>44937</v>
      </c>
      <c r="C12" s="109" t="s">
        <v>126</v>
      </c>
      <c r="D12" s="109">
        <v>2</v>
      </c>
      <c r="E12" s="110" t="str">
        <f t="shared" si="0"/>
        <v>20230111-007</v>
      </c>
      <c r="F12" s="111" t="s">
        <v>98</v>
      </c>
      <c r="G12" s="111" t="s">
        <v>99</v>
      </c>
      <c r="H12" s="112" t="s">
        <v>834</v>
      </c>
      <c r="I12" s="113">
        <v>1619.75</v>
      </c>
      <c r="J12" s="111" t="s">
        <v>127</v>
      </c>
      <c r="K12" s="111" t="s">
        <v>836</v>
      </c>
      <c r="L12" s="111" t="s">
        <v>129</v>
      </c>
      <c r="M12" s="111" t="s">
        <v>104</v>
      </c>
      <c r="N12" s="111" t="s">
        <v>829</v>
      </c>
      <c r="O12" s="111" t="s">
        <v>131</v>
      </c>
      <c r="P12" s="111" t="s">
        <v>830</v>
      </c>
      <c r="Q12" s="110" t="s">
        <v>133</v>
      </c>
      <c r="R12" s="110" t="s">
        <v>831</v>
      </c>
      <c r="S12" s="111" t="s">
        <v>832</v>
      </c>
      <c r="T12" s="111" t="s">
        <v>136</v>
      </c>
      <c r="U12" s="111" t="s">
        <v>129</v>
      </c>
      <c r="V12" s="110" t="s">
        <v>112</v>
      </c>
      <c r="W12" s="114" t="str">
        <f>IFERROR(I12-AVERAGEIFS(I$6:I11,J$6:J11,"ICIS / Platts",B$6:B11,B12),"")</f>
        <v/>
      </c>
      <c r="X12" s="110" t="s">
        <v>137</v>
      </c>
      <c r="Y12" s="110" t="s">
        <v>114</v>
      </c>
      <c r="Z12" s="111" t="s">
        <v>116</v>
      </c>
      <c r="AA12" s="111" t="s">
        <v>115</v>
      </c>
      <c r="AB12" s="111" t="s">
        <v>115</v>
      </c>
      <c r="AC12" s="111" t="s">
        <v>116</v>
      </c>
      <c r="AD12" s="111"/>
    </row>
    <row r="13" spans="2:30" ht="24.75" customHeight="1" x14ac:dyDescent="0.25">
      <c r="B13" s="115">
        <v>44939</v>
      </c>
      <c r="C13" s="116" t="s">
        <v>138</v>
      </c>
      <c r="D13" s="116">
        <v>2</v>
      </c>
      <c r="E13" s="110" t="str">
        <f t="shared" si="0"/>
        <v>20230113-008</v>
      </c>
      <c r="F13" s="111" t="s">
        <v>98</v>
      </c>
      <c r="G13" s="111" t="s">
        <v>99</v>
      </c>
      <c r="H13" s="112" t="s">
        <v>834</v>
      </c>
      <c r="I13" s="113">
        <v>1651.67</v>
      </c>
      <c r="J13" s="111" t="s">
        <v>139</v>
      </c>
      <c r="K13" s="111" t="s">
        <v>837</v>
      </c>
      <c r="L13" s="111" t="s">
        <v>103</v>
      </c>
      <c r="M13" s="111" t="s">
        <v>104</v>
      </c>
      <c r="N13" s="111" t="s">
        <v>824</v>
      </c>
      <c r="O13" s="111" t="s">
        <v>106</v>
      </c>
      <c r="P13" s="111" t="s">
        <v>141</v>
      </c>
      <c r="Q13" s="110" t="s">
        <v>133</v>
      </c>
      <c r="R13" s="110" t="s">
        <v>142</v>
      </c>
      <c r="S13" s="111" t="s">
        <v>825</v>
      </c>
      <c r="T13" s="111" t="s">
        <v>111</v>
      </c>
      <c r="U13" s="111" t="s">
        <v>103</v>
      </c>
      <c r="V13" s="110" t="s">
        <v>112</v>
      </c>
      <c r="W13" s="114" t="str">
        <f>IFERROR(I13-AVERAGEIFS(I$6:I12,J$6:J12,"ICIS / Platts",B$6:B12,B13),"")</f>
        <v/>
      </c>
      <c r="X13" s="110" t="s">
        <v>125</v>
      </c>
      <c r="Y13" s="110" t="s">
        <v>114</v>
      </c>
      <c r="Z13" s="111" t="s">
        <v>116</v>
      </c>
      <c r="AA13" s="111" t="s">
        <v>115</v>
      </c>
      <c r="AB13" s="111" t="s">
        <v>115</v>
      </c>
      <c r="AC13" s="111" t="s">
        <v>116</v>
      </c>
      <c r="AD13" s="111"/>
    </row>
    <row r="14" spans="2:30" ht="24.75" customHeight="1" x14ac:dyDescent="0.25">
      <c r="B14" s="108">
        <v>44942</v>
      </c>
      <c r="C14" s="109" t="s">
        <v>97</v>
      </c>
      <c r="D14" s="109">
        <v>3</v>
      </c>
      <c r="E14" s="110" t="str">
        <f t="shared" si="0"/>
        <v>20230116-009</v>
      </c>
      <c r="F14" s="111" t="s">
        <v>98</v>
      </c>
      <c r="G14" s="111" t="s">
        <v>99</v>
      </c>
      <c r="H14" s="112" t="s">
        <v>838</v>
      </c>
      <c r="I14" s="113">
        <v>1620</v>
      </c>
      <c r="J14" s="111" t="s">
        <v>101</v>
      </c>
      <c r="K14" s="111" t="s">
        <v>149</v>
      </c>
      <c r="L14" s="111" t="s">
        <v>103</v>
      </c>
      <c r="M14" s="111" t="s">
        <v>104</v>
      </c>
      <c r="N14" s="111" t="s">
        <v>824</v>
      </c>
      <c r="O14" s="111" t="s">
        <v>106</v>
      </c>
      <c r="P14" s="111" t="s">
        <v>107</v>
      </c>
      <c r="Q14" s="110" t="s">
        <v>108</v>
      </c>
      <c r="R14" s="110" t="s">
        <v>109</v>
      </c>
      <c r="S14" s="111" t="s">
        <v>825</v>
      </c>
      <c r="T14" s="111" t="s">
        <v>111</v>
      </c>
      <c r="U14" s="111" t="s">
        <v>103</v>
      </c>
      <c r="V14" s="110" t="s">
        <v>112</v>
      </c>
      <c r="W14" s="114" t="str">
        <f>IFERROR(I14-AVERAGEIFS(I$6:I13,J$6:J13,"ICIS / Platts",B$6:B13,B14),"")</f>
        <v/>
      </c>
      <c r="X14" s="110" t="s">
        <v>113</v>
      </c>
      <c r="Y14" s="110" t="s">
        <v>114</v>
      </c>
      <c r="Z14" s="111" t="s">
        <v>116</v>
      </c>
      <c r="AA14" s="111" t="s">
        <v>115</v>
      </c>
      <c r="AB14" s="111" t="s">
        <v>115</v>
      </c>
      <c r="AC14" s="111" t="s">
        <v>116</v>
      </c>
      <c r="AD14" s="111"/>
    </row>
    <row r="15" spans="2:30" ht="24.75" customHeight="1" x14ac:dyDescent="0.25">
      <c r="B15" s="115">
        <v>44943</v>
      </c>
      <c r="C15" s="116" t="s">
        <v>117</v>
      </c>
      <c r="D15" s="116">
        <v>3</v>
      </c>
      <c r="E15" s="110" t="str">
        <f t="shared" si="0"/>
        <v>20230117-010</v>
      </c>
      <c r="F15" s="111" t="s">
        <v>98</v>
      </c>
      <c r="G15" s="111" t="s">
        <v>99</v>
      </c>
      <c r="H15" s="112" t="s">
        <v>838</v>
      </c>
      <c r="I15" s="113">
        <v>1644.38</v>
      </c>
      <c r="J15" s="111" t="s">
        <v>118</v>
      </c>
      <c r="K15" s="111" t="s">
        <v>839</v>
      </c>
      <c r="L15" s="111" t="s">
        <v>103</v>
      </c>
      <c r="M15" s="111" t="s">
        <v>104</v>
      </c>
      <c r="N15" s="111" t="s">
        <v>827</v>
      </c>
      <c r="O15" s="111" t="s">
        <v>121</v>
      </c>
      <c r="P15" s="111" t="s">
        <v>132</v>
      </c>
      <c r="Q15" s="110" t="s">
        <v>123</v>
      </c>
      <c r="R15" s="110" t="s">
        <v>134</v>
      </c>
      <c r="S15" s="111" t="s">
        <v>825</v>
      </c>
      <c r="T15" s="111" t="s">
        <v>111</v>
      </c>
      <c r="U15" s="111" t="s">
        <v>103</v>
      </c>
      <c r="V15" s="110" t="s">
        <v>112</v>
      </c>
      <c r="W15" s="114" t="str">
        <f>IFERROR(I15-AVERAGEIFS(I$6:I14,J$6:J14,"ICIS / Platts",B$6:B14,B15),"")</f>
        <v/>
      </c>
      <c r="X15" s="110" t="s">
        <v>125</v>
      </c>
      <c r="Y15" s="110" t="s">
        <v>114</v>
      </c>
      <c r="Z15" s="111" t="s">
        <v>116</v>
      </c>
      <c r="AA15" s="111" t="s">
        <v>115</v>
      </c>
      <c r="AB15" s="111" t="s">
        <v>115</v>
      </c>
      <c r="AC15" s="111" t="s">
        <v>116</v>
      </c>
      <c r="AD15" s="111"/>
    </row>
    <row r="16" spans="2:30" ht="24.75" customHeight="1" x14ac:dyDescent="0.25">
      <c r="B16" s="108">
        <v>44944</v>
      </c>
      <c r="C16" s="109" t="s">
        <v>126</v>
      </c>
      <c r="D16" s="109">
        <v>3</v>
      </c>
      <c r="E16" s="110" t="str">
        <f t="shared" si="0"/>
        <v>20230118-011</v>
      </c>
      <c r="F16" s="111" t="s">
        <v>98</v>
      </c>
      <c r="G16" s="111" t="s">
        <v>99</v>
      </c>
      <c r="H16" s="112" t="s">
        <v>838</v>
      </c>
      <c r="I16" s="113">
        <v>1608.36</v>
      </c>
      <c r="J16" s="111" t="s">
        <v>127</v>
      </c>
      <c r="K16" s="111" t="s">
        <v>840</v>
      </c>
      <c r="L16" s="111" t="s">
        <v>129</v>
      </c>
      <c r="M16" s="111" t="s">
        <v>104</v>
      </c>
      <c r="N16" s="111" t="s">
        <v>829</v>
      </c>
      <c r="O16" s="111" t="s">
        <v>131</v>
      </c>
      <c r="P16" s="111" t="s">
        <v>830</v>
      </c>
      <c r="Q16" s="110" t="s">
        <v>133</v>
      </c>
      <c r="R16" s="110" t="s">
        <v>831</v>
      </c>
      <c r="S16" s="111" t="s">
        <v>832</v>
      </c>
      <c r="T16" s="111" t="s">
        <v>136</v>
      </c>
      <c r="U16" s="111" t="s">
        <v>129</v>
      </c>
      <c r="V16" s="110" t="s">
        <v>112</v>
      </c>
      <c r="W16" s="114" t="str">
        <f>IFERROR(I16-AVERAGEIFS(I$6:I15,J$6:J15,"ICIS / Platts",B$6:B15,B16),"")</f>
        <v/>
      </c>
      <c r="X16" s="110" t="s">
        <v>137</v>
      </c>
      <c r="Y16" s="110" t="s">
        <v>114</v>
      </c>
      <c r="Z16" s="111" t="s">
        <v>116</v>
      </c>
      <c r="AA16" s="111" t="s">
        <v>115</v>
      </c>
      <c r="AB16" s="111" t="s">
        <v>115</v>
      </c>
      <c r="AC16" s="111" t="s">
        <v>116</v>
      </c>
      <c r="AD16" s="111"/>
    </row>
    <row r="17" spans="2:30" ht="24.75" customHeight="1" x14ac:dyDescent="0.25">
      <c r="B17" s="115">
        <v>44946</v>
      </c>
      <c r="C17" s="116" t="s">
        <v>138</v>
      </c>
      <c r="D17" s="116">
        <v>3</v>
      </c>
      <c r="E17" s="110" t="str">
        <f t="shared" si="0"/>
        <v>20230120-012</v>
      </c>
      <c r="F17" s="111" t="s">
        <v>98</v>
      </c>
      <c r="G17" s="111" t="s">
        <v>99</v>
      </c>
      <c r="H17" s="112" t="s">
        <v>838</v>
      </c>
      <c r="I17" s="113">
        <v>1622.74</v>
      </c>
      <c r="J17" s="111" t="s">
        <v>139</v>
      </c>
      <c r="K17" s="111" t="s">
        <v>841</v>
      </c>
      <c r="L17" s="111" t="s">
        <v>103</v>
      </c>
      <c r="M17" s="111" t="s">
        <v>104</v>
      </c>
      <c r="N17" s="111" t="s">
        <v>824</v>
      </c>
      <c r="O17" s="111" t="s">
        <v>106</v>
      </c>
      <c r="P17" s="111" t="s">
        <v>141</v>
      </c>
      <c r="Q17" s="110" t="s">
        <v>133</v>
      </c>
      <c r="R17" s="110" t="s">
        <v>142</v>
      </c>
      <c r="S17" s="111" t="s">
        <v>825</v>
      </c>
      <c r="T17" s="111" t="s">
        <v>111</v>
      </c>
      <c r="U17" s="111" t="s">
        <v>103</v>
      </c>
      <c r="V17" s="110" t="s">
        <v>112</v>
      </c>
      <c r="W17" s="114" t="str">
        <f>IFERROR(I17-AVERAGEIFS(I$6:I16,J$6:J16,"ICIS / Platts",B$6:B16,B17),"")</f>
        <v/>
      </c>
      <c r="X17" s="110" t="s">
        <v>125</v>
      </c>
      <c r="Y17" s="110" t="s">
        <v>114</v>
      </c>
      <c r="Z17" s="111" t="s">
        <v>116</v>
      </c>
      <c r="AA17" s="111" t="s">
        <v>115</v>
      </c>
      <c r="AB17" s="111" t="s">
        <v>115</v>
      </c>
      <c r="AC17" s="111" t="s">
        <v>116</v>
      </c>
      <c r="AD17" s="111"/>
    </row>
    <row r="18" spans="2:30" ht="24.75" customHeight="1" x14ac:dyDescent="0.25">
      <c r="B18" s="108">
        <v>44949</v>
      </c>
      <c r="C18" s="109" t="s">
        <v>97</v>
      </c>
      <c r="D18" s="109">
        <v>4</v>
      </c>
      <c r="E18" s="110" t="str">
        <f t="shared" si="0"/>
        <v>20230123-013</v>
      </c>
      <c r="F18" s="111" t="s">
        <v>98</v>
      </c>
      <c r="G18" s="111" t="s">
        <v>99</v>
      </c>
      <c r="H18" s="112" t="s">
        <v>842</v>
      </c>
      <c r="I18" s="113">
        <v>1608</v>
      </c>
      <c r="J18" s="111" t="s">
        <v>101</v>
      </c>
      <c r="K18" s="111" t="s">
        <v>154</v>
      </c>
      <c r="L18" s="111" t="s">
        <v>103</v>
      </c>
      <c r="M18" s="111" t="s">
        <v>104</v>
      </c>
      <c r="N18" s="111" t="s">
        <v>824</v>
      </c>
      <c r="O18" s="111" t="s">
        <v>106</v>
      </c>
      <c r="P18" s="111" t="s">
        <v>107</v>
      </c>
      <c r="Q18" s="110" t="s">
        <v>108</v>
      </c>
      <c r="R18" s="110" t="s">
        <v>109</v>
      </c>
      <c r="S18" s="111" t="s">
        <v>825</v>
      </c>
      <c r="T18" s="111" t="s">
        <v>111</v>
      </c>
      <c r="U18" s="111" t="s">
        <v>103</v>
      </c>
      <c r="V18" s="110" t="s">
        <v>112</v>
      </c>
      <c r="W18" s="114" t="str">
        <f>IFERROR(I18-AVERAGEIFS(I$6:I17,J$6:J17,"ICIS / Platts",B$6:B17,B18),"")</f>
        <v/>
      </c>
      <c r="X18" s="110" t="s">
        <v>113</v>
      </c>
      <c r="Y18" s="110" t="s">
        <v>114</v>
      </c>
      <c r="Z18" s="111" t="s">
        <v>116</v>
      </c>
      <c r="AA18" s="111" t="s">
        <v>115</v>
      </c>
      <c r="AB18" s="111" t="s">
        <v>115</v>
      </c>
      <c r="AC18" s="111" t="s">
        <v>116</v>
      </c>
      <c r="AD18" s="111"/>
    </row>
    <row r="19" spans="2:30" ht="24.75" customHeight="1" x14ac:dyDescent="0.25">
      <c r="B19" s="115">
        <v>44950</v>
      </c>
      <c r="C19" s="116" t="s">
        <v>117</v>
      </c>
      <c r="D19" s="116">
        <v>4</v>
      </c>
      <c r="E19" s="110" t="str">
        <f t="shared" si="0"/>
        <v>20230124-014</v>
      </c>
      <c r="F19" s="111" t="s">
        <v>98</v>
      </c>
      <c r="G19" s="111" t="s">
        <v>99</v>
      </c>
      <c r="H19" s="112" t="s">
        <v>842</v>
      </c>
      <c r="I19" s="113">
        <v>1602.21</v>
      </c>
      <c r="J19" s="111" t="s">
        <v>118</v>
      </c>
      <c r="K19" s="111" t="s">
        <v>843</v>
      </c>
      <c r="L19" s="111" t="s">
        <v>103</v>
      </c>
      <c r="M19" s="111" t="s">
        <v>104</v>
      </c>
      <c r="N19" s="111" t="s">
        <v>827</v>
      </c>
      <c r="O19" s="111" t="s">
        <v>121</v>
      </c>
      <c r="P19" s="111" t="s">
        <v>132</v>
      </c>
      <c r="Q19" s="110" t="s">
        <v>123</v>
      </c>
      <c r="R19" s="110" t="s">
        <v>134</v>
      </c>
      <c r="S19" s="111" t="s">
        <v>825</v>
      </c>
      <c r="T19" s="111" t="s">
        <v>111</v>
      </c>
      <c r="U19" s="111" t="s">
        <v>103</v>
      </c>
      <c r="V19" s="110" t="s">
        <v>112</v>
      </c>
      <c r="W19" s="114" t="str">
        <f>IFERROR(I19-AVERAGEIFS(I$6:I18,J$6:J18,"ICIS / Platts",B$6:B18,B19),"")</f>
        <v/>
      </c>
      <c r="X19" s="110" t="s">
        <v>125</v>
      </c>
      <c r="Y19" s="110" t="s">
        <v>114</v>
      </c>
      <c r="Z19" s="111" t="s">
        <v>116</v>
      </c>
      <c r="AA19" s="111" t="s">
        <v>115</v>
      </c>
      <c r="AB19" s="111" t="s">
        <v>115</v>
      </c>
      <c r="AC19" s="111" t="s">
        <v>116</v>
      </c>
      <c r="AD19" s="111"/>
    </row>
    <row r="20" spans="2:30" ht="24.75" customHeight="1" x14ac:dyDescent="0.25">
      <c r="B20" s="108">
        <v>44951</v>
      </c>
      <c r="C20" s="109" t="s">
        <v>126</v>
      </c>
      <c r="D20" s="109">
        <v>4</v>
      </c>
      <c r="E20" s="110" t="str">
        <f t="shared" si="0"/>
        <v>20230125-015</v>
      </c>
      <c r="F20" s="111" t="s">
        <v>98</v>
      </c>
      <c r="G20" s="111" t="s">
        <v>99</v>
      </c>
      <c r="H20" s="112" t="s">
        <v>842</v>
      </c>
      <c r="I20" s="113">
        <v>1639.03</v>
      </c>
      <c r="J20" s="111" t="s">
        <v>127</v>
      </c>
      <c r="K20" s="111" t="s">
        <v>844</v>
      </c>
      <c r="L20" s="111" t="s">
        <v>129</v>
      </c>
      <c r="M20" s="111" t="s">
        <v>104</v>
      </c>
      <c r="N20" s="111" t="s">
        <v>829</v>
      </c>
      <c r="O20" s="111" t="s">
        <v>131</v>
      </c>
      <c r="P20" s="111" t="s">
        <v>830</v>
      </c>
      <c r="Q20" s="110" t="s">
        <v>133</v>
      </c>
      <c r="R20" s="110" t="s">
        <v>831</v>
      </c>
      <c r="S20" s="111" t="s">
        <v>832</v>
      </c>
      <c r="T20" s="111" t="s">
        <v>136</v>
      </c>
      <c r="U20" s="111" t="s">
        <v>129</v>
      </c>
      <c r="V20" s="110" t="s">
        <v>112</v>
      </c>
      <c r="W20" s="114" t="str">
        <f>IFERROR(I20-AVERAGEIFS(I$6:I19,J$6:J19,"ICIS / Platts",B$6:B19,B20),"")</f>
        <v/>
      </c>
      <c r="X20" s="110" t="s">
        <v>137</v>
      </c>
      <c r="Y20" s="110" t="s">
        <v>114</v>
      </c>
      <c r="Z20" s="111" t="s">
        <v>116</v>
      </c>
      <c r="AA20" s="111" t="s">
        <v>115</v>
      </c>
      <c r="AB20" s="111" t="s">
        <v>115</v>
      </c>
      <c r="AC20" s="111" t="s">
        <v>116</v>
      </c>
      <c r="AD20" s="111"/>
    </row>
    <row r="21" spans="2:30" ht="24.75" customHeight="1" x14ac:dyDescent="0.25">
      <c r="B21" s="115">
        <v>44953</v>
      </c>
      <c r="C21" s="116" t="s">
        <v>138</v>
      </c>
      <c r="D21" s="116">
        <v>4</v>
      </c>
      <c r="E21" s="110" t="str">
        <f t="shared" si="0"/>
        <v>20230127-016</v>
      </c>
      <c r="F21" s="111" t="s">
        <v>98</v>
      </c>
      <c r="G21" s="111" t="s">
        <v>99</v>
      </c>
      <c r="H21" s="112" t="s">
        <v>842</v>
      </c>
      <c r="I21" s="113">
        <v>1596.72</v>
      </c>
      <c r="J21" s="111" t="s">
        <v>139</v>
      </c>
      <c r="K21" s="111" t="s">
        <v>845</v>
      </c>
      <c r="L21" s="111" t="s">
        <v>103</v>
      </c>
      <c r="M21" s="111" t="s">
        <v>104</v>
      </c>
      <c r="N21" s="111" t="s">
        <v>824</v>
      </c>
      <c r="O21" s="111" t="s">
        <v>106</v>
      </c>
      <c r="P21" s="111" t="s">
        <v>141</v>
      </c>
      <c r="Q21" s="110" t="s">
        <v>133</v>
      </c>
      <c r="R21" s="110" t="s">
        <v>142</v>
      </c>
      <c r="S21" s="111" t="s">
        <v>825</v>
      </c>
      <c r="T21" s="111" t="s">
        <v>111</v>
      </c>
      <c r="U21" s="111" t="s">
        <v>103</v>
      </c>
      <c r="V21" s="110" t="s">
        <v>112</v>
      </c>
      <c r="W21" s="114" t="str">
        <f>IFERROR(I21-AVERAGEIFS(I$6:I20,J$6:J20,"ICIS / Platts",B$6:B20,B21),"")</f>
        <v/>
      </c>
      <c r="X21" s="110" t="s">
        <v>125</v>
      </c>
      <c r="Y21" s="117" t="str">
        <f t="shared" ref="Y21:Y84" si="1">IFERROR(IF(ABS(I21-AVERAGE(I13:I20))/AVERAGE(I13:I20)&gt;0.1,"⚠ CHECK","OK"),"OK")</f>
        <v>OK</v>
      </c>
      <c r="Z21" s="111" t="s">
        <v>116</v>
      </c>
      <c r="AA21" s="111" t="s">
        <v>115</v>
      </c>
      <c r="AB21" s="111" t="s">
        <v>115</v>
      </c>
      <c r="AC21" s="111" t="s">
        <v>116</v>
      </c>
      <c r="AD21" s="111"/>
    </row>
    <row r="22" spans="2:30" ht="24.75" customHeight="1" x14ac:dyDescent="0.25">
      <c r="B22" s="108">
        <v>44956</v>
      </c>
      <c r="C22" s="109" t="s">
        <v>97</v>
      </c>
      <c r="D22" s="109">
        <v>5</v>
      </c>
      <c r="E22" s="110" t="str">
        <f t="shared" si="0"/>
        <v>20230130-017</v>
      </c>
      <c r="F22" s="111" t="s">
        <v>98</v>
      </c>
      <c r="G22" s="111" t="s">
        <v>99</v>
      </c>
      <c r="H22" s="112" t="s">
        <v>846</v>
      </c>
      <c r="I22" s="113">
        <v>1595</v>
      </c>
      <c r="J22" s="111" t="s">
        <v>101</v>
      </c>
      <c r="K22" s="111" t="s">
        <v>159</v>
      </c>
      <c r="L22" s="111" t="s">
        <v>103</v>
      </c>
      <c r="M22" s="111" t="s">
        <v>104</v>
      </c>
      <c r="N22" s="111" t="s">
        <v>824</v>
      </c>
      <c r="O22" s="111" t="s">
        <v>106</v>
      </c>
      <c r="P22" s="111" t="s">
        <v>107</v>
      </c>
      <c r="Q22" s="110" t="s">
        <v>108</v>
      </c>
      <c r="R22" s="110" t="s">
        <v>109</v>
      </c>
      <c r="S22" s="111" t="s">
        <v>825</v>
      </c>
      <c r="T22" s="111" t="s">
        <v>111</v>
      </c>
      <c r="U22" s="111" t="s">
        <v>103</v>
      </c>
      <c r="V22" s="110" t="s">
        <v>112</v>
      </c>
      <c r="W22" s="114" t="str">
        <f>IFERROR(I22-AVERAGEIFS(I$6:I21,J$6:J21,"ICIS / Platts",B$6:B21,B22),"")</f>
        <v/>
      </c>
      <c r="X22" s="110" t="s">
        <v>113</v>
      </c>
      <c r="Y22" s="117" t="str">
        <f t="shared" si="1"/>
        <v>OK</v>
      </c>
      <c r="Z22" s="111" t="s">
        <v>116</v>
      </c>
      <c r="AA22" s="111" t="s">
        <v>115</v>
      </c>
      <c r="AB22" s="111" t="s">
        <v>115</v>
      </c>
      <c r="AC22" s="111" t="s">
        <v>116</v>
      </c>
      <c r="AD22" s="111"/>
    </row>
    <row r="23" spans="2:30" ht="24.75" customHeight="1" x14ac:dyDescent="0.25">
      <c r="B23" s="115">
        <v>44957</v>
      </c>
      <c r="C23" s="116" t="s">
        <v>117</v>
      </c>
      <c r="D23" s="116">
        <v>5</v>
      </c>
      <c r="E23" s="110" t="str">
        <f t="shared" si="0"/>
        <v>20230131-018</v>
      </c>
      <c r="F23" s="111" t="s">
        <v>98</v>
      </c>
      <c r="G23" s="111" t="s">
        <v>99</v>
      </c>
      <c r="H23" s="112" t="s">
        <v>846</v>
      </c>
      <c r="I23" s="113">
        <v>1613.54</v>
      </c>
      <c r="J23" s="111" t="s">
        <v>118</v>
      </c>
      <c r="K23" s="111" t="s">
        <v>847</v>
      </c>
      <c r="L23" s="111" t="s">
        <v>103</v>
      </c>
      <c r="M23" s="111" t="s">
        <v>104</v>
      </c>
      <c r="N23" s="111" t="s">
        <v>827</v>
      </c>
      <c r="O23" s="111" t="s">
        <v>121</v>
      </c>
      <c r="P23" s="111" t="s">
        <v>132</v>
      </c>
      <c r="Q23" s="110" t="s">
        <v>123</v>
      </c>
      <c r="R23" s="110" t="s">
        <v>134</v>
      </c>
      <c r="S23" s="111" t="s">
        <v>825</v>
      </c>
      <c r="T23" s="111" t="s">
        <v>111</v>
      </c>
      <c r="U23" s="111" t="s">
        <v>103</v>
      </c>
      <c r="V23" s="110" t="s">
        <v>112</v>
      </c>
      <c r="W23" s="114" t="str">
        <f>IFERROR(I23-AVERAGEIFS(I$6:I22,J$6:J22,"ICIS / Platts",B$6:B22,B23),"")</f>
        <v/>
      </c>
      <c r="X23" s="110" t="s">
        <v>125</v>
      </c>
      <c r="Y23" s="117" t="str">
        <f t="shared" si="1"/>
        <v>OK</v>
      </c>
      <c r="Z23" s="111" t="s">
        <v>116</v>
      </c>
      <c r="AA23" s="111" t="s">
        <v>115</v>
      </c>
      <c r="AB23" s="111" t="s">
        <v>115</v>
      </c>
      <c r="AC23" s="111" t="s">
        <v>116</v>
      </c>
      <c r="AD23" s="111"/>
    </row>
    <row r="24" spans="2:30" ht="24.75" customHeight="1" x14ac:dyDescent="0.25">
      <c r="B24" s="108">
        <v>44958</v>
      </c>
      <c r="C24" s="109" t="s">
        <v>126</v>
      </c>
      <c r="D24" s="109">
        <v>5</v>
      </c>
      <c r="E24" s="110" t="str">
        <f t="shared" si="0"/>
        <v>20230201-019</v>
      </c>
      <c r="F24" s="111" t="s">
        <v>98</v>
      </c>
      <c r="G24" s="111" t="s">
        <v>99</v>
      </c>
      <c r="H24" s="112" t="s">
        <v>846</v>
      </c>
      <c r="I24" s="113">
        <v>1596.03</v>
      </c>
      <c r="J24" s="111" t="s">
        <v>127</v>
      </c>
      <c r="K24" s="111" t="s">
        <v>848</v>
      </c>
      <c r="L24" s="111" t="s">
        <v>129</v>
      </c>
      <c r="M24" s="111" t="s">
        <v>104</v>
      </c>
      <c r="N24" s="111" t="s">
        <v>829</v>
      </c>
      <c r="O24" s="111" t="s">
        <v>131</v>
      </c>
      <c r="P24" s="111" t="s">
        <v>830</v>
      </c>
      <c r="Q24" s="110" t="s">
        <v>133</v>
      </c>
      <c r="R24" s="110" t="s">
        <v>831</v>
      </c>
      <c r="S24" s="111" t="s">
        <v>832</v>
      </c>
      <c r="T24" s="111" t="s">
        <v>136</v>
      </c>
      <c r="U24" s="111" t="s">
        <v>129</v>
      </c>
      <c r="V24" s="110" t="s">
        <v>112</v>
      </c>
      <c r="W24" s="114" t="str">
        <f>IFERROR(I24-AVERAGEIFS(I$6:I23,J$6:J23,"ICIS / Platts",B$6:B23,B24),"")</f>
        <v/>
      </c>
      <c r="X24" s="110" t="s">
        <v>137</v>
      </c>
      <c r="Y24" s="117" t="str">
        <f t="shared" si="1"/>
        <v>OK</v>
      </c>
      <c r="Z24" s="111" t="s">
        <v>116</v>
      </c>
      <c r="AA24" s="111" t="s">
        <v>115</v>
      </c>
      <c r="AB24" s="111" t="s">
        <v>115</v>
      </c>
      <c r="AC24" s="111" t="s">
        <v>116</v>
      </c>
      <c r="AD24" s="111"/>
    </row>
    <row r="25" spans="2:30" ht="24.75" customHeight="1" x14ac:dyDescent="0.25">
      <c r="B25" s="115">
        <v>44960</v>
      </c>
      <c r="C25" s="116" t="s">
        <v>138</v>
      </c>
      <c r="D25" s="116">
        <v>5</v>
      </c>
      <c r="E25" s="110" t="str">
        <f t="shared" si="0"/>
        <v>20230203-020</v>
      </c>
      <c r="F25" s="111" t="s">
        <v>98</v>
      </c>
      <c r="G25" s="111" t="s">
        <v>99</v>
      </c>
      <c r="H25" s="112" t="s">
        <v>846</v>
      </c>
      <c r="I25" s="113">
        <v>1579.83</v>
      </c>
      <c r="J25" s="111" t="s">
        <v>139</v>
      </c>
      <c r="K25" s="111" t="s">
        <v>849</v>
      </c>
      <c r="L25" s="111" t="s">
        <v>103</v>
      </c>
      <c r="M25" s="111" t="s">
        <v>104</v>
      </c>
      <c r="N25" s="111" t="s">
        <v>824</v>
      </c>
      <c r="O25" s="111" t="s">
        <v>106</v>
      </c>
      <c r="P25" s="111" t="s">
        <v>141</v>
      </c>
      <c r="Q25" s="110" t="s">
        <v>133</v>
      </c>
      <c r="R25" s="110" t="s">
        <v>142</v>
      </c>
      <c r="S25" s="111" t="s">
        <v>825</v>
      </c>
      <c r="T25" s="111" t="s">
        <v>111</v>
      </c>
      <c r="U25" s="111" t="s">
        <v>103</v>
      </c>
      <c r="V25" s="110" t="s">
        <v>112</v>
      </c>
      <c r="W25" s="114" t="str">
        <f>IFERROR(I25-AVERAGEIFS(I$6:I24,J$6:J24,"ICIS / Platts",B$6:B24,B25),"")</f>
        <v/>
      </c>
      <c r="X25" s="110" t="s">
        <v>125</v>
      </c>
      <c r="Y25" s="117" t="str">
        <f t="shared" si="1"/>
        <v>OK</v>
      </c>
      <c r="Z25" s="111" t="s">
        <v>116</v>
      </c>
      <c r="AA25" s="111" t="s">
        <v>115</v>
      </c>
      <c r="AB25" s="111" t="s">
        <v>115</v>
      </c>
      <c r="AC25" s="111" t="s">
        <v>116</v>
      </c>
      <c r="AD25" s="111"/>
    </row>
    <row r="26" spans="2:30" ht="24.75" customHeight="1" x14ac:dyDescent="0.25">
      <c r="B26" s="108">
        <v>44963</v>
      </c>
      <c r="C26" s="109" t="s">
        <v>97</v>
      </c>
      <c r="D26" s="109">
        <v>6</v>
      </c>
      <c r="E26" s="110" t="str">
        <f t="shared" si="0"/>
        <v>20230206-021</v>
      </c>
      <c r="F26" s="111" t="s">
        <v>98</v>
      </c>
      <c r="G26" s="111" t="s">
        <v>99</v>
      </c>
      <c r="H26" s="112" t="s">
        <v>850</v>
      </c>
      <c r="I26" s="113">
        <v>1580</v>
      </c>
      <c r="J26" s="111" t="s">
        <v>101</v>
      </c>
      <c r="K26" s="111" t="s">
        <v>164</v>
      </c>
      <c r="L26" s="111" t="s">
        <v>103</v>
      </c>
      <c r="M26" s="111" t="s">
        <v>104</v>
      </c>
      <c r="N26" s="111" t="s">
        <v>824</v>
      </c>
      <c r="O26" s="111" t="s">
        <v>106</v>
      </c>
      <c r="P26" s="111" t="s">
        <v>107</v>
      </c>
      <c r="Q26" s="110" t="s">
        <v>108</v>
      </c>
      <c r="R26" s="110" t="s">
        <v>109</v>
      </c>
      <c r="S26" s="111" t="s">
        <v>825</v>
      </c>
      <c r="T26" s="111" t="s">
        <v>111</v>
      </c>
      <c r="U26" s="111" t="s">
        <v>103</v>
      </c>
      <c r="V26" s="110" t="s">
        <v>112</v>
      </c>
      <c r="W26" s="114" t="str">
        <f>IFERROR(I26-AVERAGEIFS(I$6:I25,J$6:J25,"ICIS / Platts",B$6:B25,B26),"")</f>
        <v/>
      </c>
      <c r="X26" s="110" t="s">
        <v>113</v>
      </c>
      <c r="Y26" s="117" t="str">
        <f t="shared" si="1"/>
        <v>OK</v>
      </c>
      <c r="Z26" s="111" t="s">
        <v>116</v>
      </c>
      <c r="AA26" s="111" t="s">
        <v>115</v>
      </c>
      <c r="AB26" s="111" t="s">
        <v>115</v>
      </c>
      <c r="AC26" s="111" t="s">
        <v>116</v>
      </c>
      <c r="AD26" s="111"/>
    </row>
    <row r="27" spans="2:30" ht="24.75" customHeight="1" x14ac:dyDescent="0.25">
      <c r="B27" s="115">
        <v>44964</v>
      </c>
      <c r="C27" s="116" t="s">
        <v>117</v>
      </c>
      <c r="D27" s="116">
        <v>6</v>
      </c>
      <c r="E27" s="110" t="str">
        <f t="shared" si="0"/>
        <v>20230207-022</v>
      </c>
      <c r="F27" s="111" t="s">
        <v>98</v>
      </c>
      <c r="G27" s="111" t="s">
        <v>99</v>
      </c>
      <c r="H27" s="112" t="s">
        <v>850</v>
      </c>
      <c r="I27" s="113">
        <v>1579.97</v>
      </c>
      <c r="J27" s="111" t="s">
        <v>118</v>
      </c>
      <c r="K27" s="111" t="s">
        <v>851</v>
      </c>
      <c r="L27" s="111" t="s">
        <v>103</v>
      </c>
      <c r="M27" s="111" t="s">
        <v>104</v>
      </c>
      <c r="N27" s="111" t="s">
        <v>827</v>
      </c>
      <c r="O27" s="111" t="s">
        <v>121</v>
      </c>
      <c r="P27" s="111" t="s">
        <v>132</v>
      </c>
      <c r="Q27" s="110" t="s">
        <v>123</v>
      </c>
      <c r="R27" s="110" t="s">
        <v>134</v>
      </c>
      <c r="S27" s="111" t="s">
        <v>825</v>
      </c>
      <c r="T27" s="111" t="s">
        <v>111</v>
      </c>
      <c r="U27" s="111" t="s">
        <v>103</v>
      </c>
      <c r="V27" s="110" t="s">
        <v>112</v>
      </c>
      <c r="W27" s="114" t="str">
        <f>IFERROR(I27-AVERAGEIFS(I$6:I26,J$6:J26,"ICIS / Platts",B$6:B26,B27),"")</f>
        <v/>
      </c>
      <c r="X27" s="110" t="s">
        <v>125</v>
      </c>
      <c r="Y27" s="117" t="str">
        <f t="shared" si="1"/>
        <v>OK</v>
      </c>
      <c r="Z27" s="111" t="s">
        <v>116</v>
      </c>
      <c r="AA27" s="111" t="s">
        <v>115</v>
      </c>
      <c r="AB27" s="111" t="s">
        <v>115</v>
      </c>
      <c r="AC27" s="111" t="s">
        <v>116</v>
      </c>
      <c r="AD27" s="111"/>
    </row>
    <row r="28" spans="2:30" ht="24.75" customHeight="1" x14ac:dyDescent="0.25">
      <c r="B28" s="108">
        <v>44965</v>
      </c>
      <c r="C28" s="109" t="s">
        <v>126</v>
      </c>
      <c r="D28" s="109">
        <v>6</v>
      </c>
      <c r="E28" s="110" t="str">
        <f t="shared" si="0"/>
        <v>20230208-023</v>
      </c>
      <c r="F28" s="111" t="s">
        <v>98</v>
      </c>
      <c r="G28" s="111" t="s">
        <v>99</v>
      </c>
      <c r="H28" s="112" t="s">
        <v>850</v>
      </c>
      <c r="I28" s="113">
        <v>1562.22</v>
      </c>
      <c r="J28" s="111" t="s">
        <v>127</v>
      </c>
      <c r="K28" s="111" t="s">
        <v>852</v>
      </c>
      <c r="L28" s="111" t="s">
        <v>129</v>
      </c>
      <c r="M28" s="111" t="s">
        <v>104</v>
      </c>
      <c r="N28" s="111" t="s">
        <v>829</v>
      </c>
      <c r="O28" s="111" t="s">
        <v>131</v>
      </c>
      <c r="P28" s="111" t="s">
        <v>830</v>
      </c>
      <c r="Q28" s="110" t="s">
        <v>133</v>
      </c>
      <c r="R28" s="110" t="s">
        <v>831</v>
      </c>
      <c r="S28" s="111" t="s">
        <v>832</v>
      </c>
      <c r="T28" s="111" t="s">
        <v>136</v>
      </c>
      <c r="U28" s="111" t="s">
        <v>129</v>
      </c>
      <c r="V28" s="110" t="s">
        <v>112</v>
      </c>
      <c r="W28" s="114" t="str">
        <f>IFERROR(I28-AVERAGEIFS(I$6:I27,J$6:J27,"ICIS / Platts",B$6:B27,B28),"")</f>
        <v/>
      </c>
      <c r="X28" s="110" t="s">
        <v>137</v>
      </c>
      <c r="Y28" s="117" t="str">
        <f t="shared" si="1"/>
        <v>OK</v>
      </c>
      <c r="Z28" s="111" t="s">
        <v>116</v>
      </c>
      <c r="AA28" s="111" t="s">
        <v>115</v>
      </c>
      <c r="AB28" s="111" t="s">
        <v>115</v>
      </c>
      <c r="AC28" s="111" t="s">
        <v>116</v>
      </c>
      <c r="AD28" s="111"/>
    </row>
    <row r="29" spans="2:30" ht="24.75" customHeight="1" x14ac:dyDescent="0.25">
      <c r="B29" s="115">
        <v>44967</v>
      </c>
      <c r="C29" s="116" t="s">
        <v>138</v>
      </c>
      <c r="D29" s="116">
        <v>6</v>
      </c>
      <c r="E29" s="110" t="str">
        <f t="shared" si="0"/>
        <v>20230210-024</v>
      </c>
      <c r="F29" s="111" t="s">
        <v>98</v>
      </c>
      <c r="G29" s="111" t="s">
        <v>99</v>
      </c>
      <c r="H29" s="112" t="s">
        <v>850</v>
      </c>
      <c r="I29" s="113">
        <v>1602.02</v>
      </c>
      <c r="J29" s="111" t="s">
        <v>139</v>
      </c>
      <c r="K29" s="111" t="s">
        <v>853</v>
      </c>
      <c r="L29" s="111" t="s">
        <v>103</v>
      </c>
      <c r="M29" s="111" t="s">
        <v>104</v>
      </c>
      <c r="N29" s="111" t="s">
        <v>824</v>
      </c>
      <c r="O29" s="111" t="s">
        <v>106</v>
      </c>
      <c r="P29" s="111" t="s">
        <v>141</v>
      </c>
      <c r="Q29" s="110" t="s">
        <v>133</v>
      </c>
      <c r="R29" s="110" t="s">
        <v>142</v>
      </c>
      <c r="S29" s="111" t="s">
        <v>825</v>
      </c>
      <c r="T29" s="111" t="s">
        <v>111</v>
      </c>
      <c r="U29" s="111" t="s">
        <v>103</v>
      </c>
      <c r="V29" s="110" t="s">
        <v>112</v>
      </c>
      <c r="W29" s="114" t="str">
        <f>IFERROR(I29-AVERAGEIFS(I$6:I28,J$6:J28,"ICIS / Platts",B$6:B28,B29),"")</f>
        <v/>
      </c>
      <c r="X29" s="110" t="s">
        <v>125</v>
      </c>
      <c r="Y29" s="117" t="str">
        <f t="shared" si="1"/>
        <v>OK</v>
      </c>
      <c r="Z29" s="111" t="s">
        <v>116</v>
      </c>
      <c r="AA29" s="111" t="s">
        <v>115</v>
      </c>
      <c r="AB29" s="111" t="s">
        <v>115</v>
      </c>
      <c r="AC29" s="111" t="s">
        <v>116</v>
      </c>
      <c r="AD29" s="111"/>
    </row>
    <row r="30" spans="2:30" ht="24.75" customHeight="1" x14ac:dyDescent="0.25">
      <c r="B30" s="108">
        <v>44970</v>
      </c>
      <c r="C30" s="109" t="s">
        <v>97</v>
      </c>
      <c r="D30" s="109">
        <v>7</v>
      </c>
      <c r="E30" s="110" t="str">
        <f t="shared" si="0"/>
        <v>20230213-025</v>
      </c>
      <c r="F30" s="111" t="s">
        <v>98</v>
      </c>
      <c r="G30" s="111" t="s">
        <v>99</v>
      </c>
      <c r="H30" s="112" t="s">
        <v>854</v>
      </c>
      <c r="I30" s="113">
        <v>1572</v>
      </c>
      <c r="J30" s="111" t="s">
        <v>101</v>
      </c>
      <c r="K30" s="111" t="s">
        <v>169</v>
      </c>
      <c r="L30" s="111" t="s">
        <v>103</v>
      </c>
      <c r="M30" s="111" t="s">
        <v>104</v>
      </c>
      <c r="N30" s="111" t="s">
        <v>824</v>
      </c>
      <c r="O30" s="111" t="s">
        <v>106</v>
      </c>
      <c r="P30" s="111" t="s">
        <v>107</v>
      </c>
      <c r="Q30" s="110" t="s">
        <v>108</v>
      </c>
      <c r="R30" s="110" t="s">
        <v>109</v>
      </c>
      <c r="S30" s="111" t="s">
        <v>825</v>
      </c>
      <c r="T30" s="111" t="s">
        <v>111</v>
      </c>
      <c r="U30" s="111" t="s">
        <v>103</v>
      </c>
      <c r="V30" s="110" t="s">
        <v>112</v>
      </c>
      <c r="W30" s="114" t="str">
        <f>IFERROR(I30-AVERAGEIFS(I$6:I29,J$6:J29,"ICIS / Platts",B$6:B29,B30),"")</f>
        <v/>
      </c>
      <c r="X30" s="110" t="s">
        <v>113</v>
      </c>
      <c r="Y30" s="117" t="str">
        <f t="shared" si="1"/>
        <v>OK</v>
      </c>
      <c r="Z30" s="111" t="s">
        <v>116</v>
      </c>
      <c r="AA30" s="111" t="s">
        <v>115</v>
      </c>
      <c r="AB30" s="111" t="s">
        <v>115</v>
      </c>
      <c r="AC30" s="111" t="s">
        <v>116</v>
      </c>
      <c r="AD30" s="111"/>
    </row>
    <row r="31" spans="2:30" ht="24.75" customHeight="1" x14ac:dyDescent="0.25">
      <c r="B31" s="115">
        <v>44971</v>
      </c>
      <c r="C31" s="116" t="s">
        <v>117</v>
      </c>
      <c r="D31" s="116">
        <v>7</v>
      </c>
      <c r="E31" s="110" t="str">
        <f t="shared" si="0"/>
        <v>20230214-026</v>
      </c>
      <c r="F31" s="111" t="s">
        <v>98</v>
      </c>
      <c r="G31" s="111" t="s">
        <v>99</v>
      </c>
      <c r="H31" s="112" t="s">
        <v>854</v>
      </c>
      <c r="I31" s="113">
        <v>1566.09</v>
      </c>
      <c r="J31" s="111" t="s">
        <v>118</v>
      </c>
      <c r="K31" s="111" t="s">
        <v>855</v>
      </c>
      <c r="L31" s="111" t="s">
        <v>103</v>
      </c>
      <c r="M31" s="111" t="s">
        <v>104</v>
      </c>
      <c r="N31" s="111" t="s">
        <v>827</v>
      </c>
      <c r="O31" s="111" t="s">
        <v>121</v>
      </c>
      <c r="P31" s="111" t="s">
        <v>132</v>
      </c>
      <c r="Q31" s="110" t="s">
        <v>123</v>
      </c>
      <c r="R31" s="110" t="s">
        <v>134</v>
      </c>
      <c r="S31" s="111" t="s">
        <v>825</v>
      </c>
      <c r="T31" s="111" t="s">
        <v>111</v>
      </c>
      <c r="U31" s="111" t="s">
        <v>103</v>
      </c>
      <c r="V31" s="118">
        <f t="shared" ref="V31:V94" si="2">IFERROR((I31-I27)/I27,"")</f>
        <v>-8.7849769299417763E-3</v>
      </c>
      <c r="W31" s="114" t="str">
        <f>IFERROR(I31-AVERAGEIFS(I$6:I30,J$6:J30,"ICIS / Platts",B$6:B30,B31),"")</f>
        <v/>
      </c>
      <c r="X31" s="110" t="s">
        <v>125</v>
      </c>
      <c r="Y31" s="117" t="str">
        <f t="shared" si="1"/>
        <v>OK</v>
      </c>
      <c r="Z31" s="111" t="s">
        <v>116</v>
      </c>
      <c r="AA31" s="111" t="s">
        <v>115</v>
      </c>
      <c r="AB31" s="111" t="s">
        <v>115</v>
      </c>
      <c r="AC31" s="111" t="s">
        <v>116</v>
      </c>
      <c r="AD31" s="111"/>
    </row>
    <row r="32" spans="2:30" ht="24.75" customHeight="1" x14ac:dyDescent="0.25">
      <c r="B32" s="108">
        <v>44972</v>
      </c>
      <c r="C32" s="109" t="s">
        <v>126</v>
      </c>
      <c r="D32" s="109">
        <v>7</v>
      </c>
      <c r="E32" s="110" t="str">
        <f t="shared" si="0"/>
        <v>20230215-027</v>
      </c>
      <c r="F32" s="111" t="s">
        <v>98</v>
      </c>
      <c r="G32" s="111" t="s">
        <v>99</v>
      </c>
      <c r="H32" s="112" t="s">
        <v>854</v>
      </c>
      <c r="I32" s="113">
        <v>1555.51</v>
      </c>
      <c r="J32" s="111" t="s">
        <v>127</v>
      </c>
      <c r="K32" s="111" t="s">
        <v>856</v>
      </c>
      <c r="L32" s="111" t="s">
        <v>129</v>
      </c>
      <c r="M32" s="111" t="s">
        <v>104</v>
      </c>
      <c r="N32" s="111" t="s">
        <v>829</v>
      </c>
      <c r="O32" s="111" t="s">
        <v>131</v>
      </c>
      <c r="P32" s="111" t="s">
        <v>830</v>
      </c>
      <c r="Q32" s="110" t="s">
        <v>133</v>
      </c>
      <c r="R32" s="110" t="s">
        <v>831</v>
      </c>
      <c r="S32" s="111" t="s">
        <v>832</v>
      </c>
      <c r="T32" s="111" t="s">
        <v>136</v>
      </c>
      <c r="U32" s="111" t="s">
        <v>129</v>
      </c>
      <c r="V32" s="118">
        <f t="shared" si="2"/>
        <v>-4.2951696944092616E-3</v>
      </c>
      <c r="W32" s="114" t="str">
        <f>IFERROR(I32-AVERAGEIFS(I$6:I31,J$6:J31,"ICIS / Platts",B$6:B31,B32),"")</f>
        <v/>
      </c>
      <c r="X32" s="110" t="s">
        <v>137</v>
      </c>
      <c r="Y32" s="117" t="str">
        <f t="shared" si="1"/>
        <v>OK</v>
      </c>
      <c r="Z32" s="111" t="s">
        <v>116</v>
      </c>
      <c r="AA32" s="111" t="s">
        <v>115</v>
      </c>
      <c r="AB32" s="111" t="s">
        <v>115</v>
      </c>
      <c r="AC32" s="111" t="s">
        <v>116</v>
      </c>
      <c r="AD32" s="111"/>
    </row>
    <row r="33" spans="2:30" ht="24.75" customHeight="1" x14ac:dyDescent="0.25">
      <c r="B33" s="115">
        <v>44974</v>
      </c>
      <c r="C33" s="116" t="s">
        <v>138</v>
      </c>
      <c r="D33" s="116">
        <v>7</v>
      </c>
      <c r="E33" s="110" t="str">
        <f t="shared" si="0"/>
        <v>20230217-028</v>
      </c>
      <c r="F33" s="111" t="s">
        <v>98</v>
      </c>
      <c r="G33" s="111" t="s">
        <v>99</v>
      </c>
      <c r="H33" s="112" t="s">
        <v>854</v>
      </c>
      <c r="I33" s="113">
        <v>1600.35</v>
      </c>
      <c r="J33" s="111" t="s">
        <v>139</v>
      </c>
      <c r="K33" s="111" t="s">
        <v>857</v>
      </c>
      <c r="L33" s="111" t="s">
        <v>103</v>
      </c>
      <c r="M33" s="111" t="s">
        <v>104</v>
      </c>
      <c r="N33" s="111" t="s">
        <v>824</v>
      </c>
      <c r="O33" s="111" t="s">
        <v>106</v>
      </c>
      <c r="P33" s="111" t="s">
        <v>141</v>
      </c>
      <c r="Q33" s="110" t="s">
        <v>133</v>
      </c>
      <c r="R33" s="110" t="s">
        <v>142</v>
      </c>
      <c r="S33" s="111" t="s">
        <v>825</v>
      </c>
      <c r="T33" s="111" t="s">
        <v>111</v>
      </c>
      <c r="U33" s="111" t="s">
        <v>103</v>
      </c>
      <c r="V33" s="118">
        <f t="shared" si="2"/>
        <v>-1.0424339271669972E-3</v>
      </c>
      <c r="W33" s="114" t="str">
        <f>IFERROR(I33-AVERAGEIFS(I$6:I32,J$6:J32,"ICIS / Platts",B$6:B32,B33),"")</f>
        <v/>
      </c>
      <c r="X33" s="110" t="s">
        <v>125</v>
      </c>
      <c r="Y33" s="117" t="str">
        <f t="shared" si="1"/>
        <v>OK</v>
      </c>
      <c r="Z33" s="111" t="s">
        <v>116</v>
      </c>
      <c r="AA33" s="111" t="s">
        <v>115</v>
      </c>
      <c r="AB33" s="111" t="s">
        <v>115</v>
      </c>
      <c r="AC33" s="111" t="s">
        <v>116</v>
      </c>
      <c r="AD33" s="111"/>
    </row>
    <row r="34" spans="2:30" ht="24.75" customHeight="1" x14ac:dyDescent="0.25">
      <c r="B34" s="108">
        <v>44977</v>
      </c>
      <c r="C34" s="109" t="s">
        <v>97</v>
      </c>
      <c r="D34" s="109">
        <v>8</v>
      </c>
      <c r="E34" s="110" t="str">
        <f t="shared" si="0"/>
        <v>20230220-029</v>
      </c>
      <c r="F34" s="111" t="s">
        <v>98</v>
      </c>
      <c r="G34" s="111" t="s">
        <v>99</v>
      </c>
      <c r="H34" s="112" t="s">
        <v>858</v>
      </c>
      <c r="I34" s="113">
        <v>1560</v>
      </c>
      <c r="J34" s="111" t="s">
        <v>101</v>
      </c>
      <c r="K34" s="111" t="s">
        <v>174</v>
      </c>
      <c r="L34" s="111" t="s">
        <v>103</v>
      </c>
      <c r="M34" s="111" t="s">
        <v>104</v>
      </c>
      <c r="N34" s="111" t="s">
        <v>824</v>
      </c>
      <c r="O34" s="111" t="s">
        <v>106</v>
      </c>
      <c r="P34" s="111" t="s">
        <v>107</v>
      </c>
      <c r="Q34" s="110" t="s">
        <v>108</v>
      </c>
      <c r="R34" s="110" t="s">
        <v>109</v>
      </c>
      <c r="S34" s="111" t="s">
        <v>825</v>
      </c>
      <c r="T34" s="111" t="s">
        <v>111</v>
      </c>
      <c r="U34" s="111" t="s">
        <v>103</v>
      </c>
      <c r="V34" s="118">
        <f t="shared" si="2"/>
        <v>-7.6335877862595417E-3</v>
      </c>
      <c r="W34" s="114" t="str">
        <f>IFERROR(I34-AVERAGEIFS(I$6:I33,J$6:J33,"ICIS / Platts",B$6:B33,B34),"")</f>
        <v/>
      </c>
      <c r="X34" s="110" t="s">
        <v>113</v>
      </c>
      <c r="Y34" s="117" t="str">
        <f t="shared" si="1"/>
        <v>OK</v>
      </c>
      <c r="Z34" s="111" t="s">
        <v>116</v>
      </c>
      <c r="AA34" s="111" t="s">
        <v>115</v>
      </c>
      <c r="AB34" s="111" t="s">
        <v>116</v>
      </c>
      <c r="AC34" s="111" t="s">
        <v>116</v>
      </c>
      <c r="AD34" s="111"/>
    </row>
    <row r="35" spans="2:30" ht="24.75" customHeight="1" x14ac:dyDescent="0.25">
      <c r="B35" s="115">
        <v>44978</v>
      </c>
      <c r="C35" s="116" t="s">
        <v>117</v>
      </c>
      <c r="D35" s="116">
        <v>8</v>
      </c>
      <c r="E35" s="110" t="str">
        <f t="shared" si="0"/>
        <v>20230221-030</v>
      </c>
      <c r="F35" s="111" t="s">
        <v>98</v>
      </c>
      <c r="G35" s="111" t="s">
        <v>99</v>
      </c>
      <c r="H35" s="112" t="s">
        <v>858</v>
      </c>
      <c r="I35" s="113">
        <v>1554.37</v>
      </c>
      <c r="J35" s="111" t="s">
        <v>118</v>
      </c>
      <c r="K35" s="111" t="s">
        <v>859</v>
      </c>
      <c r="L35" s="111" t="s">
        <v>103</v>
      </c>
      <c r="M35" s="111" t="s">
        <v>104</v>
      </c>
      <c r="N35" s="111" t="s">
        <v>827</v>
      </c>
      <c r="O35" s="111" t="s">
        <v>121</v>
      </c>
      <c r="P35" s="111" t="s">
        <v>132</v>
      </c>
      <c r="Q35" s="110" t="s">
        <v>123</v>
      </c>
      <c r="R35" s="110" t="s">
        <v>134</v>
      </c>
      <c r="S35" s="111" t="s">
        <v>825</v>
      </c>
      <c r="T35" s="111" t="s">
        <v>111</v>
      </c>
      <c r="U35" s="111" t="s">
        <v>103</v>
      </c>
      <c r="V35" s="118">
        <f t="shared" si="2"/>
        <v>-7.4836056676180988E-3</v>
      </c>
      <c r="W35" s="114" t="str">
        <f>IFERROR(I35-AVERAGEIFS(I$6:I34,J$6:J34,"ICIS / Platts",B$6:B34,B35),"")</f>
        <v/>
      </c>
      <c r="X35" s="110" t="s">
        <v>125</v>
      </c>
      <c r="Y35" s="117" t="str">
        <f t="shared" si="1"/>
        <v>OK</v>
      </c>
      <c r="Z35" s="111" t="s">
        <v>116</v>
      </c>
      <c r="AA35" s="111" t="s">
        <v>115</v>
      </c>
      <c r="AB35" s="111" t="s">
        <v>116</v>
      </c>
      <c r="AC35" s="111" t="s">
        <v>116</v>
      </c>
      <c r="AD35" s="111"/>
    </row>
    <row r="36" spans="2:30" ht="24.75" customHeight="1" x14ac:dyDescent="0.25">
      <c r="B36" s="108">
        <v>44979</v>
      </c>
      <c r="C36" s="109" t="s">
        <v>126</v>
      </c>
      <c r="D36" s="109">
        <v>8</v>
      </c>
      <c r="E36" s="110" t="str">
        <f t="shared" si="0"/>
        <v>20230222-031</v>
      </c>
      <c r="F36" s="111" t="s">
        <v>98</v>
      </c>
      <c r="G36" s="111" t="s">
        <v>99</v>
      </c>
      <c r="H36" s="112" t="s">
        <v>858</v>
      </c>
      <c r="I36" s="113">
        <v>1559.26</v>
      </c>
      <c r="J36" s="111" t="s">
        <v>127</v>
      </c>
      <c r="K36" s="111" t="s">
        <v>860</v>
      </c>
      <c r="L36" s="111" t="s">
        <v>129</v>
      </c>
      <c r="M36" s="111" t="s">
        <v>104</v>
      </c>
      <c r="N36" s="111" t="s">
        <v>829</v>
      </c>
      <c r="O36" s="111" t="s">
        <v>131</v>
      </c>
      <c r="P36" s="111" t="s">
        <v>830</v>
      </c>
      <c r="Q36" s="110" t="s">
        <v>133</v>
      </c>
      <c r="R36" s="110" t="s">
        <v>831</v>
      </c>
      <c r="S36" s="111" t="s">
        <v>832</v>
      </c>
      <c r="T36" s="111" t="s">
        <v>136</v>
      </c>
      <c r="U36" s="111" t="s">
        <v>129</v>
      </c>
      <c r="V36" s="118">
        <f t="shared" si="2"/>
        <v>2.4107848872716988E-3</v>
      </c>
      <c r="W36" s="114" t="str">
        <f>IFERROR(I36-AVERAGEIFS(I$6:I35,J$6:J35,"ICIS / Platts",B$6:B35,B36),"")</f>
        <v/>
      </c>
      <c r="X36" s="110" t="s">
        <v>137</v>
      </c>
      <c r="Y36" s="117" t="str">
        <f t="shared" si="1"/>
        <v>OK</v>
      </c>
      <c r="Z36" s="111" t="s">
        <v>116</v>
      </c>
      <c r="AA36" s="111" t="s">
        <v>115</v>
      </c>
      <c r="AB36" s="111" t="s">
        <v>116</v>
      </c>
      <c r="AC36" s="111" t="s">
        <v>116</v>
      </c>
      <c r="AD36" s="111"/>
    </row>
    <row r="37" spans="2:30" ht="24.75" customHeight="1" x14ac:dyDescent="0.25">
      <c r="B37" s="115">
        <v>44981</v>
      </c>
      <c r="C37" s="116" t="s">
        <v>138</v>
      </c>
      <c r="D37" s="116">
        <v>8</v>
      </c>
      <c r="E37" s="110" t="str">
        <f t="shared" si="0"/>
        <v>20230224-032</v>
      </c>
      <c r="F37" s="111" t="s">
        <v>98</v>
      </c>
      <c r="G37" s="111" t="s">
        <v>99</v>
      </c>
      <c r="H37" s="112" t="s">
        <v>858</v>
      </c>
      <c r="I37" s="113">
        <v>1537.53</v>
      </c>
      <c r="J37" s="111" t="s">
        <v>139</v>
      </c>
      <c r="K37" s="111" t="s">
        <v>861</v>
      </c>
      <c r="L37" s="111" t="s">
        <v>103</v>
      </c>
      <c r="M37" s="111" t="s">
        <v>104</v>
      </c>
      <c r="N37" s="111" t="s">
        <v>824</v>
      </c>
      <c r="O37" s="111" t="s">
        <v>106</v>
      </c>
      <c r="P37" s="111" t="s">
        <v>141</v>
      </c>
      <c r="Q37" s="110" t="s">
        <v>133</v>
      </c>
      <c r="R37" s="110" t="s">
        <v>142</v>
      </c>
      <c r="S37" s="111" t="s">
        <v>825</v>
      </c>
      <c r="T37" s="111" t="s">
        <v>111</v>
      </c>
      <c r="U37" s="111" t="s">
        <v>103</v>
      </c>
      <c r="V37" s="118">
        <f t="shared" si="2"/>
        <v>-3.9253913206486045E-2</v>
      </c>
      <c r="W37" s="114" t="str">
        <f>IFERROR(I37-AVERAGEIFS(I$6:I36,J$6:J36,"ICIS / Platts",B$6:B36,B37),"")</f>
        <v/>
      </c>
      <c r="X37" s="110" t="s">
        <v>125</v>
      </c>
      <c r="Y37" s="117" t="str">
        <f t="shared" si="1"/>
        <v>OK</v>
      </c>
      <c r="Z37" s="111" t="s">
        <v>116</v>
      </c>
      <c r="AA37" s="111" t="s">
        <v>115</v>
      </c>
      <c r="AB37" s="111" t="s">
        <v>116</v>
      </c>
      <c r="AC37" s="111" t="s">
        <v>116</v>
      </c>
      <c r="AD37" s="111"/>
    </row>
    <row r="38" spans="2:30" ht="24.75" customHeight="1" x14ac:dyDescent="0.25">
      <c r="B38" s="108">
        <v>44984</v>
      </c>
      <c r="C38" s="109" t="s">
        <v>97</v>
      </c>
      <c r="D38" s="109">
        <v>9</v>
      </c>
      <c r="E38" s="110" t="str">
        <f t="shared" si="0"/>
        <v>20230227-033</v>
      </c>
      <c r="F38" s="111" t="s">
        <v>98</v>
      </c>
      <c r="G38" s="111" t="s">
        <v>99</v>
      </c>
      <c r="H38" s="112" t="s">
        <v>862</v>
      </c>
      <c r="I38" s="113">
        <v>1548</v>
      </c>
      <c r="J38" s="111" t="s">
        <v>101</v>
      </c>
      <c r="K38" s="111" t="s">
        <v>179</v>
      </c>
      <c r="L38" s="111" t="s">
        <v>103</v>
      </c>
      <c r="M38" s="111" t="s">
        <v>104</v>
      </c>
      <c r="N38" s="111" t="s">
        <v>824</v>
      </c>
      <c r="O38" s="111" t="s">
        <v>106</v>
      </c>
      <c r="P38" s="111" t="s">
        <v>107</v>
      </c>
      <c r="Q38" s="110" t="s">
        <v>108</v>
      </c>
      <c r="R38" s="110" t="s">
        <v>109</v>
      </c>
      <c r="S38" s="111" t="s">
        <v>825</v>
      </c>
      <c r="T38" s="111" t="s">
        <v>111</v>
      </c>
      <c r="U38" s="111" t="s">
        <v>103</v>
      </c>
      <c r="V38" s="118">
        <f t="shared" si="2"/>
        <v>-7.6923076923076927E-3</v>
      </c>
      <c r="W38" s="114" t="str">
        <f>IFERROR(I38-AVERAGEIFS(I$6:I37,J$6:J37,"ICIS / Platts",B$6:B37,B38),"")</f>
        <v/>
      </c>
      <c r="X38" s="110" t="s">
        <v>113</v>
      </c>
      <c r="Y38" s="117" t="str">
        <f t="shared" si="1"/>
        <v>OK</v>
      </c>
      <c r="Z38" s="111" t="s">
        <v>116</v>
      </c>
      <c r="AA38" s="111" t="s">
        <v>115</v>
      </c>
      <c r="AB38" s="111" t="s">
        <v>116</v>
      </c>
      <c r="AC38" s="111" t="s">
        <v>116</v>
      </c>
      <c r="AD38" s="111"/>
    </row>
    <row r="39" spans="2:30" ht="24.75" customHeight="1" x14ac:dyDescent="0.25">
      <c r="B39" s="115">
        <v>44985</v>
      </c>
      <c r="C39" s="116" t="s">
        <v>117</v>
      </c>
      <c r="D39" s="116">
        <v>9</v>
      </c>
      <c r="E39" s="110" t="str">
        <f t="shared" si="0"/>
        <v>20230228-034</v>
      </c>
      <c r="F39" s="111" t="s">
        <v>98</v>
      </c>
      <c r="G39" s="111" t="s">
        <v>99</v>
      </c>
      <c r="H39" s="112" t="s">
        <v>862</v>
      </c>
      <c r="I39" s="113">
        <v>1549.98</v>
      </c>
      <c r="J39" s="111" t="s">
        <v>118</v>
      </c>
      <c r="K39" s="111" t="s">
        <v>863</v>
      </c>
      <c r="L39" s="111" t="s">
        <v>103</v>
      </c>
      <c r="M39" s="111" t="s">
        <v>104</v>
      </c>
      <c r="N39" s="111" t="s">
        <v>827</v>
      </c>
      <c r="O39" s="111" t="s">
        <v>121</v>
      </c>
      <c r="P39" s="111" t="s">
        <v>132</v>
      </c>
      <c r="Q39" s="110" t="s">
        <v>123</v>
      </c>
      <c r="R39" s="110" t="s">
        <v>134</v>
      </c>
      <c r="S39" s="111" t="s">
        <v>825</v>
      </c>
      <c r="T39" s="111" t="s">
        <v>111</v>
      </c>
      <c r="U39" s="111" t="s">
        <v>103</v>
      </c>
      <c r="V39" s="118">
        <f t="shared" si="2"/>
        <v>-2.8242953736882935E-3</v>
      </c>
      <c r="W39" s="114" t="str">
        <f>IFERROR(I39-AVERAGEIFS(I$6:I38,J$6:J38,"ICIS / Platts",B$6:B38,B39),"")</f>
        <v/>
      </c>
      <c r="X39" s="110" t="s">
        <v>125</v>
      </c>
      <c r="Y39" s="117" t="str">
        <f t="shared" si="1"/>
        <v>OK</v>
      </c>
      <c r="Z39" s="111" t="s">
        <v>116</v>
      </c>
      <c r="AA39" s="111" t="s">
        <v>115</v>
      </c>
      <c r="AB39" s="111" t="s">
        <v>116</v>
      </c>
      <c r="AC39" s="111" t="s">
        <v>116</v>
      </c>
      <c r="AD39" s="111"/>
    </row>
    <row r="40" spans="2:30" ht="24.75" customHeight="1" x14ac:dyDescent="0.25">
      <c r="B40" s="108">
        <v>44986</v>
      </c>
      <c r="C40" s="109" t="s">
        <v>126</v>
      </c>
      <c r="D40" s="109">
        <v>9</v>
      </c>
      <c r="E40" s="110" t="str">
        <f t="shared" si="0"/>
        <v>20230301-035</v>
      </c>
      <c r="F40" s="111" t="s">
        <v>98</v>
      </c>
      <c r="G40" s="111" t="s">
        <v>99</v>
      </c>
      <c r="H40" s="112" t="s">
        <v>862</v>
      </c>
      <c r="I40" s="113">
        <v>1539.14</v>
      </c>
      <c r="J40" s="111" t="s">
        <v>127</v>
      </c>
      <c r="K40" s="111" t="s">
        <v>864</v>
      </c>
      <c r="L40" s="111" t="s">
        <v>129</v>
      </c>
      <c r="M40" s="111" t="s">
        <v>104</v>
      </c>
      <c r="N40" s="111" t="s">
        <v>829</v>
      </c>
      <c r="O40" s="111" t="s">
        <v>131</v>
      </c>
      <c r="P40" s="111" t="s">
        <v>830</v>
      </c>
      <c r="Q40" s="110" t="s">
        <v>133</v>
      </c>
      <c r="R40" s="110" t="s">
        <v>831</v>
      </c>
      <c r="S40" s="111" t="s">
        <v>832</v>
      </c>
      <c r="T40" s="111" t="s">
        <v>136</v>
      </c>
      <c r="U40" s="111" t="s">
        <v>129</v>
      </c>
      <c r="V40" s="118">
        <f t="shared" si="2"/>
        <v>-1.290355681541237E-2</v>
      </c>
      <c r="W40" s="114" t="str">
        <f>IFERROR(I40-AVERAGEIFS(I$6:I39,J$6:J39,"ICIS / Platts",B$6:B39,B40),"")</f>
        <v/>
      </c>
      <c r="X40" s="110" t="s">
        <v>137</v>
      </c>
      <c r="Y40" s="117" t="str">
        <f t="shared" si="1"/>
        <v>OK</v>
      </c>
      <c r="Z40" s="111" t="s">
        <v>116</v>
      </c>
      <c r="AA40" s="111" t="s">
        <v>115</v>
      </c>
      <c r="AB40" s="111" t="s">
        <v>116</v>
      </c>
      <c r="AC40" s="111" t="s">
        <v>116</v>
      </c>
      <c r="AD40" s="111"/>
    </row>
    <row r="41" spans="2:30" ht="24.75" customHeight="1" x14ac:dyDescent="0.25">
      <c r="B41" s="115">
        <v>44988</v>
      </c>
      <c r="C41" s="116" t="s">
        <v>138</v>
      </c>
      <c r="D41" s="116">
        <v>9</v>
      </c>
      <c r="E41" s="110" t="str">
        <f t="shared" si="0"/>
        <v>20230303-036</v>
      </c>
      <c r="F41" s="111" t="s">
        <v>98</v>
      </c>
      <c r="G41" s="111" t="s">
        <v>99</v>
      </c>
      <c r="H41" s="112" t="s">
        <v>862</v>
      </c>
      <c r="I41" s="113">
        <v>1542.64</v>
      </c>
      <c r="J41" s="111" t="s">
        <v>139</v>
      </c>
      <c r="K41" s="111" t="s">
        <v>865</v>
      </c>
      <c r="L41" s="111" t="s">
        <v>103</v>
      </c>
      <c r="M41" s="111" t="s">
        <v>104</v>
      </c>
      <c r="N41" s="111" t="s">
        <v>824</v>
      </c>
      <c r="O41" s="111" t="s">
        <v>106</v>
      </c>
      <c r="P41" s="111" t="s">
        <v>141</v>
      </c>
      <c r="Q41" s="110" t="s">
        <v>133</v>
      </c>
      <c r="R41" s="110" t="s">
        <v>142</v>
      </c>
      <c r="S41" s="111" t="s">
        <v>825</v>
      </c>
      <c r="T41" s="111" t="s">
        <v>111</v>
      </c>
      <c r="U41" s="111" t="s">
        <v>103</v>
      </c>
      <c r="V41" s="118">
        <f t="shared" si="2"/>
        <v>3.3235123867502601E-3</v>
      </c>
      <c r="W41" s="114" t="str">
        <f>IFERROR(I41-AVERAGEIFS(I$6:I40,J$6:J40,"ICIS / Platts",B$6:B40,B41),"")</f>
        <v/>
      </c>
      <c r="X41" s="110" t="s">
        <v>125</v>
      </c>
      <c r="Y41" s="117" t="str">
        <f t="shared" si="1"/>
        <v>OK</v>
      </c>
      <c r="Z41" s="111" t="s">
        <v>116</v>
      </c>
      <c r="AA41" s="111" t="s">
        <v>115</v>
      </c>
      <c r="AB41" s="111" t="s">
        <v>116</v>
      </c>
      <c r="AC41" s="111" t="s">
        <v>116</v>
      </c>
      <c r="AD41" s="111"/>
    </row>
    <row r="42" spans="2:30" ht="24.75" customHeight="1" x14ac:dyDescent="0.25">
      <c r="B42" s="108">
        <v>44991</v>
      </c>
      <c r="C42" s="109" t="s">
        <v>97</v>
      </c>
      <c r="D42" s="109">
        <v>10</v>
      </c>
      <c r="E42" s="110" t="str">
        <f t="shared" si="0"/>
        <v>20230306-037</v>
      </c>
      <c r="F42" s="111" t="s">
        <v>98</v>
      </c>
      <c r="G42" s="111" t="s">
        <v>99</v>
      </c>
      <c r="H42" s="112" t="s">
        <v>866</v>
      </c>
      <c r="I42" s="113">
        <v>1540</v>
      </c>
      <c r="J42" s="111" t="s">
        <v>101</v>
      </c>
      <c r="K42" s="111" t="s">
        <v>184</v>
      </c>
      <c r="L42" s="111" t="s">
        <v>103</v>
      </c>
      <c r="M42" s="111" t="s">
        <v>104</v>
      </c>
      <c r="N42" s="111" t="s">
        <v>824</v>
      </c>
      <c r="O42" s="111" t="s">
        <v>106</v>
      </c>
      <c r="P42" s="111" t="s">
        <v>107</v>
      </c>
      <c r="Q42" s="110" t="s">
        <v>108</v>
      </c>
      <c r="R42" s="110" t="s">
        <v>109</v>
      </c>
      <c r="S42" s="111" t="s">
        <v>825</v>
      </c>
      <c r="T42" s="111" t="s">
        <v>111</v>
      </c>
      <c r="U42" s="111" t="s">
        <v>103</v>
      </c>
      <c r="V42" s="118">
        <f t="shared" si="2"/>
        <v>-5.1679586563307496E-3</v>
      </c>
      <c r="W42" s="114" t="str">
        <f>IFERROR(I42-AVERAGEIFS(I$6:I41,J$6:J41,"ICIS / Platts",B$6:B41,B42),"")</f>
        <v/>
      </c>
      <c r="X42" s="110" t="s">
        <v>113</v>
      </c>
      <c r="Y42" s="117" t="str">
        <f t="shared" si="1"/>
        <v>OK</v>
      </c>
      <c r="Z42" s="111" t="s">
        <v>116</v>
      </c>
      <c r="AA42" s="111" t="s">
        <v>115</v>
      </c>
      <c r="AB42" s="111" t="s">
        <v>116</v>
      </c>
      <c r="AC42" s="111" t="s">
        <v>116</v>
      </c>
      <c r="AD42" s="111"/>
    </row>
    <row r="43" spans="2:30" ht="24.75" customHeight="1" x14ac:dyDescent="0.25">
      <c r="B43" s="115">
        <v>44992</v>
      </c>
      <c r="C43" s="116" t="s">
        <v>117</v>
      </c>
      <c r="D43" s="116">
        <v>10</v>
      </c>
      <c r="E43" s="110" t="str">
        <f t="shared" si="0"/>
        <v>20230307-038</v>
      </c>
      <c r="F43" s="111" t="s">
        <v>98</v>
      </c>
      <c r="G43" s="111" t="s">
        <v>99</v>
      </c>
      <c r="H43" s="112" t="s">
        <v>866</v>
      </c>
      <c r="I43" s="113">
        <v>1548.38</v>
      </c>
      <c r="J43" s="111" t="s">
        <v>118</v>
      </c>
      <c r="K43" s="111" t="s">
        <v>867</v>
      </c>
      <c r="L43" s="111" t="s">
        <v>103</v>
      </c>
      <c r="M43" s="111" t="s">
        <v>104</v>
      </c>
      <c r="N43" s="111" t="s">
        <v>827</v>
      </c>
      <c r="O43" s="111" t="s">
        <v>121</v>
      </c>
      <c r="P43" s="111" t="s">
        <v>132</v>
      </c>
      <c r="Q43" s="110" t="s">
        <v>123</v>
      </c>
      <c r="R43" s="110" t="s">
        <v>134</v>
      </c>
      <c r="S43" s="111" t="s">
        <v>825</v>
      </c>
      <c r="T43" s="111" t="s">
        <v>111</v>
      </c>
      <c r="U43" s="111" t="s">
        <v>103</v>
      </c>
      <c r="V43" s="118">
        <f t="shared" si="2"/>
        <v>-1.0322713841468335E-3</v>
      </c>
      <c r="W43" s="114" t="str">
        <f>IFERROR(I43-AVERAGEIFS(I$6:I42,J$6:J42,"ICIS / Platts",B$6:B42,B43),"")</f>
        <v/>
      </c>
      <c r="X43" s="110" t="s">
        <v>125</v>
      </c>
      <c r="Y43" s="117" t="str">
        <f t="shared" si="1"/>
        <v>OK</v>
      </c>
      <c r="Z43" s="111" t="s">
        <v>116</v>
      </c>
      <c r="AA43" s="111" t="s">
        <v>115</v>
      </c>
      <c r="AB43" s="111" t="s">
        <v>116</v>
      </c>
      <c r="AC43" s="111" t="s">
        <v>116</v>
      </c>
      <c r="AD43" s="111"/>
    </row>
    <row r="44" spans="2:30" ht="24.75" customHeight="1" x14ac:dyDescent="0.25">
      <c r="B44" s="108">
        <v>44993</v>
      </c>
      <c r="C44" s="109" t="s">
        <v>126</v>
      </c>
      <c r="D44" s="109">
        <v>10</v>
      </c>
      <c r="E44" s="110" t="str">
        <f t="shared" si="0"/>
        <v>20230308-039</v>
      </c>
      <c r="F44" s="111" t="s">
        <v>98</v>
      </c>
      <c r="G44" s="111" t="s">
        <v>99</v>
      </c>
      <c r="H44" s="112" t="s">
        <v>866</v>
      </c>
      <c r="I44" s="113">
        <v>1531.81</v>
      </c>
      <c r="J44" s="111" t="s">
        <v>127</v>
      </c>
      <c r="K44" s="111" t="s">
        <v>868</v>
      </c>
      <c r="L44" s="111" t="s">
        <v>129</v>
      </c>
      <c r="M44" s="111" t="s">
        <v>104</v>
      </c>
      <c r="N44" s="111" t="s">
        <v>829</v>
      </c>
      <c r="O44" s="111" t="s">
        <v>131</v>
      </c>
      <c r="P44" s="111" t="s">
        <v>830</v>
      </c>
      <c r="Q44" s="110" t="s">
        <v>133</v>
      </c>
      <c r="R44" s="110" t="s">
        <v>831</v>
      </c>
      <c r="S44" s="111" t="s">
        <v>832</v>
      </c>
      <c r="T44" s="111" t="s">
        <v>136</v>
      </c>
      <c r="U44" s="111" t="s">
        <v>129</v>
      </c>
      <c r="V44" s="118">
        <f t="shared" si="2"/>
        <v>-4.7623997816963722E-3</v>
      </c>
      <c r="W44" s="114" t="str">
        <f>IFERROR(I44-AVERAGEIFS(I$6:I43,J$6:J43,"ICIS / Platts",B$6:B43,B44),"")</f>
        <v/>
      </c>
      <c r="X44" s="110" t="s">
        <v>137</v>
      </c>
      <c r="Y44" s="117" t="str">
        <f t="shared" si="1"/>
        <v>OK</v>
      </c>
      <c r="Z44" s="111" t="s">
        <v>116</v>
      </c>
      <c r="AA44" s="111" t="s">
        <v>115</v>
      </c>
      <c r="AB44" s="111" t="s">
        <v>116</v>
      </c>
      <c r="AC44" s="111" t="s">
        <v>116</v>
      </c>
      <c r="AD44" s="111"/>
    </row>
    <row r="45" spans="2:30" ht="24.75" customHeight="1" x14ac:dyDescent="0.25">
      <c r="B45" s="115">
        <v>44995</v>
      </c>
      <c r="C45" s="116" t="s">
        <v>138</v>
      </c>
      <c r="D45" s="116">
        <v>10</v>
      </c>
      <c r="E45" s="110" t="str">
        <f t="shared" si="0"/>
        <v>20230310-040</v>
      </c>
      <c r="F45" s="111" t="s">
        <v>98</v>
      </c>
      <c r="G45" s="111" t="s">
        <v>99</v>
      </c>
      <c r="H45" s="112" t="s">
        <v>866</v>
      </c>
      <c r="I45" s="113">
        <v>1555.29</v>
      </c>
      <c r="J45" s="111" t="s">
        <v>139</v>
      </c>
      <c r="K45" s="111" t="s">
        <v>869</v>
      </c>
      <c r="L45" s="111" t="s">
        <v>103</v>
      </c>
      <c r="M45" s="111" t="s">
        <v>104</v>
      </c>
      <c r="N45" s="111" t="s">
        <v>824</v>
      </c>
      <c r="O45" s="111" t="s">
        <v>106</v>
      </c>
      <c r="P45" s="111" t="s">
        <v>141</v>
      </c>
      <c r="Q45" s="110" t="s">
        <v>133</v>
      </c>
      <c r="R45" s="110" t="s">
        <v>142</v>
      </c>
      <c r="S45" s="111" t="s">
        <v>825</v>
      </c>
      <c r="T45" s="111" t="s">
        <v>111</v>
      </c>
      <c r="U45" s="111" t="s">
        <v>103</v>
      </c>
      <c r="V45" s="118">
        <f t="shared" si="2"/>
        <v>8.2002281802623176E-3</v>
      </c>
      <c r="W45" s="114" t="str">
        <f>IFERROR(I45-AVERAGEIFS(I$6:I44,J$6:J44,"ICIS / Platts",B$6:B44,B45),"")</f>
        <v/>
      </c>
      <c r="X45" s="110" t="s">
        <v>125</v>
      </c>
      <c r="Y45" s="117" t="str">
        <f t="shared" si="1"/>
        <v>OK</v>
      </c>
      <c r="Z45" s="111" t="s">
        <v>116</v>
      </c>
      <c r="AA45" s="111" t="s">
        <v>115</v>
      </c>
      <c r="AB45" s="111" t="s">
        <v>116</v>
      </c>
      <c r="AC45" s="111" t="s">
        <v>116</v>
      </c>
      <c r="AD45" s="111"/>
    </row>
    <row r="46" spans="2:30" ht="24.75" customHeight="1" x14ac:dyDescent="0.25">
      <c r="B46" s="108">
        <v>44998</v>
      </c>
      <c r="C46" s="109" t="s">
        <v>97</v>
      </c>
      <c r="D46" s="109">
        <v>11</v>
      </c>
      <c r="E46" s="110" t="str">
        <f t="shared" si="0"/>
        <v>20230313-041</v>
      </c>
      <c r="F46" s="111" t="s">
        <v>98</v>
      </c>
      <c r="G46" s="111" t="s">
        <v>99</v>
      </c>
      <c r="H46" s="112" t="s">
        <v>870</v>
      </c>
      <c r="I46" s="113">
        <v>1532</v>
      </c>
      <c r="J46" s="111" t="s">
        <v>101</v>
      </c>
      <c r="K46" s="111" t="s">
        <v>189</v>
      </c>
      <c r="L46" s="111" t="s">
        <v>103</v>
      </c>
      <c r="M46" s="111" t="s">
        <v>104</v>
      </c>
      <c r="N46" s="111" t="s">
        <v>824</v>
      </c>
      <c r="O46" s="111" t="s">
        <v>106</v>
      </c>
      <c r="P46" s="111" t="s">
        <v>107</v>
      </c>
      <c r="Q46" s="110" t="s">
        <v>108</v>
      </c>
      <c r="R46" s="110" t="s">
        <v>109</v>
      </c>
      <c r="S46" s="111" t="s">
        <v>825</v>
      </c>
      <c r="T46" s="111" t="s">
        <v>111</v>
      </c>
      <c r="U46" s="111" t="s">
        <v>103</v>
      </c>
      <c r="V46" s="118">
        <f t="shared" si="2"/>
        <v>-5.1948051948051948E-3</v>
      </c>
      <c r="W46" s="114" t="str">
        <f>IFERROR(I46-AVERAGEIFS(I$6:I45,J$6:J45,"ICIS / Platts",B$6:B45,B46),"")</f>
        <v/>
      </c>
      <c r="X46" s="110" t="s">
        <v>113</v>
      </c>
      <c r="Y46" s="117" t="str">
        <f t="shared" si="1"/>
        <v>OK</v>
      </c>
      <c r="Z46" s="111" t="s">
        <v>116</v>
      </c>
      <c r="AA46" s="111" t="s">
        <v>115</v>
      </c>
      <c r="AB46" s="111" t="s">
        <v>116</v>
      </c>
      <c r="AC46" s="111" t="s">
        <v>116</v>
      </c>
      <c r="AD46" s="111"/>
    </row>
    <row r="47" spans="2:30" ht="24.75" customHeight="1" x14ac:dyDescent="0.25">
      <c r="B47" s="115">
        <v>44999</v>
      </c>
      <c r="C47" s="116" t="s">
        <v>117</v>
      </c>
      <c r="D47" s="116">
        <v>11</v>
      </c>
      <c r="E47" s="110" t="str">
        <f t="shared" si="0"/>
        <v>20230314-042</v>
      </c>
      <c r="F47" s="111" t="s">
        <v>98</v>
      </c>
      <c r="G47" s="111" t="s">
        <v>99</v>
      </c>
      <c r="H47" s="112" t="s">
        <v>870</v>
      </c>
      <c r="I47" s="113">
        <v>1537.84</v>
      </c>
      <c r="J47" s="111" t="s">
        <v>118</v>
      </c>
      <c r="K47" s="111" t="s">
        <v>871</v>
      </c>
      <c r="L47" s="111" t="s">
        <v>103</v>
      </c>
      <c r="M47" s="111" t="s">
        <v>104</v>
      </c>
      <c r="N47" s="111" t="s">
        <v>827</v>
      </c>
      <c r="O47" s="111" t="s">
        <v>121</v>
      </c>
      <c r="P47" s="111" t="s">
        <v>132</v>
      </c>
      <c r="Q47" s="110" t="s">
        <v>123</v>
      </c>
      <c r="R47" s="110" t="s">
        <v>134</v>
      </c>
      <c r="S47" s="111" t="s">
        <v>825</v>
      </c>
      <c r="T47" s="111" t="s">
        <v>111</v>
      </c>
      <c r="U47" s="111" t="s">
        <v>103</v>
      </c>
      <c r="V47" s="118">
        <f t="shared" si="2"/>
        <v>-6.807114532608397E-3</v>
      </c>
      <c r="W47" s="114" t="str">
        <f>IFERROR(I47-AVERAGEIFS(I$6:I46,J$6:J46,"ICIS / Platts",B$6:B46,B47),"")</f>
        <v/>
      </c>
      <c r="X47" s="110" t="s">
        <v>125</v>
      </c>
      <c r="Y47" s="117" t="str">
        <f t="shared" si="1"/>
        <v>OK</v>
      </c>
      <c r="Z47" s="111" t="s">
        <v>116</v>
      </c>
      <c r="AA47" s="111" t="s">
        <v>115</v>
      </c>
      <c r="AB47" s="111" t="s">
        <v>116</v>
      </c>
      <c r="AC47" s="111" t="s">
        <v>116</v>
      </c>
      <c r="AD47" s="111"/>
    </row>
    <row r="48" spans="2:30" ht="24.75" customHeight="1" x14ac:dyDescent="0.25">
      <c r="B48" s="108">
        <v>45000</v>
      </c>
      <c r="C48" s="109" t="s">
        <v>126</v>
      </c>
      <c r="D48" s="109">
        <v>11</v>
      </c>
      <c r="E48" s="110" t="str">
        <f t="shared" si="0"/>
        <v>20230315-043</v>
      </c>
      <c r="F48" s="111" t="s">
        <v>98</v>
      </c>
      <c r="G48" s="111" t="s">
        <v>99</v>
      </c>
      <c r="H48" s="112" t="s">
        <v>870</v>
      </c>
      <c r="I48" s="113">
        <v>1513.95</v>
      </c>
      <c r="J48" s="111" t="s">
        <v>127</v>
      </c>
      <c r="K48" s="111" t="s">
        <v>872</v>
      </c>
      <c r="L48" s="111" t="s">
        <v>129</v>
      </c>
      <c r="M48" s="111" t="s">
        <v>104</v>
      </c>
      <c r="N48" s="111" t="s">
        <v>829</v>
      </c>
      <c r="O48" s="111" t="s">
        <v>131</v>
      </c>
      <c r="P48" s="111" t="s">
        <v>830</v>
      </c>
      <c r="Q48" s="110" t="s">
        <v>133</v>
      </c>
      <c r="R48" s="110" t="s">
        <v>831</v>
      </c>
      <c r="S48" s="111" t="s">
        <v>832</v>
      </c>
      <c r="T48" s="111" t="s">
        <v>136</v>
      </c>
      <c r="U48" s="111" t="s">
        <v>129</v>
      </c>
      <c r="V48" s="118">
        <f t="shared" si="2"/>
        <v>-1.1659409456786351E-2</v>
      </c>
      <c r="W48" s="114" t="str">
        <f>IFERROR(I48-AVERAGEIFS(I$6:I47,J$6:J47,"ICIS / Platts",B$6:B47,B48),"")</f>
        <v/>
      </c>
      <c r="X48" s="110" t="s">
        <v>137</v>
      </c>
      <c r="Y48" s="117" t="str">
        <f t="shared" si="1"/>
        <v>OK</v>
      </c>
      <c r="Z48" s="111" t="s">
        <v>116</v>
      </c>
      <c r="AA48" s="111" t="s">
        <v>115</v>
      </c>
      <c r="AB48" s="111" t="s">
        <v>116</v>
      </c>
      <c r="AC48" s="111" t="s">
        <v>116</v>
      </c>
      <c r="AD48" s="111"/>
    </row>
    <row r="49" spans="2:30" ht="24.75" customHeight="1" x14ac:dyDescent="0.25">
      <c r="B49" s="115">
        <v>45002</v>
      </c>
      <c r="C49" s="116" t="s">
        <v>138</v>
      </c>
      <c r="D49" s="116">
        <v>11</v>
      </c>
      <c r="E49" s="110" t="str">
        <f t="shared" si="0"/>
        <v>20230317-044</v>
      </c>
      <c r="F49" s="111" t="s">
        <v>98</v>
      </c>
      <c r="G49" s="111" t="s">
        <v>99</v>
      </c>
      <c r="H49" s="112" t="s">
        <v>870</v>
      </c>
      <c r="I49" s="113">
        <v>1539.53</v>
      </c>
      <c r="J49" s="111" t="s">
        <v>139</v>
      </c>
      <c r="K49" s="111" t="s">
        <v>873</v>
      </c>
      <c r="L49" s="111" t="s">
        <v>103</v>
      </c>
      <c r="M49" s="111" t="s">
        <v>104</v>
      </c>
      <c r="N49" s="111" t="s">
        <v>824</v>
      </c>
      <c r="O49" s="111" t="s">
        <v>106</v>
      </c>
      <c r="P49" s="111" t="s">
        <v>141</v>
      </c>
      <c r="Q49" s="110" t="s">
        <v>133</v>
      </c>
      <c r="R49" s="110" t="s">
        <v>142</v>
      </c>
      <c r="S49" s="111" t="s">
        <v>825</v>
      </c>
      <c r="T49" s="111" t="s">
        <v>111</v>
      </c>
      <c r="U49" s="111" t="s">
        <v>103</v>
      </c>
      <c r="V49" s="118">
        <f t="shared" si="2"/>
        <v>-1.0133158446334762E-2</v>
      </c>
      <c r="W49" s="114" t="str">
        <f>IFERROR(I49-AVERAGEIFS(I$6:I48,J$6:J48,"ICIS / Platts",B$6:B48,B49),"")</f>
        <v/>
      </c>
      <c r="X49" s="110" t="s">
        <v>125</v>
      </c>
      <c r="Y49" s="117" t="str">
        <f t="shared" si="1"/>
        <v>OK</v>
      </c>
      <c r="Z49" s="111" t="s">
        <v>116</v>
      </c>
      <c r="AA49" s="111" t="s">
        <v>115</v>
      </c>
      <c r="AB49" s="111" t="s">
        <v>116</v>
      </c>
      <c r="AC49" s="111" t="s">
        <v>116</v>
      </c>
      <c r="AD49" s="111"/>
    </row>
    <row r="50" spans="2:30" ht="24.75" customHeight="1" x14ac:dyDescent="0.25">
      <c r="B50" s="108">
        <v>45005</v>
      </c>
      <c r="C50" s="109" t="s">
        <v>97</v>
      </c>
      <c r="D50" s="109">
        <v>12</v>
      </c>
      <c r="E50" s="110" t="str">
        <f t="shared" si="0"/>
        <v>20230320-045</v>
      </c>
      <c r="F50" s="111" t="s">
        <v>98</v>
      </c>
      <c r="G50" s="111" t="s">
        <v>99</v>
      </c>
      <c r="H50" s="112" t="s">
        <v>874</v>
      </c>
      <c r="I50" s="113">
        <v>1528</v>
      </c>
      <c r="J50" s="111" t="s">
        <v>101</v>
      </c>
      <c r="K50" s="111" t="s">
        <v>194</v>
      </c>
      <c r="L50" s="111" t="s">
        <v>103</v>
      </c>
      <c r="M50" s="111" t="s">
        <v>104</v>
      </c>
      <c r="N50" s="111" t="s">
        <v>824</v>
      </c>
      <c r="O50" s="111" t="s">
        <v>106</v>
      </c>
      <c r="P50" s="111" t="s">
        <v>107</v>
      </c>
      <c r="Q50" s="110" t="s">
        <v>108</v>
      </c>
      <c r="R50" s="110" t="s">
        <v>109</v>
      </c>
      <c r="S50" s="111" t="s">
        <v>825</v>
      </c>
      <c r="T50" s="111" t="s">
        <v>111</v>
      </c>
      <c r="U50" s="111" t="s">
        <v>103</v>
      </c>
      <c r="V50" s="118">
        <f t="shared" si="2"/>
        <v>-2.6109660574412533E-3</v>
      </c>
      <c r="W50" s="114" t="str">
        <f>IFERROR(I50-AVERAGEIFS(I$6:I49,J$6:J49,"ICIS / Platts",B$6:B49,B50),"")</f>
        <v/>
      </c>
      <c r="X50" s="110" t="s">
        <v>113</v>
      </c>
      <c r="Y50" s="117" t="str">
        <f t="shared" si="1"/>
        <v>OK</v>
      </c>
      <c r="Z50" s="111" t="s">
        <v>116</v>
      </c>
      <c r="AA50" s="111" t="s">
        <v>115</v>
      </c>
      <c r="AB50" s="111" t="s">
        <v>116</v>
      </c>
      <c r="AC50" s="111" t="s">
        <v>116</v>
      </c>
      <c r="AD50" s="111"/>
    </row>
    <row r="51" spans="2:30" ht="24.75" customHeight="1" x14ac:dyDescent="0.25">
      <c r="B51" s="115">
        <v>45006</v>
      </c>
      <c r="C51" s="116" t="s">
        <v>117</v>
      </c>
      <c r="D51" s="116">
        <v>12</v>
      </c>
      <c r="E51" s="110" t="str">
        <f t="shared" si="0"/>
        <v>20230321-046</v>
      </c>
      <c r="F51" s="111" t="s">
        <v>98</v>
      </c>
      <c r="G51" s="111" t="s">
        <v>99</v>
      </c>
      <c r="H51" s="112" t="s">
        <v>874</v>
      </c>
      <c r="I51" s="113">
        <v>1581.47</v>
      </c>
      <c r="J51" s="111" t="s">
        <v>118</v>
      </c>
      <c r="K51" s="111" t="s">
        <v>875</v>
      </c>
      <c r="L51" s="111" t="s">
        <v>103</v>
      </c>
      <c r="M51" s="111" t="s">
        <v>104</v>
      </c>
      <c r="N51" s="111" t="s">
        <v>827</v>
      </c>
      <c r="O51" s="111" t="s">
        <v>121</v>
      </c>
      <c r="P51" s="111" t="s">
        <v>132</v>
      </c>
      <c r="Q51" s="110" t="s">
        <v>123</v>
      </c>
      <c r="R51" s="110" t="s">
        <v>134</v>
      </c>
      <c r="S51" s="111" t="s">
        <v>825</v>
      </c>
      <c r="T51" s="111" t="s">
        <v>111</v>
      </c>
      <c r="U51" s="111" t="s">
        <v>103</v>
      </c>
      <c r="V51" s="118">
        <f t="shared" si="2"/>
        <v>2.8370961868594984E-2</v>
      </c>
      <c r="W51" s="114" t="str">
        <f>IFERROR(I51-AVERAGEIFS(I$6:I50,J$6:J50,"ICIS / Platts",B$6:B50,B51),"")</f>
        <v/>
      </c>
      <c r="X51" s="110" t="s">
        <v>125</v>
      </c>
      <c r="Y51" s="117" t="str">
        <f t="shared" si="1"/>
        <v>OK</v>
      </c>
      <c r="Z51" s="111" t="s">
        <v>116</v>
      </c>
      <c r="AA51" s="111" t="s">
        <v>115</v>
      </c>
      <c r="AB51" s="111" t="s">
        <v>116</v>
      </c>
      <c r="AC51" s="111" t="s">
        <v>116</v>
      </c>
      <c r="AD51" s="111"/>
    </row>
    <row r="52" spans="2:30" ht="24.75" customHeight="1" x14ac:dyDescent="0.25">
      <c r="B52" s="108">
        <v>45007</v>
      </c>
      <c r="C52" s="109" t="s">
        <v>126</v>
      </c>
      <c r="D52" s="109">
        <v>12</v>
      </c>
      <c r="E52" s="110" t="str">
        <f t="shared" si="0"/>
        <v>20230322-047</v>
      </c>
      <c r="F52" s="111" t="s">
        <v>98</v>
      </c>
      <c r="G52" s="111" t="s">
        <v>99</v>
      </c>
      <c r="H52" s="112" t="s">
        <v>874</v>
      </c>
      <c r="I52" s="113">
        <v>1505.38</v>
      </c>
      <c r="J52" s="111" t="s">
        <v>127</v>
      </c>
      <c r="K52" s="111" t="s">
        <v>876</v>
      </c>
      <c r="L52" s="111" t="s">
        <v>129</v>
      </c>
      <c r="M52" s="111" t="s">
        <v>104</v>
      </c>
      <c r="N52" s="111" t="s">
        <v>829</v>
      </c>
      <c r="O52" s="111" t="s">
        <v>131</v>
      </c>
      <c r="P52" s="111" t="s">
        <v>830</v>
      </c>
      <c r="Q52" s="110" t="s">
        <v>133</v>
      </c>
      <c r="R52" s="110" t="s">
        <v>831</v>
      </c>
      <c r="S52" s="111" t="s">
        <v>832</v>
      </c>
      <c r="T52" s="111" t="s">
        <v>136</v>
      </c>
      <c r="U52" s="111" t="s">
        <v>129</v>
      </c>
      <c r="V52" s="118">
        <f t="shared" si="2"/>
        <v>-5.6606889263185285E-3</v>
      </c>
      <c r="W52" s="114" t="str">
        <f>IFERROR(I52-AVERAGEIFS(I$6:I51,J$6:J51,"ICIS / Platts",B$6:B51,B52),"")</f>
        <v/>
      </c>
      <c r="X52" s="110" t="s">
        <v>137</v>
      </c>
      <c r="Y52" s="117" t="str">
        <f t="shared" si="1"/>
        <v>OK</v>
      </c>
      <c r="Z52" s="111" t="s">
        <v>116</v>
      </c>
      <c r="AA52" s="111" t="s">
        <v>115</v>
      </c>
      <c r="AB52" s="111" t="s">
        <v>116</v>
      </c>
      <c r="AC52" s="111" t="s">
        <v>116</v>
      </c>
      <c r="AD52" s="111"/>
    </row>
    <row r="53" spans="2:30" ht="24.75" customHeight="1" x14ac:dyDescent="0.25">
      <c r="B53" s="115">
        <v>45009</v>
      </c>
      <c r="C53" s="116" t="s">
        <v>138</v>
      </c>
      <c r="D53" s="116">
        <v>12</v>
      </c>
      <c r="E53" s="110" t="str">
        <f t="shared" si="0"/>
        <v>20230324-048</v>
      </c>
      <c r="F53" s="111" t="s">
        <v>98</v>
      </c>
      <c r="G53" s="111" t="s">
        <v>99</v>
      </c>
      <c r="H53" s="112" t="s">
        <v>874</v>
      </c>
      <c r="I53" s="113">
        <v>1510.47</v>
      </c>
      <c r="J53" s="111" t="s">
        <v>139</v>
      </c>
      <c r="K53" s="111" t="s">
        <v>877</v>
      </c>
      <c r="L53" s="111" t="s">
        <v>103</v>
      </c>
      <c r="M53" s="111" t="s">
        <v>104</v>
      </c>
      <c r="N53" s="111" t="s">
        <v>824</v>
      </c>
      <c r="O53" s="111" t="s">
        <v>106</v>
      </c>
      <c r="P53" s="111" t="s">
        <v>141</v>
      </c>
      <c r="Q53" s="110" t="s">
        <v>133</v>
      </c>
      <c r="R53" s="110" t="s">
        <v>142</v>
      </c>
      <c r="S53" s="111" t="s">
        <v>825</v>
      </c>
      <c r="T53" s="111" t="s">
        <v>111</v>
      </c>
      <c r="U53" s="111" t="s">
        <v>103</v>
      </c>
      <c r="V53" s="118">
        <f t="shared" si="2"/>
        <v>-1.8875890693913041E-2</v>
      </c>
      <c r="W53" s="114" t="str">
        <f>IFERROR(I53-AVERAGEIFS(I$6:I52,J$6:J52,"ICIS / Platts",B$6:B52,B53),"")</f>
        <v/>
      </c>
      <c r="X53" s="110" t="s">
        <v>125</v>
      </c>
      <c r="Y53" s="117" t="str">
        <f t="shared" si="1"/>
        <v>OK</v>
      </c>
      <c r="Z53" s="111" t="s">
        <v>116</v>
      </c>
      <c r="AA53" s="111" t="s">
        <v>115</v>
      </c>
      <c r="AB53" s="111" t="s">
        <v>116</v>
      </c>
      <c r="AC53" s="111" t="s">
        <v>116</v>
      </c>
      <c r="AD53" s="111"/>
    </row>
    <row r="54" spans="2:30" ht="24.75" customHeight="1" x14ac:dyDescent="0.25">
      <c r="B54" s="108">
        <v>45012</v>
      </c>
      <c r="C54" s="109" t="s">
        <v>97</v>
      </c>
      <c r="D54" s="109">
        <v>13</v>
      </c>
      <c r="E54" s="110" t="str">
        <f t="shared" si="0"/>
        <v>20230327-049</v>
      </c>
      <c r="F54" s="111" t="s">
        <v>98</v>
      </c>
      <c r="G54" s="111" t="s">
        <v>99</v>
      </c>
      <c r="H54" s="112" t="s">
        <v>878</v>
      </c>
      <c r="I54" s="113">
        <v>1525</v>
      </c>
      <c r="J54" s="111" t="s">
        <v>101</v>
      </c>
      <c r="K54" s="111" t="s">
        <v>199</v>
      </c>
      <c r="L54" s="111" t="s">
        <v>103</v>
      </c>
      <c r="M54" s="111" t="s">
        <v>104</v>
      </c>
      <c r="N54" s="111" t="s">
        <v>824</v>
      </c>
      <c r="O54" s="111" t="s">
        <v>106</v>
      </c>
      <c r="P54" s="111" t="s">
        <v>107</v>
      </c>
      <c r="Q54" s="110" t="s">
        <v>108</v>
      </c>
      <c r="R54" s="110" t="s">
        <v>109</v>
      </c>
      <c r="S54" s="111" t="s">
        <v>825</v>
      </c>
      <c r="T54" s="111" t="s">
        <v>111</v>
      </c>
      <c r="U54" s="111" t="s">
        <v>103</v>
      </c>
      <c r="V54" s="118">
        <f t="shared" si="2"/>
        <v>-1.963350785340314E-3</v>
      </c>
      <c r="W54" s="114" t="str">
        <f>IFERROR(I54-AVERAGEIFS(I$6:I53,J$6:J53,"ICIS / Platts",B$6:B53,B54),"")</f>
        <v/>
      </c>
      <c r="X54" s="110" t="s">
        <v>113</v>
      </c>
      <c r="Y54" s="117" t="str">
        <f t="shared" si="1"/>
        <v>OK</v>
      </c>
      <c r="Z54" s="111" t="s">
        <v>116</v>
      </c>
      <c r="AA54" s="111" t="s">
        <v>115</v>
      </c>
      <c r="AB54" s="111" t="s">
        <v>115</v>
      </c>
      <c r="AC54" s="111" t="s">
        <v>116</v>
      </c>
      <c r="AD54" s="111"/>
    </row>
    <row r="55" spans="2:30" ht="24.75" customHeight="1" x14ac:dyDescent="0.25">
      <c r="B55" s="115">
        <v>45013</v>
      </c>
      <c r="C55" s="116" t="s">
        <v>117</v>
      </c>
      <c r="D55" s="116">
        <v>13</v>
      </c>
      <c r="E55" s="110" t="str">
        <f t="shared" si="0"/>
        <v>20230328-050</v>
      </c>
      <c r="F55" s="111" t="s">
        <v>98</v>
      </c>
      <c r="G55" s="111" t="s">
        <v>99</v>
      </c>
      <c r="H55" s="112" t="s">
        <v>878</v>
      </c>
      <c r="I55" s="113">
        <v>1514.89</v>
      </c>
      <c r="J55" s="111" t="s">
        <v>118</v>
      </c>
      <c r="K55" s="111" t="s">
        <v>879</v>
      </c>
      <c r="L55" s="111" t="s">
        <v>103</v>
      </c>
      <c r="M55" s="111" t="s">
        <v>104</v>
      </c>
      <c r="N55" s="111" t="s">
        <v>827</v>
      </c>
      <c r="O55" s="111" t="s">
        <v>121</v>
      </c>
      <c r="P55" s="111" t="s">
        <v>132</v>
      </c>
      <c r="Q55" s="110" t="s">
        <v>123</v>
      </c>
      <c r="R55" s="110" t="s">
        <v>134</v>
      </c>
      <c r="S55" s="111" t="s">
        <v>825</v>
      </c>
      <c r="T55" s="111" t="s">
        <v>111</v>
      </c>
      <c r="U55" s="111" t="s">
        <v>103</v>
      </c>
      <c r="V55" s="118">
        <f t="shared" si="2"/>
        <v>-4.2100071452509324E-2</v>
      </c>
      <c r="W55" s="114" t="str">
        <f>IFERROR(I55-AVERAGEIFS(I$6:I54,J$6:J54,"ICIS / Platts",B$6:B54,B55),"")</f>
        <v/>
      </c>
      <c r="X55" s="110" t="s">
        <v>125</v>
      </c>
      <c r="Y55" s="117" t="str">
        <f t="shared" si="1"/>
        <v>OK</v>
      </c>
      <c r="Z55" s="111" t="s">
        <v>116</v>
      </c>
      <c r="AA55" s="111" t="s">
        <v>115</v>
      </c>
      <c r="AB55" s="111" t="s">
        <v>115</v>
      </c>
      <c r="AC55" s="111" t="s">
        <v>116</v>
      </c>
      <c r="AD55" s="111"/>
    </row>
    <row r="56" spans="2:30" ht="24.75" customHeight="1" x14ac:dyDescent="0.25">
      <c r="B56" s="108">
        <v>45014</v>
      </c>
      <c r="C56" s="109" t="s">
        <v>126</v>
      </c>
      <c r="D56" s="109">
        <v>13</v>
      </c>
      <c r="E56" s="110" t="str">
        <f t="shared" si="0"/>
        <v>20230329-051</v>
      </c>
      <c r="F56" s="111" t="s">
        <v>98</v>
      </c>
      <c r="G56" s="111" t="s">
        <v>99</v>
      </c>
      <c r="H56" s="112" t="s">
        <v>878</v>
      </c>
      <c r="I56" s="113">
        <v>1497.62</v>
      </c>
      <c r="J56" s="111" t="s">
        <v>127</v>
      </c>
      <c r="K56" s="111" t="s">
        <v>880</v>
      </c>
      <c r="L56" s="111" t="s">
        <v>129</v>
      </c>
      <c r="M56" s="111" t="s">
        <v>104</v>
      </c>
      <c r="N56" s="111" t="s">
        <v>829</v>
      </c>
      <c r="O56" s="111" t="s">
        <v>131</v>
      </c>
      <c r="P56" s="111" t="s">
        <v>830</v>
      </c>
      <c r="Q56" s="110" t="s">
        <v>133</v>
      </c>
      <c r="R56" s="110" t="s">
        <v>831</v>
      </c>
      <c r="S56" s="111" t="s">
        <v>832</v>
      </c>
      <c r="T56" s="111" t="s">
        <v>136</v>
      </c>
      <c r="U56" s="111" t="s">
        <v>129</v>
      </c>
      <c r="V56" s="118">
        <f t="shared" si="2"/>
        <v>-5.1548446239489147E-3</v>
      </c>
      <c r="W56" s="114" t="str">
        <f>IFERROR(I56-AVERAGEIFS(I$6:I55,J$6:J55,"ICIS / Platts",B$6:B55,B56),"")</f>
        <v/>
      </c>
      <c r="X56" s="110" t="s">
        <v>137</v>
      </c>
      <c r="Y56" s="117" t="str">
        <f t="shared" si="1"/>
        <v>OK</v>
      </c>
      <c r="Z56" s="111" t="s">
        <v>116</v>
      </c>
      <c r="AA56" s="111" t="s">
        <v>115</v>
      </c>
      <c r="AB56" s="111" t="s">
        <v>115</v>
      </c>
      <c r="AC56" s="111" t="s">
        <v>116</v>
      </c>
      <c r="AD56" s="111"/>
    </row>
    <row r="57" spans="2:30" ht="24.75" customHeight="1" x14ac:dyDescent="0.25">
      <c r="B57" s="115">
        <v>45016</v>
      </c>
      <c r="C57" s="116" t="s">
        <v>138</v>
      </c>
      <c r="D57" s="116">
        <v>13</v>
      </c>
      <c r="E57" s="110" t="str">
        <f t="shared" si="0"/>
        <v>20230331-052</v>
      </c>
      <c r="F57" s="111" t="s">
        <v>98</v>
      </c>
      <c r="G57" s="111" t="s">
        <v>99</v>
      </c>
      <c r="H57" s="112" t="s">
        <v>878</v>
      </c>
      <c r="I57" s="113">
        <v>1512.01</v>
      </c>
      <c r="J57" s="111" t="s">
        <v>139</v>
      </c>
      <c r="K57" s="111" t="s">
        <v>881</v>
      </c>
      <c r="L57" s="111" t="s">
        <v>103</v>
      </c>
      <c r="M57" s="111" t="s">
        <v>104</v>
      </c>
      <c r="N57" s="111" t="s">
        <v>824</v>
      </c>
      <c r="O57" s="111" t="s">
        <v>106</v>
      </c>
      <c r="P57" s="111" t="s">
        <v>141</v>
      </c>
      <c r="Q57" s="110" t="s">
        <v>133</v>
      </c>
      <c r="R57" s="110" t="s">
        <v>142</v>
      </c>
      <c r="S57" s="111" t="s">
        <v>825</v>
      </c>
      <c r="T57" s="111" t="s">
        <v>111</v>
      </c>
      <c r="U57" s="111" t="s">
        <v>103</v>
      </c>
      <c r="V57" s="118">
        <f t="shared" si="2"/>
        <v>1.0195502062271768E-3</v>
      </c>
      <c r="W57" s="114" t="str">
        <f>IFERROR(I57-AVERAGEIFS(I$6:I56,J$6:J56,"ICIS / Platts",B$6:B56,B57),"")</f>
        <v/>
      </c>
      <c r="X57" s="110" t="s">
        <v>125</v>
      </c>
      <c r="Y57" s="117" t="str">
        <f t="shared" si="1"/>
        <v>OK</v>
      </c>
      <c r="Z57" s="111" t="s">
        <v>116</v>
      </c>
      <c r="AA57" s="111" t="s">
        <v>115</v>
      </c>
      <c r="AB57" s="111" t="s">
        <v>115</v>
      </c>
      <c r="AC57" s="111" t="s">
        <v>116</v>
      </c>
      <c r="AD57" s="111"/>
    </row>
    <row r="58" spans="2:30" ht="24.75" customHeight="1" x14ac:dyDescent="0.25">
      <c r="B58" s="108">
        <v>45019</v>
      </c>
      <c r="C58" s="109" t="s">
        <v>97</v>
      </c>
      <c r="D58" s="109">
        <v>14</v>
      </c>
      <c r="E58" s="110" t="str">
        <f t="shared" si="0"/>
        <v>20230403-053</v>
      </c>
      <c r="F58" s="111" t="s">
        <v>98</v>
      </c>
      <c r="G58" s="111" t="s">
        <v>99</v>
      </c>
      <c r="H58" s="112" t="s">
        <v>882</v>
      </c>
      <c r="I58" s="113">
        <v>1520</v>
      </c>
      <c r="J58" s="111" t="s">
        <v>101</v>
      </c>
      <c r="K58" s="111" t="s">
        <v>204</v>
      </c>
      <c r="L58" s="111" t="s">
        <v>103</v>
      </c>
      <c r="M58" s="111" t="s">
        <v>104</v>
      </c>
      <c r="N58" s="111" t="s">
        <v>824</v>
      </c>
      <c r="O58" s="111" t="s">
        <v>106</v>
      </c>
      <c r="P58" s="111" t="s">
        <v>107</v>
      </c>
      <c r="Q58" s="110" t="s">
        <v>108</v>
      </c>
      <c r="R58" s="110" t="s">
        <v>109</v>
      </c>
      <c r="S58" s="111" t="s">
        <v>825</v>
      </c>
      <c r="T58" s="111" t="s">
        <v>111</v>
      </c>
      <c r="U58" s="111" t="s">
        <v>103</v>
      </c>
      <c r="V58" s="118">
        <f t="shared" si="2"/>
        <v>-3.2786885245901639E-3</v>
      </c>
      <c r="W58" s="114" t="str">
        <f>IFERROR(I58-AVERAGEIFS(I$6:I57,J$6:J57,"ICIS / Platts",B$6:B57,B58),"")</f>
        <v/>
      </c>
      <c r="X58" s="110" t="s">
        <v>113</v>
      </c>
      <c r="Y58" s="117" t="str">
        <f t="shared" si="1"/>
        <v>OK</v>
      </c>
      <c r="Z58" s="111" t="s">
        <v>116</v>
      </c>
      <c r="AA58" s="111" t="s">
        <v>115</v>
      </c>
      <c r="AB58" s="111" t="s">
        <v>115</v>
      </c>
      <c r="AC58" s="111" t="s">
        <v>116</v>
      </c>
      <c r="AD58" s="111"/>
    </row>
    <row r="59" spans="2:30" ht="24.75" customHeight="1" x14ac:dyDescent="0.25">
      <c r="B59" s="115">
        <v>45020</v>
      </c>
      <c r="C59" s="116" t="s">
        <v>117</v>
      </c>
      <c r="D59" s="116">
        <v>14</v>
      </c>
      <c r="E59" s="110" t="str">
        <f t="shared" si="0"/>
        <v>20230404-054</v>
      </c>
      <c r="F59" s="111" t="s">
        <v>98</v>
      </c>
      <c r="G59" s="111" t="s">
        <v>99</v>
      </c>
      <c r="H59" s="112" t="s">
        <v>882</v>
      </c>
      <c r="I59" s="113">
        <v>1564.55</v>
      </c>
      <c r="J59" s="111" t="s">
        <v>118</v>
      </c>
      <c r="K59" s="111" t="s">
        <v>883</v>
      </c>
      <c r="L59" s="111" t="s">
        <v>103</v>
      </c>
      <c r="M59" s="111" t="s">
        <v>104</v>
      </c>
      <c r="N59" s="111" t="s">
        <v>827</v>
      </c>
      <c r="O59" s="111" t="s">
        <v>121</v>
      </c>
      <c r="P59" s="111" t="s">
        <v>132</v>
      </c>
      <c r="Q59" s="110" t="s">
        <v>123</v>
      </c>
      <c r="R59" s="110" t="s">
        <v>134</v>
      </c>
      <c r="S59" s="111" t="s">
        <v>825</v>
      </c>
      <c r="T59" s="111" t="s">
        <v>111</v>
      </c>
      <c r="U59" s="111" t="s">
        <v>103</v>
      </c>
      <c r="V59" s="118">
        <f t="shared" si="2"/>
        <v>3.2781258045138491E-2</v>
      </c>
      <c r="W59" s="114" t="str">
        <f>IFERROR(I59-AVERAGEIFS(I$6:I58,J$6:J58,"ICIS / Platts",B$6:B58,B59),"")</f>
        <v/>
      </c>
      <c r="X59" s="110" t="s">
        <v>125</v>
      </c>
      <c r="Y59" s="117" t="str">
        <f t="shared" si="1"/>
        <v>OK</v>
      </c>
      <c r="Z59" s="111" t="s">
        <v>116</v>
      </c>
      <c r="AA59" s="111" t="s">
        <v>115</v>
      </c>
      <c r="AB59" s="111" t="s">
        <v>115</v>
      </c>
      <c r="AC59" s="111" t="s">
        <v>116</v>
      </c>
      <c r="AD59" s="111"/>
    </row>
    <row r="60" spans="2:30" ht="24.75" customHeight="1" x14ac:dyDescent="0.25">
      <c r="B60" s="108">
        <v>45021</v>
      </c>
      <c r="C60" s="109" t="s">
        <v>126</v>
      </c>
      <c r="D60" s="109">
        <v>14</v>
      </c>
      <c r="E60" s="110" t="str">
        <f t="shared" si="0"/>
        <v>20230405-055</v>
      </c>
      <c r="F60" s="111" t="s">
        <v>98</v>
      </c>
      <c r="G60" s="111" t="s">
        <v>99</v>
      </c>
      <c r="H60" s="112" t="s">
        <v>882</v>
      </c>
      <c r="I60" s="113">
        <v>1523.43</v>
      </c>
      <c r="J60" s="111" t="s">
        <v>127</v>
      </c>
      <c r="K60" s="111" t="s">
        <v>884</v>
      </c>
      <c r="L60" s="111" t="s">
        <v>129</v>
      </c>
      <c r="M60" s="111" t="s">
        <v>104</v>
      </c>
      <c r="N60" s="111" t="s">
        <v>829</v>
      </c>
      <c r="O60" s="111" t="s">
        <v>131</v>
      </c>
      <c r="P60" s="111" t="s">
        <v>830</v>
      </c>
      <c r="Q60" s="110" t="s">
        <v>133</v>
      </c>
      <c r="R60" s="110" t="s">
        <v>831</v>
      </c>
      <c r="S60" s="111" t="s">
        <v>832</v>
      </c>
      <c r="T60" s="111" t="s">
        <v>136</v>
      </c>
      <c r="U60" s="111" t="s">
        <v>129</v>
      </c>
      <c r="V60" s="118">
        <f t="shared" si="2"/>
        <v>1.723401129792616E-2</v>
      </c>
      <c r="W60" s="114" t="str">
        <f>IFERROR(I60-AVERAGEIFS(I$6:I59,J$6:J59,"ICIS / Platts",B$6:B59,B60),"")</f>
        <v/>
      </c>
      <c r="X60" s="110" t="s">
        <v>137</v>
      </c>
      <c r="Y60" s="117" t="str">
        <f t="shared" si="1"/>
        <v>OK</v>
      </c>
      <c r="Z60" s="111" t="s">
        <v>116</v>
      </c>
      <c r="AA60" s="111" t="s">
        <v>115</v>
      </c>
      <c r="AB60" s="111" t="s">
        <v>115</v>
      </c>
      <c r="AC60" s="111" t="s">
        <v>116</v>
      </c>
      <c r="AD60" s="111"/>
    </row>
    <row r="61" spans="2:30" ht="24.75" customHeight="1" x14ac:dyDescent="0.25">
      <c r="B61" s="115">
        <v>45023</v>
      </c>
      <c r="C61" s="116" t="s">
        <v>138</v>
      </c>
      <c r="D61" s="116">
        <v>14</v>
      </c>
      <c r="E61" s="110" t="str">
        <f t="shared" si="0"/>
        <v>20230407-056</v>
      </c>
      <c r="F61" s="111" t="s">
        <v>98</v>
      </c>
      <c r="G61" s="111" t="s">
        <v>99</v>
      </c>
      <c r="H61" s="112" t="s">
        <v>882</v>
      </c>
      <c r="I61" s="113">
        <v>1538.97</v>
      </c>
      <c r="J61" s="111" t="s">
        <v>139</v>
      </c>
      <c r="K61" s="111" t="s">
        <v>885</v>
      </c>
      <c r="L61" s="111" t="s">
        <v>103</v>
      </c>
      <c r="M61" s="111" t="s">
        <v>104</v>
      </c>
      <c r="N61" s="111" t="s">
        <v>824</v>
      </c>
      <c r="O61" s="111" t="s">
        <v>106</v>
      </c>
      <c r="P61" s="111" t="s">
        <v>141</v>
      </c>
      <c r="Q61" s="110" t="s">
        <v>133</v>
      </c>
      <c r="R61" s="110" t="s">
        <v>142</v>
      </c>
      <c r="S61" s="111" t="s">
        <v>825</v>
      </c>
      <c r="T61" s="111" t="s">
        <v>111</v>
      </c>
      <c r="U61" s="111" t="s">
        <v>103</v>
      </c>
      <c r="V61" s="118">
        <f t="shared" si="2"/>
        <v>1.7830569903638228E-2</v>
      </c>
      <c r="W61" s="114" t="str">
        <f>IFERROR(I61-AVERAGEIFS(I$6:I60,J$6:J60,"ICIS / Platts",B$6:B60,B61),"")</f>
        <v/>
      </c>
      <c r="X61" s="110" t="s">
        <v>125</v>
      </c>
      <c r="Y61" s="117" t="str">
        <f t="shared" si="1"/>
        <v>OK</v>
      </c>
      <c r="Z61" s="111" t="s">
        <v>116</v>
      </c>
      <c r="AA61" s="111" t="s">
        <v>115</v>
      </c>
      <c r="AB61" s="111" t="s">
        <v>115</v>
      </c>
      <c r="AC61" s="111" t="s">
        <v>116</v>
      </c>
      <c r="AD61" s="111"/>
    </row>
    <row r="62" spans="2:30" ht="24.75" customHeight="1" x14ac:dyDescent="0.25">
      <c r="B62" s="108">
        <v>45026</v>
      </c>
      <c r="C62" s="109" t="s">
        <v>97</v>
      </c>
      <c r="D62" s="109">
        <v>15</v>
      </c>
      <c r="E62" s="110" t="str">
        <f t="shared" si="0"/>
        <v>20230410-057</v>
      </c>
      <c r="F62" s="111" t="s">
        <v>98</v>
      </c>
      <c r="G62" s="111" t="s">
        <v>99</v>
      </c>
      <c r="H62" s="112" t="s">
        <v>886</v>
      </c>
      <c r="I62" s="113">
        <v>1515</v>
      </c>
      <c r="J62" s="111" t="s">
        <v>101</v>
      </c>
      <c r="K62" s="111" t="s">
        <v>209</v>
      </c>
      <c r="L62" s="111" t="s">
        <v>103</v>
      </c>
      <c r="M62" s="111" t="s">
        <v>104</v>
      </c>
      <c r="N62" s="111" t="s">
        <v>824</v>
      </c>
      <c r="O62" s="111" t="s">
        <v>106</v>
      </c>
      <c r="P62" s="111" t="s">
        <v>107</v>
      </c>
      <c r="Q62" s="110" t="s">
        <v>108</v>
      </c>
      <c r="R62" s="110" t="s">
        <v>109</v>
      </c>
      <c r="S62" s="111" t="s">
        <v>825</v>
      </c>
      <c r="T62" s="111" t="s">
        <v>111</v>
      </c>
      <c r="U62" s="111" t="s">
        <v>103</v>
      </c>
      <c r="V62" s="118">
        <f t="shared" si="2"/>
        <v>-3.2894736842105261E-3</v>
      </c>
      <c r="W62" s="114" t="str">
        <f>IFERROR(I62-AVERAGEIFS(I$6:I61,J$6:J61,"ICIS / Platts",B$6:B61,B62),"")</f>
        <v/>
      </c>
      <c r="X62" s="110" t="s">
        <v>113</v>
      </c>
      <c r="Y62" s="117" t="str">
        <f t="shared" si="1"/>
        <v>OK</v>
      </c>
      <c r="Z62" s="111" t="s">
        <v>116</v>
      </c>
      <c r="AA62" s="111" t="s">
        <v>115</v>
      </c>
      <c r="AB62" s="111" t="s">
        <v>115</v>
      </c>
      <c r="AC62" s="111" t="s">
        <v>116</v>
      </c>
      <c r="AD62" s="111"/>
    </row>
    <row r="63" spans="2:30" ht="24.75" customHeight="1" x14ac:dyDescent="0.25">
      <c r="B63" s="115">
        <v>45027</v>
      </c>
      <c r="C63" s="116" t="s">
        <v>117</v>
      </c>
      <c r="D63" s="116">
        <v>15</v>
      </c>
      <c r="E63" s="110" t="str">
        <f t="shared" si="0"/>
        <v>20230411-058</v>
      </c>
      <c r="F63" s="111" t="s">
        <v>98</v>
      </c>
      <c r="G63" s="111" t="s">
        <v>99</v>
      </c>
      <c r="H63" s="112" t="s">
        <v>886</v>
      </c>
      <c r="I63" s="113">
        <v>1519.16</v>
      </c>
      <c r="J63" s="111" t="s">
        <v>118</v>
      </c>
      <c r="K63" s="111" t="s">
        <v>887</v>
      </c>
      <c r="L63" s="111" t="s">
        <v>103</v>
      </c>
      <c r="M63" s="111" t="s">
        <v>104</v>
      </c>
      <c r="N63" s="111" t="s">
        <v>827</v>
      </c>
      <c r="O63" s="111" t="s">
        <v>121</v>
      </c>
      <c r="P63" s="111" t="s">
        <v>132</v>
      </c>
      <c r="Q63" s="110" t="s">
        <v>123</v>
      </c>
      <c r="R63" s="110" t="s">
        <v>134</v>
      </c>
      <c r="S63" s="111" t="s">
        <v>825</v>
      </c>
      <c r="T63" s="111" t="s">
        <v>111</v>
      </c>
      <c r="U63" s="111" t="s">
        <v>103</v>
      </c>
      <c r="V63" s="118">
        <f t="shared" si="2"/>
        <v>-2.9011536863634831E-2</v>
      </c>
      <c r="W63" s="114" t="str">
        <f>IFERROR(I63-AVERAGEIFS(I$6:I62,J$6:J62,"ICIS / Platts",B$6:B62,B63),"")</f>
        <v/>
      </c>
      <c r="X63" s="110" t="s">
        <v>125</v>
      </c>
      <c r="Y63" s="117" t="str">
        <f t="shared" si="1"/>
        <v>OK</v>
      </c>
      <c r="Z63" s="111" t="s">
        <v>116</v>
      </c>
      <c r="AA63" s="111" t="s">
        <v>115</v>
      </c>
      <c r="AB63" s="111" t="s">
        <v>115</v>
      </c>
      <c r="AC63" s="111" t="s">
        <v>116</v>
      </c>
      <c r="AD63" s="111"/>
    </row>
    <row r="64" spans="2:30" ht="24.75" customHeight="1" x14ac:dyDescent="0.25">
      <c r="B64" s="108">
        <v>45028</v>
      </c>
      <c r="C64" s="109" t="s">
        <v>126</v>
      </c>
      <c r="D64" s="109">
        <v>15</v>
      </c>
      <c r="E64" s="110" t="str">
        <f t="shared" si="0"/>
        <v>20230412-059</v>
      </c>
      <c r="F64" s="111" t="s">
        <v>98</v>
      </c>
      <c r="G64" s="111" t="s">
        <v>99</v>
      </c>
      <c r="H64" s="112" t="s">
        <v>886</v>
      </c>
      <c r="I64" s="113">
        <v>1496.71</v>
      </c>
      <c r="J64" s="111" t="s">
        <v>127</v>
      </c>
      <c r="K64" s="111" t="s">
        <v>888</v>
      </c>
      <c r="L64" s="111" t="s">
        <v>129</v>
      </c>
      <c r="M64" s="111" t="s">
        <v>104</v>
      </c>
      <c r="N64" s="111" t="s">
        <v>829</v>
      </c>
      <c r="O64" s="111" t="s">
        <v>131</v>
      </c>
      <c r="P64" s="111" t="s">
        <v>830</v>
      </c>
      <c r="Q64" s="110" t="s">
        <v>133</v>
      </c>
      <c r="R64" s="110" t="s">
        <v>831</v>
      </c>
      <c r="S64" s="111" t="s">
        <v>832</v>
      </c>
      <c r="T64" s="111" t="s">
        <v>136</v>
      </c>
      <c r="U64" s="111" t="s">
        <v>129</v>
      </c>
      <c r="V64" s="118">
        <f t="shared" si="2"/>
        <v>-1.7539368398941879E-2</v>
      </c>
      <c r="W64" s="114" t="str">
        <f>IFERROR(I64-AVERAGEIFS(I$6:I63,J$6:J63,"ICIS / Platts",B$6:B63,B64),"")</f>
        <v/>
      </c>
      <c r="X64" s="110" t="s">
        <v>137</v>
      </c>
      <c r="Y64" s="117" t="str">
        <f t="shared" si="1"/>
        <v>OK</v>
      </c>
      <c r="Z64" s="111" t="s">
        <v>116</v>
      </c>
      <c r="AA64" s="111" t="s">
        <v>115</v>
      </c>
      <c r="AB64" s="111" t="s">
        <v>115</v>
      </c>
      <c r="AC64" s="111" t="s">
        <v>116</v>
      </c>
      <c r="AD64" s="111"/>
    </row>
    <row r="65" spans="2:30" ht="24.75" customHeight="1" x14ac:dyDescent="0.25">
      <c r="B65" s="115">
        <v>45030</v>
      </c>
      <c r="C65" s="116" t="s">
        <v>138</v>
      </c>
      <c r="D65" s="116">
        <v>15</v>
      </c>
      <c r="E65" s="110" t="str">
        <f t="shared" si="0"/>
        <v>20230414-060</v>
      </c>
      <c r="F65" s="111" t="s">
        <v>98</v>
      </c>
      <c r="G65" s="111" t="s">
        <v>99</v>
      </c>
      <c r="H65" s="112" t="s">
        <v>886</v>
      </c>
      <c r="I65" s="113">
        <v>1512.37</v>
      </c>
      <c r="J65" s="111" t="s">
        <v>139</v>
      </c>
      <c r="K65" s="111" t="s">
        <v>889</v>
      </c>
      <c r="L65" s="111" t="s">
        <v>103</v>
      </c>
      <c r="M65" s="111" t="s">
        <v>104</v>
      </c>
      <c r="N65" s="111" t="s">
        <v>824</v>
      </c>
      <c r="O65" s="111" t="s">
        <v>106</v>
      </c>
      <c r="P65" s="111" t="s">
        <v>141</v>
      </c>
      <c r="Q65" s="110" t="s">
        <v>133</v>
      </c>
      <c r="R65" s="110" t="s">
        <v>142</v>
      </c>
      <c r="S65" s="111" t="s">
        <v>825</v>
      </c>
      <c r="T65" s="111" t="s">
        <v>111</v>
      </c>
      <c r="U65" s="111" t="s">
        <v>103</v>
      </c>
      <c r="V65" s="118">
        <f t="shared" si="2"/>
        <v>-1.7284287542967139E-2</v>
      </c>
      <c r="W65" s="114" t="str">
        <f>IFERROR(I65-AVERAGEIFS(I$6:I64,J$6:J64,"ICIS / Platts",B$6:B64,B65),"")</f>
        <v/>
      </c>
      <c r="X65" s="110" t="s">
        <v>125</v>
      </c>
      <c r="Y65" s="117" t="str">
        <f t="shared" si="1"/>
        <v>OK</v>
      </c>
      <c r="Z65" s="111" t="s">
        <v>116</v>
      </c>
      <c r="AA65" s="111" t="s">
        <v>115</v>
      </c>
      <c r="AB65" s="111" t="s">
        <v>115</v>
      </c>
      <c r="AC65" s="111" t="s">
        <v>116</v>
      </c>
      <c r="AD65" s="111"/>
    </row>
    <row r="66" spans="2:30" ht="24.75" customHeight="1" x14ac:dyDescent="0.25">
      <c r="B66" s="108">
        <v>45033</v>
      </c>
      <c r="C66" s="109" t="s">
        <v>97</v>
      </c>
      <c r="D66" s="109">
        <v>16</v>
      </c>
      <c r="E66" s="110" t="str">
        <f t="shared" si="0"/>
        <v>20230417-061</v>
      </c>
      <c r="F66" s="111" t="s">
        <v>98</v>
      </c>
      <c r="G66" s="111" t="s">
        <v>99</v>
      </c>
      <c r="H66" s="112" t="s">
        <v>890</v>
      </c>
      <c r="I66" s="113">
        <v>1518</v>
      </c>
      <c r="J66" s="111" t="s">
        <v>101</v>
      </c>
      <c r="K66" s="111" t="s">
        <v>214</v>
      </c>
      <c r="L66" s="111" t="s">
        <v>103</v>
      </c>
      <c r="M66" s="111" t="s">
        <v>104</v>
      </c>
      <c r="N66" s="111" t="s">
        <v>824</v>
      </c>
      <c r="O66" s="111" t="s">
        <v>106</v>
      </c>
      <c r="P66" s="111" t="s">
        <v>107</v>
      </c>
      <c r="Q66" s="110" t="s">
        <v>108</v>
      </c>
      <c r="R66" s="110" t="s">
        <v>109</v>
      </c>
      <c r="S66" s="111" t="s">
        <v>825</v>
      </c>
      <c r="T66" s="111" t="s">
        <v>111</v>
      </c>
      <c r="U66" s="111" t="s">
        <v>103</v>
      </c>
      <c r="V66" s="118">
        <f t="shared" si="2"/>
        <v>1.9801980198019802E-3</v>
      </c>
      <c r="W66" s="114" t="str">
        <f>IFERROR(I66-AVERAGEIFS(I$6:I65,J$6:J65,"ICIS / Platts",B$6:B65,B66),"")</f>
        <v/>
      </c>
      <c r="X66" s="110" t="s">
        <v>113</v>
      </c>
      <c r="Y66" s="117" t="str">
        <f t="shared" si="1"/>
        <v>OK</v>
      </c>
      <c r="Z66" s="111" t="s">
        <v>115</v>
      </c>
      <c r="AA66" s="111" t="s">
        <v>115</v>
      </c>
      <c r="AB66" s="111" t="s">
        <v>115</v>
      </c>
      <c r="AC66" s="111" t="s">
        <v>115</v>
      </c>
      <c r="AD66" s="111"/>
    </row>
    <row r="67" spans="2:30" ht="24.75" customHeight="1" x14ac:dyDescent="0.25">
      <c r="B67" s="115">
        <v>45034</v>
      </c>
      <c r="C67" s="116" t="s">
        <v>117</v>
      </c>
      <c r="D67" s="116">
        <v>16</v>
      </c>
      <c r="E67" s="110" t="str">
        <f t="shared" si="0"/>
        <v>20230418-062</v>
      </c>
      <c r="F67" s="111" t="s">
        <v>98</v>
      </c>
      <c r="G67" s="111" t="s">
        <v>99</v>
      </c>
      <c r="H67" s="112" t="s">
        <v>890</v>
      </c>
      <c r="I67" s="113">
        <v>1566.82</v>
      </c>
      <c r="J67" s="111" t="s">
        <v>118</v>
      </c>
      <c r="K67" s="111" t="s">
        <v>891</v>
      </c>
      <c r="L67" s="111" t="s">
        <v>103</v>
      </c>
      <c r="M67" s="111" t="s">
        <v>104</v>
      </c>
      <c r="N67" s="111" t="s">
        <v>827</v>
      </c>
      <c r="O67" s="111" t="s">
        <v>121</v>
      </c>
      <c r="P67" s="111" t="s">
        <v>132</v>
      </c>
      <c r="Q67" s="110" t="s">
        <v>123</v>
      </c>
      <c r="R67" s="110" t="s">
        <v>134</v>
      </c>
      <c r="S67" s="111" t="s">
        <v>825</v>
      </c>
      <c r="T67" s="111" t="s">
        <v>111</v>
      </c>
      <c r="U67" s="111" t="s">
        <v>103</v>
      </c>
      <c r="V67" s="118">
        <f t="shared" si="2"/>
        <v>3.1372600647726276E-2</v>
      </c>
      <c r="W67" s="114" t="str">
        <f>IFERROR(I67-AVERAGEIFS(I$6:I66,J$6:J66,"ICIS / Platts",B$6:B66,B67),"")</f>
        <v/>
      </c>
      <c r="X67" s="110" t="s">
        <v>125</v>
      </c>
      <c r="Y67" s="117" t="str">
        <f t="shared" si="1"/>
        <v>OK</v>
      </c>
      <c r="Z67" s="111" t="s">
        <v>115</v>
      </c>
      <c r="AA67" s="111" t="s">
        <v>115</v>
      </c>
      <c r="AB67" s="111" t="s">
        <v>115</v>
      </c>
      <c r="AC67" s="111" t="s">
        <v>115</v>
      </c>
      <c r="AD67" s="111"/>
    </row>
    <row r="68" spans="2:30" ht="24.75" customHeight="1" x14ac:dyDescent="0.25">
      <c r="B68" s="108">
        <v>45035</v>
      </c>
      <c r="C68" s="109" t="s">
        <v>126</v>
      </c>
      <c r="D68" s="109">
        <v>16</v>
      </c>
      <c r="E68" s="110" t="str">
        <f t="shared" si="0"/>
        <v>20230419-063</v>
      </c>
      <c r="F68" s="111" t="s">
        <v>98</v>
      </c>
      <c r="G68" s="111" t="s">
        <v>99</v>
      </c>
      <c r="H68" s="112" t="s">
        <v>890</v>
      </c>
      <c r="I68" s="113">
        <v>1549.6</v>
      </c>
      <c r="J68" s="111" t="s">
        <v>127</v>
      </c>
      <c r="K68" s="111" t="s">
        <v>892</v>
      </c>
      <c r="L68" s="111" t="s">
        <v>129</v>
      </c>
      <c r="M68" s="111" t="s">
        <v>104</v>
      </c>
      <c r="N68" s="111" t="s">
        <v>829</v>
      </c>
      <c r="O68" s="111" t="s">
        <v>131</v>
      </c>
      <c r="P68" s="111" t="s">
        <v>830</v>
      </c>
      <c r="Q68" s="110" t="s">
        <v>133</v>
      </c>
      <c r="R68" s="110" t="s">
        <v>831</v>
      </c>
      <c r="S68" s="111" t="s">
        <v>832</v>
      </c>
      <c r="T68" s="111" t="s">
        <v>136</v>
      </c>
      <c r="U68" s="111" t="s">
        <v>129</v>
      </c>
      <c r="V68" s="118">
        <f t="shared" si="2"/>
        <v>3.5337506931870481E-2</v>
      </c>
      <c r="W68" s="114" t="str">
        <f>IFERROR(I68-AVERAGEIFS(I$6:I67,J$6:J67,"ICIS / Platts",B$6:B67,B68),"")</f>
        <v/>
      </c>
      <c r="X68" s="110" t="s">
        <v>137</v>
      </c>
      <c r="Y68" s="117" t="str">
        <f t="shared" si="1"/>
        <v>OK</v>
      </c>
      <c r="Z68" s="111" t="s">
        <v>115</v>
      </c>
      <c r="AA68" s="111" t="s">
        <v>115</v>
      </c>
      <c r="AB68" s="111" t="s">
        <v>115</v>
      </c>
      <c r="AC68" s="111" t="s">
        <v>115</v>
      </c>
      <c r="AD68" s="111"/>
    </row>
    <row r="69" spans="2:30" ht="24.75" customHeight="1" x14ac:dyDescent="0.25">
      <c r="B69" s="115">
        <v>45037</v>
      </c>
      <c r="C69" s="116" t="s">
        <v>138</v>
      </c>
      <c r="D69" s="116">
        <v>16</v>
      </c>
      <c r="E69" s="110" t="str">
        <f t="shared" si="0"/>
        <v>20230421-064</v>
      </c>
      <c r="F69" s="111" t="s">
        <v>98</v>
      </c>
      <c r="G69" s="111" t="s">
        <v>99</v>
      </c>
      <c r="H69" s="112" t="s">
        <v>890</v>
      </c>
      <c r="I69" s="113">
        <v>1541.84</v>
      </c>
      <c r="J69" s="111" t="s">
        <v>139</v>
      </c>
      <c r="K69" s="111" t="s">
        <v>893</v>
      </c>
      <c r="L69" s="111" t="s">
        <v>103</v>
      </c>
      <c r="M69" s="111" t="s">
        <v>104</v>
      </c>
      <c r="N69" s="111" t="s">
        <v>824</v>
      </c>
      <c r="O69" s="111" t="s">
        <v>106</v>
      </c>
      <c r="P69" s="111" t="s">
        <v>141</v>
      </c>
      <c r="Q69" s="110" t="s">
        <v>133</v>
      </c>
      <c r="R69" s="110" t="s">
        <v>142</v>
      </c>
      <c r="S69" s="111" t="s">
        <v>825</v>
      </c>
      <c r="T69" s="111" t="s">
        <v>111</v>
      </c>
      <c r="U69" s="111" t="s">
        <v>103</v>
      </c>
      <c r="V69" s="118">
        <f t="shared" si="2"/>
        <v>1.9485972348036545E-2</v>
      </c>
      <c r="W69" s="114" t="str">
        <f>IFERROR(I69-AVERAGEIFS(I$6:I68,J$6:J68,"ICIS / Platts",B$6:B68,B69),"")</f>
        <v/>
      </c>
      <c r="X69" s="110" t="s">
        <v>125</v>
      </c>
      <c r="Y69" s="117" t="str">
        <f t="shared" si="1"/>
        <v>OK</v>
      </c>
      <c r="Z69" s="111" t="s">
        <v>115</v>
      </c>
      <c r="AA69" s="111" t="s">
        <v>115</v>
      </c>
      <c r="AB69" s="111" t="s">
        <v>115</v>
      </c>
      <c r="AC69" s="111" t="s">
        <v>115</v>
      </c>
      <c r="AD69" s="111"/>
    </row>
    <row r="70" spans="2:30" ht="24.75" customHeight="1" x14ac:dyDescent="0.25">
      <c r="B70" s="108">
        <v>45040</v>
      </c>
      <c r="C70" s="109" t="s">
        <v>97</v>
      </c>
      <c r="D70" s="109">
        <v>17</v>
      </c>
      <c r="E70" s="110" t="str">
        <f t="shared" ref="E70:E133" si="3">TEXT(B70,"YYYYMMDD")&amp;"-"&amp;TEXT(ROW()-5,"000")</f>
        <v>20230424-065</v>
      </c>
      <c r="F70" s="111" t="s">
        <v>98</v>
      </c>
      <c r="G70" s="111" t="s">
        <v>99</v>
      </c>
      <c r="H70" s="112" t="s">
        <v>894</v>
      </c>
      <c r="I70" s="113">
        <v>1522</v>
      </c>
      <c r="J70" s="111" t="s">
        <v>101</v>
      </c>
      <c r="K70" s="111" t="s">
        <v>219</v>
      </c>
      <c r="L70" s="111" t="s">
        <v>103</v>
      </c>
      <c r="M70" s="111" t="s">
        <v>104</v>
      </c>
      <c r="N70" s="111" t="s">
        <v>824</v>
      </c>
      <c r="O70" s="111" t="s">
        <v>106</v>
      </c>
      <c r="P70" s="111" t="s">
        <v>107</v>
      </c>
      <c r="Q70" s="110" t="s">
        <v>108</v>
      </c>
      <c r="R70" s="110" t="s">
        <v>109</v>
      </c>
      <c r="S70" s="111" t="s">
        <v>825</v>
      </c>
      <c r="T70" s="111" t="s">
        <v>111</v>
      </c>
      <c r="U70" s="111" t="s">
        <v>103</v>
      </c>
      <c r="V70" s="118">
        <f t="shared" si="2"/>
        <v>2.635046113306983E-3</v>
      </c>
      <c r="W70" s="114" t="str">
        <f>IFERROR(I70-AVERAGEIFS(I$6:I69,J$6:J69,"ICIS / Platts",B$6:B69,B70),"")</f>
        <v/>
      </c>
      <c r="X70" s="110" t="s">
        <v>113</v>
      </c>
      <c r="Y70" s="117" t="str">
        <f t="shared" si="1"/>
        <v>OK</v>
      </c>
      <c r="Z70" s="111" t="s">
        <v>115</v>
      </c>
      <c r="AA70" s="111" t="s">
        <v>115</v>
      </c>
      <c r="AB70" s="111" t="s">
        <v>115</v>
      </c>
      <c r="AC70" s="111" t="s">
        <v>115</v>
      </c>
      <c r="AD70" s="111"/>
    </row>
    <row r="71" spans="2:30" ht="24.75" customHeight="1" x14ac:dyDescent="0.25">
      <c r="B71" s="115">
        <v>45041</v>
      </c>
      <c r="C71" s="116" t="s">
        <v>117</v>
      </c>
      <c r="D71" s="116">
        <v>17</v>
      </c>
      <c r="E71" s="110" t="str">
        <f t="shared" si="3"/>
        <v>20230425-066</v>
      </c>
      <c r="F71" s="111" t="s">
        <v>98</v>
      </c>
      <c r="G71" s="111" t="s">
        <v>99</v>
      </c>
      <c r="H71" s="112" t="s">
        <v>894</v>
      </c>
      <c r="I71" s="113">
        <v>1557.74</v>
      </c>
      <c r="J71" s="111" t="s">
        <v>118</v>
      </c>
      <c r="K71" s="111" t="s">
        <v>895</v>
      </c>
      <c r="L71" s="111" t="s">
        <v>103</v>
      </c>
      <c r="M71" s="111" t="s">
        <v>104</v>
      </c>
      <c r="N71" s="111" t="s">
        <v>827</v>
      </c>
      <c r="O71" s="111" t="s">
        <v>121</v>
      </c>
      <c r="P71" s="111" t="s">
        <v>132</v>
      </c>
      <c r="Q71" s="110" t="s">
        <v>123</v>
      </c>
      <c r="R71" s="110" t="s">
        <v>134</v>
      </c>
      <c r="S71" s="111" t="s">
        <v>825</v>
      </c>
      <c r="T71" s="111" t="s">
        <v>111</v>
      </c>
      <c r="U71" s="111" t="s">
        <v>103</v>
      </c>
      <c r="V71" s="118">
        <f t="shared" si="2"/>
        <v>-5.7951774932665703E-3</v>
      </c>
      <c r="W71" s="114" t="str">
        <f>IFERROR(I71-AVERAGEIFS(I$6:I70,J$6:J70,"ICIS / Platts",B$6:B70,B71),"")</f>
        <v/>
      </c>
      <c r="X71" s="110" t="s">
        <v>125</v>
      </c>
      <c r="Y71" s="117" t="str">
        <f t="shared" si="1"/>
        <v>OK</v>
      </c>
      <c r="Z71" s="111" t="s">
        <v>115</v>
      </c>
      <c r="AA71" s="111" t="s">
        <v>115</v>
      </c>
      <c r="AB71" s="111" t="s">
        <v>115</v>
      </c>
      <c r="AC71" s="111" t="s">
        <v>115</v>
      </c>
      <c r="AD71" s="111"/>
    </row>
    <row r="72" spans="2:30" ht="24.75" customHeight="1" x14ac:dyDescent="0.25">
      <c r="B72" s="108">
        <v>45042</v>
      </c>
      <c r="C72" s="109" t="s">
        <v>126</v>
      </c>
      <c r="D72" s="109">
        <v>17</v>
      </c>
      <c r="E72" s="110" t="str">
        <f t="shared" si="3"/>
        <v>20230426-067</v>
      </c>
      <c r="F72" s="111" t="s">
        <v>98</v>
      </c>
      <c r="G72" s="111" t="s">
        <v>99</v>
      </c>
      <c r="H72" s="112" t="s">
        <v>894</v>
      </c>
      <c r="I72" s="113">
        <v>1501.8</v>
      </c>
      <c r="J72" s="111" t="s">
        <v>127</v>
      </c>
      <c r="K72" s="111" t="s">
        <v>896</v>
      </c>
      <c r="L72" s="111" t="s">
        <v>129</v>
      </c>
      <c r="M72" s="111" t="s">
        <v>104</v>
      </c>
      <c r="N72" s="111" t="s">
        <v>829</v>
      </c>
      <c r="O72" s="111" t="s">
        <v>131</v>
      </c>
      <c r="P72" s="111" t="s">
        <v>830</v>
      </c>
      <c r="Q72" s="110" t="s">
        <v>133</v>
      </c>
      <c r="R72" s="110" t="s">
        <v>831</v>
      </c>
      <c r="S72" s="111" t="s">
        <v>832</v>
      </c>
      <c r="T72" s="111" t="s">
        <v>136</v>
      </c>
      <c r="U72" s="111" t="s">
        <v>129</v>
      </c>
      <c r="V72" s="118">
        <f t="shared" si="2"/>
        <v>-3.0846670108415047E-2</v>
      </c>
      <c r="W72" s="114" t="str">
        <f>IFERROR(I72-AVERAGEIFS(I$6:I71,J$6:J71,"ICIS / Platts",B$6:B71,B72),"")</f>
        <v/>
      </c>
      <c r="X72" s="110" t="s">
        <v>137</v>
      </c>
      <c r="Y72" s="117" t="str">
        <f t="shared" si="1"/>
        <v>OK</v>
      </c>
      <c r="Z72" s="111" t="s">
        <v>115</v>
      </c>
      <c r="AA72" s="111" t="s">
        <v>115</v>
      </c>
      <c r="AB72" s="111" t="s">
        <v>115</v>
      </c>
      <c r="AC72" s="111" t="s">
        <v>115</v>
      </c>
      <c r="AD72" s="111"/>
    </row>
    <row r="73" spans="2:30" ht="24.75" customHeight="1" x14ac:dyDescent="0.25">
      <c r="B73" s="115">
        <v>45044</v>
      </c>
      <c r="C73" s="116" t="s">
        <v>138</v>
      </c>
      <c r="D73" s="116">
        <v>17</v>
      </c>
      <c r="E73" s="110" t="str">
        <f t="shared" si="3"/>
        <v>20230428-068</v>
      </c>
      <c r="F73" s="111" t="s">
        <v>98</v>
      </c>
      <c r="G73" s="111" t="s">
        <v>99</v>
      </c>
      <c r="H73" s="112" t="s">
        <v>894</v>
      </c>
      <c r="I73" s="113">
        <v>1536.79</v>
      </c>
      <c r="J73" s="111" t="s">
        <v>139</v>
      </c>
      <c r="K73" s="111" t="s">
        <v>897</v>
      </c>
      <c r="L73" s="111" t="s">
        <v>103</v>
      </c>
      <c r="M73" s="111" t="s">
        <v>104</v>
      </c>
      <c r="N73" s="111" t="s">
        <v>824</v>
      </c>
      <c r="O73" s="111" t="s">
        <v>106</v>
      </c>
      <c r="P73" s="111" t="s">
        <v>141</v>
      </c>
      <c r="Q73" s="110" t="s">
        <v>133</v>
      </c>
      <c r="R73" s="110" t="s">
        <v>142</v>
      </c>
      <c r="S73" s="111" t="s">
        <v>825</v>
      </c>
      <c r="T73" s="111" t="s">
        <v>111</v>
      </c>
      <c r="U73" s="111" t="s">
        <v>103</v>
      </c>
      <c r="V73" s="118">
        <f t="shared" si="2"/>
        <v>-3.2753074248949013E-3</v>
      </c>
      <c r="W73" s="114" t="str">
        <f>IFERROR(I73-AVERAGEIFS(I$6:I72,J$6:J72,"ICIS / Platts",B$6:B72,B73),"")</f>
        <v/>
      </c>
      <c r="X73" s="110" t="s">
        <v>125</v>
      </c>
      <c r="Y73" s="117" t="str">
        <f t="shared" si="1"/>
        <v>OK</v>
      </c>
      <c r="Z73" s="111" t="s">
        <v>115</v>
      </c>
      <c r="AA73" s="111" t="s">
        <v>115</v>
      </c>
      <c r="AB73" s="111" t="s">
        <v>115</v>
      </c>
      <c r="AC73" s="111" t="s">
        <v>115</v>
      </c>
      <c r="AD73" s="111"/>
    </row>
    <row r="74" spans="2:30" ht="24.75" customHeight="1" x14ac:dyDescent="0.25">
      <c r="B74" s="108">
        <v>45047</v>
      </c>
      <c r="C74" s="109" t="s">
        <v>97</v>
      </c>
      <c r="D74" s="109">
        <v>18</v>
      </c>
      <c r="E74" s="110" t="str">
        <f t="shared" si="3"/>
        <v>20230501-069</v>
      </c>
      <c r="F74" s="111" t="s">
        <v>98</v>
      </c>
      <c r="G74" s="111" t="s">
        <v>99</v>
      </c>
      <c r="H74" s="112" t="s">
        <v>898</v>
      </c>
      <c r="I74" s="113">
        <v>1520</v>
      </c>
      <c r="J74" s="111" t="s">
        <v>101</v>
      </c>
      <c r="K74" s="111" t="s">
        <v>224</v>
      </c>
      <c r="L74" s="111" t="s">
        <v>103</v>
      </c>
      <c r="M74" s="111" t="s">
        <v>104</v>
      </c>
      <c r="N74" s="111" t="s">
        <v>824</v>
      </c>
      <c r="O74" s="111" t="s">
        <v>106</v>
      </c>
      <c r="P74" s="111" t="s">
        <v>107</v>
      </c>
      <c r="Q74" s="110" t="s">
        <v>108</v>
      </c>
      <c r="R74" s="110" t="s">
        <v>109</v>
      </c>
      <c r="S74" s="111" t="s">
        <v>825</v>
      </c>
      <c r="T74" s="111" t="s">
        <v>111</v>
      </c>
      <c r="U74" s="111" t="s">
        <v>103</v>
      </c>
      <c r="V74" s="118">
        <f t="shared" si="2"/>
        <v>-1.3140604467805519E-3</v>
      </c>
      <c r="W74" s="114" t="str">
        <f>IFERROR(I74-AVERAGEIFS(I$6:I73,J$6:J73,"ICIS / Platts",B$6:B73,B74),"")</f>
        <v/>
      </c>
      <c r="X74" s="110" t="s">
        <v>113</v>
      </c>
      <c r="Y74" s="117" t="str">
        <f t="shared" si="1"/>
        <v>OK</v>
      </c>
      <c r="Z74" s="111" t="s">
        <v>115</v>
      </c>
      <c r="AA74" s="111" t="s">
        <v>115</v>
      </c>
      <c r="AB74" s="111" t="s">
        <v>115</v>
      </c>
      <c r="AC74" s="111" t="s">
        <v>116</v>
      </c>
      <c r="AD74" s="111"/>
    </row>
    <row r="75" spans="2:30" ht="24.75" customHeight="1" x14ac:dyDescent="0.25">
      <c r="B75" s="115">
        <v>45048</v>
      </c>
      <c r="C75" s="116" t="s">
        <v>117</v>
      </c>
      <c r="D75" s="116">
        <v>18</v>
      </c>
      <c r="E75" s="110" t="str">
        <f t="shared" si="3"/>
        <v>20230502-070</v>
      </c>
      <c r="F75" s="111" t="s">
        <v>98</v>
      </c>
      <c r="G75" s="111" t="s">
        <v>99</v>
      </c>
      <c r="H75" s="112" t="s">
        <v>898</v>
      </c>
      <c r="I75" s="113">
        <v>1510.83</v>
      </c>
      <c r="J75" s="111" t="s">
        <v>118</v>
      </c>
      <c r="K75" s="111" t="s">
        <v>899</v>
      </c>
      <c r="L75" s="111" t="s">
        <v>103</v>
      </c>
      <c r="M75" s="111" t="s">
        <v>104</v>
      </c>
      <c r="N75" s="111" t="s">
        <v>827</v>
      </c>
      <c r="O75" s="111" t="s">
        <v>121</v>
      </c>
      <c r="P75" s="111" t="s">
        <v>132</v>
      </c>
      <c r="Q75" s="110" t="s">
        <v>123</v>
      </c>
      <c r="R75" s="110" t="s">
        <v>134</v>
      </c>
      <c r="S75" s="111" t="s">
        <v>825</v>
      </c>
      <c r="T75" s="111" t="s">
        <v>111</v>
      </c>
      <c r="U75" s="111" t="s">
        <v>103</v>
      </c>
      <c r="V75" s="118">
        <f t="shared" si="2"/>
        <v>-3.0114139715228524E-2</v>
      </c>
      <c r="W75" s="114" t="str">
        <f>IFERROR(I75-AVERAGEIFS(I$6:I74,J$6:J74,"ICIS / Platts",B$6:B74,B75),"")</f>
        <v/>
      </c>
      <c r="X75" s="110" t="s">
        <v>125</v>
      </c>
      <c r="Y75" s="117" t="str">
        <f t="shared" si="1"/>
        <v>OK</v>
      </c>
      <c r="Z75" s="111" t="s">
        <v>115</v>
      </c>
      <c r="AA75" s="111" t="s">
        <v>115</v>
      </c>
      <c r="AB75" s="111" t="s">
        <v>115</v>
      </c>
      <c r="AC75" s="111" t="s">
        <v>116</v>
      </c>
      <c r="AD75" s="111"/>
    </row>
    <row r="76" spans="2:30" ht="24.75" customHeight="1" x14ac:dyDescent="0.25">
      <c r="B76" s="108">
        <v>45049</v>
      </c>
      <c r="C76" s="109" t="s">
        <v>126</v>
      </c>
      <c r="D76" s="109">
        <v>18</v>
      </c>
      <c r="E76" s="110" t="str">
        <f t="shared" si="3"/>
        <v>20230503-071</v>
      </c>
      <c r="F76" s="111" t="s">
        <v>98</v>
      </c>
      <c r="G76" s="111" t="s">
        <v>99</v>
      </c>
      <c r="H76" s="112" t="s">
        <v>898</v>
      </c>
      <c r="I76" s="113">
        <v>1523.49</v>
      </c>
      <c r="J76" s="111" t="s">
        <v>127</v>
      </c>
      <c r="K76" s="111" t="s">
        <v>900</v>
      </c>
      <c r="L76" s="111" t="s">
        <v>129</v>
      </c>
      <c r="M76" s="111" t="s">
        <v>104</v>
      </c>
      <c r="N76" s="111" t="s">
        <v>829</v>
      </c>
      <c r="O76" s="111" t="s">
        <v>131</v>
      </c>
      <c r="P76" s="111" t="s">
        <v>830</v>
      </c>
      <c r="Q76" s="110" t="s">
        <v>133</v>
      </c>
      <c r="R76" s="110" t="s">
        <v>831</v>
      </c>
      <c r="S76" s="111" t="s">
        <v>832</v>
      </c>
      <c r="T76" s="111" t="s">
        <v>136</v>
      </c>
      <c r="U76" s="111" t="s">
        <v>129</v>
      </c>
      <c r="V76" s="118">
        <f t="shared" si="2"/>
        <v>1.4442668797443105E-2</v>
      </c>
      <c r="W76" s="114" t="str">
        <f>IFERROR(I76-AVERAGEIFS(I$6:I75,J$6:J75,"ICIS / Platts",B$6:B75,B76),"")</f>
        <v/>
      </c>
      <c r="X76" s="110" t="s">
        <v>137</v>
      </c>
      <c r="Y76" s="117" t="str">
        <f t="shared" si="1"/>
        <v>OK</v>
      </c>
      <c r="Z76" s="111" t="s">
        <v>115</v>
      </c>
      <c r="AA76" s="111" t="s">
        <v>115</v>
      </c>
      <c r="AB76" s="111" t="s">
        <v>115</v>
      </c>
      <c r="AC76" s="111" t="s">
        <v>116</v>
      </c>
      <c r="AD76" s="111"/>
    </row>
    <row r="77" spans="2:30" ht="24.75" customHeight="1" x14ac:dyDescent="0.25">
      <c r="B77" s="115">
        <v>45051</v>
      </c>
      <c r="C77" s="116" t="s">
        <v>138</v>
      </c>
      <c r="D77" s="116">
        <v>18</v>
      </c>
      <c r="E77" s="110" t="str">
        <f t="shared" si="3"/>
        <v>20230505-072</v>
      </c>
      <c r="F77" s="111" t="s">
        <v>98</v>
      </c>
      <c r="G77" s="111" t="s">
        <v>99</v>
      </c>
      <c r="H77" s="112" t="s">
        <v>898</v>
      </c>
      <c r="I77" s="113">
        <v>1499.09</v>
      </c>
      <c r="J77" s="111" t="s">
        <v>139</v>
      </c>
      <c r="K77" s="111" t="s">
        <v>901</v>
      </c>
      <c r="L77" s="111" t="s">
        <v>103</v>
      </c>
      <c r="M77" s="111" t="s">
        <v>104</v>
      </c>
      <c r="N77" s="111" t="s">
        <v>824</v>
      </c>
      <c r="O77" s="111" t="s">
        <v>106</v>
      </c>
      <c r="P77" s="111" t="s">
        <v>141</v>
      </c>
      <c r="Q77" s="110" t="s">
        <v>133</v>
      </c>
      <c r="R77" s="110" t="s">
        <v>142</v>
      </c>
      <c r="S77" s="111" t="s">
        <v>825</v>
      </c>
      <c r="T77" s="111" t="s">
        <v>111</v>
      </c>
      <c r="U77" s="111" t="s">
        <v>103</v>
      </c>
      <c r="V77" s="118">
        <f t="shared" si="2"/>
        <v>-2.4531653641681719E-2</v>
      </c>
      <c r="W77" s="114" t="str">
        <f>IFERROR(I77-AVERAGEIFS(I$6:I76,J$6:J76,"ICIS / Platts",B$6:B76,B77),"")</f>
        <v/>
      </c>
      <c r="X77" s="110" t="s">
        <v>125</v>
      </c>
      <c r="Y77" s="117" t="str">
        <f t="shared" si="1"/>
        <v>OK</v>
      </c>
      <c r="Z77" s="111" t="s">
        <v>115</v>
      </c>
      <c r="AA77" s="111" t="s">
        <v>115</v>
      </c>
      <c r="AB77" s="111" t="s">
        <v>115</v>
      </c>
      <c r="AC77" s="111" t="s">
        <v>116</v>
      </c>
      <c r="AD77" s="111"/>
    </row>
    <row r="78" spans="2:30" ht="24.75" customHeight="1" x14ac:dyDescent="0.25">
      <c r="B78" s="108">
        <v>45054</v>
      </c>
      <c r="C78" s="109" t="s">
        <v>97</v>
      </c>
      <c r="D78" s="109">
        <v>19</v>
      </c>
      <c r="E78" s="110" t="str">
        <f t="shared" si="3"/>
        <v>20230508-073</v>
      </c>
      <c r="F78" s="111" t="s">
        <v>98</v>
      </c>
      <c r="G78" s="111" t="s">
        <v>99</v>
      </c>
      <c r="H78" s="112" t="s">
        <v>902</v>
      </c>
      <c r="I78" s="113">
        <v>1515</v>
      </c>
      <c r="J78" s="111" t="s">
        <v>101</v>
      </c>
      <c r="K78" s="111" t="s">
        <v>229</v>
      </c>
      <c r="L78" s="111" t="s">
        <v>103</v>
      </c>
      <c r="M78" s="111" t="s">
        <v>104</v>
      </c>
      <c r="N78" s="111" t="s">
        <v>824</v>
      </c>
      <c r="O78" s="111" t="s">
        <v>106</v>
      </c>
      <c r="P78" s="111" t="s">
        <v>107</v>
      </c>
      <c r="Q78" s="110" t="s">
        <v>108</v>
      </c>
      <c r="R78" s="110" t="s">
        <v>109</v>
      </c>
      <c r="S78" s="111" t="s">
        <v>825</v>
      </c>
      <c r="T78" s="111" t="s">
        <v>111</v>
      </c>
      <c r="U78" s="111" t="s">
        <v>103</v>
      </c>
      <c r="V78" s="118">
        <f t="shared" si="2"/>
        <v>-3.2894736842105261E-3</v>
      </c>
      <c r="W78" s="114" t="str">
        <f>IFERROR(I78-AVERAGEIFS(I$6:I77,J$6:J77,"ICIS / Platts",B$6:B77,B78),"")</f>
        <v/>
      </c>
      <c r="X78" s="110" t="s">
        <v>113</v>
      </c>
      <c r="Y78" s="117" t="str">
        <f t="shared" si="1"/>
        <v>OK</v>
      </c>
      <c r="Z78" s="111" t="s">
        <v>116</v>
      </c>
      <c r="AA78" s="111" t="s">
        <v>115</v>
      </c>
      <c r="AB78" s="111" t="s">
        <v>115</v>
      </c>
      <c r="AC78" s="111" t="s">
        <v>116</v>
      </c>
      <c r="AD78" s="111"/>
    </row>
    <row r="79" spans="2:30" ht="24.75" customHeight="1" x14ac:dyDescent="0.25">
      <c r="B79" s="115">
        <v>45055</v>
      </c>
      <c r="C79" s="116" t="s">
        <v>117</v>
      </c>
      <c r="D79" s="116">
        <v>19</v>
      </c>
      <c r="E79" s="110" t="str">
        <f t="shared" si="3"/>
        <v>20230509-074</v>
      </c>
      <c r="F79" s="111" t="s">
        <v>98</v>
      </c>
      <c r="G79" s="111" t="s">
        <v>99</v>
      </c>
      <c r="H79" s="112" t="s">
        <v>902</v>
      </c>
      <c r="I79" s="113">
        <v>1548.1</v>
      </c>
      <c r="J79" s="111" t="s">
        <v>118</v>
      </c>
      <c r="K79" s="111" t="s">
        <v>903</v>
      </c>
      <c r="L79" s="111" t="s">
        <v>103</v>
      </c>
      <c r="M79" s="111" t="s">
        <v>104</v>
      </c>
      <c r="N79" s="111" t="s">
        <v>827</v>
      </c>
      <c r="O79" s="111" t="s">
        <v>121</v>
      </c>
      <c r="P79" s="111" t="s">
        <v>132</v>
      </c>
      <c r="Q79" s="110" t="s">
        <v>123</v>
      </c>
      <c r="R79" s="110" t="s">
        <v>134</v>
      </c>
      <c r="S79" s="111" t="s">
        <v>825</v>
      </c>
      <c r="T79" s="111" t="s">
        <v>111</v>
      </c>
      <c r="U79" s="111" t="s">
        <v>103</v>
      </c>
      <c r="V79" s="118">
        <f t="shared" si="2"/>
        <v>2.4668559665879008E-2</v>
      </c>
      <c r="W79" s="114" t="str">
        <f>IFERROR(I79-AVERAGEIFS(I$6:I78,J$6:J78,"ICIS / Platts",B$6:B78,B79),"")</f>
        <v/>
      </c>
      <c r="X79" s="110" t="s">
        <v>125</v>
      </c>
      <c r="Y79" s="117" t="str">
        <f t="shared" si="1"/>
        <v>OK</v>
      </c>
      <c r="Z79" s="111" t="s">
        <v>116</v>
      </c>
      <c r="AA79" s="111" t="s">
        <v>115</v>
      </c>
      <c r="AB79" s="111" t="s">
        <v>115</v>
      </c>
      <c r="AC79" s="111" t="s">
        <v>116</v>
      </c>
      <c r="AD79" s="111"/>
    </row>
    <row r="80" spans="2:30" ht="24.75" customHeight="1" x14ac:dyDescent="0.25">
      <c r="B80" s="108">
        <v>45056</v>
      </c>
      <c r="C80" s="109" t="s">
        <v>126</v>
      </c>
      <c r="D80" s="109">
        <v>19</v>
      </c>
      <c r="E80" s="110" t="str">
        <f t="shared" si="3"/>
        <v>20230510-075</v>
      </c>
      <c r="F80" s="111" t="s">
        <v>98</v>
      </c>
      <c r="G80" s="111" t="s">
        <v>99</v>
      </c>
      <c r="H80" s="112" t="s">
        <v>902</v>
      </c>
      <c r="I80" s="113">
        <v>1526.33</v>
      </c>
      <c r="J80" s="111" t="s">
        <v>127</v>
      </c>
      <c r="K80" s="111" t="s">
        <v>904</v>
      </c>
      <c r="L80" s="111" t="s">
        <v>129</v>
      </c>
      <c r="M80" s="111" t="s">
        <v>104</v>
      </c>
      <c r="N80" s="111" t="s">
        <v>829</v>
      </c>
      <c r="O80" s="111" t="s">
        <v>131</v>
      </c>
      <c r="P80" s="111" t="s">
        <v>830</v>
      </c>
      <c r="Q80" s="110" t="s">
        <v>133</v>
      </c>
      <c r="R80" s="110" t="s">
        <v>831</v>
      </c>
      <c r="S80" s="111" t="s">
        <v>832</v>
      </c>
      <c r="T80" s="111" t="s">
        <v>136</v>
      </c>
      <c r="U80" s="111" t="s">
        <v>129</v>
      </c>
      <c r="V80" s="118">
        <f t="shared" si="2"/>
        <v>1.864140887042198E-3</v>
      </c>
      <c r="W80" s="114" t="str">
        <f>IFERROR(I80-AVERAGEIFS(I$6:I79,J$6:J79,"ICIS / Platts",B$6:B79,B80),"")</f>
        <v/>
      </c>
      <c r="X80" s="110" t="s">
        <v>137</v>
      </c>
      <c r="Y80" s="117" t="str">
        <f t="shared" si="1"/>
        <v>OK</v>
      </c>
      <c r="Z80" s="111" t="s">
        <v>116</v>
      </c>
      <c r="AA80" s="111" t="s">
        <v>115</v>
      </c>
      <c r="AB80" s="111" t="s">
        <v>115</v>
      </c>
      <c r="AC80" s="111" t="s">
        <v>116</v>
      </c>
      <c r="AD80" s="111"/>
    </row>
    <row r="81" spans="2:30" ht="24.75" customHeight="1" x14ac:dyDescent="0.25">
      <c r="B81" s="115">
        <v>45058</v>
      </c>
      <c r="C81" s="116" t="s">
        <v>138</v>
      </c>
      <c r="D81" s="116">
        <v>19</v>
      </c>
      <c r="E81" s="110" t="str">
        <f t="shared" si="3"/>
        <v>20230512-076</v>
      </c>
      <c r="F81" s="111" t="s">
        <v>98</v>
      </c>
      <c r="G81" s="111" t="s">
        <v>99</v>
      </c>
      <c r="H81" s="112" t="s">
        <v>902</v>
      </c>
      <c r="I81" s="113">
        <v>1511.88</v>
      </c>
      <c r="J81" s="111" t="s">
        <v>139</v>
      </c>
      <c r="K81" s="111" t="s">
        <v>905</v>
      </c>
      <c r="L81" s="111" t="s">
        <v>103</v>
      </c>
      <c r="M81" s="111" t="s">
        <v>104</v>
      </c>
      <c r="N81" s="111" t="s">
        <v>824</v>
      </c>
      <c r="O81" s="111" t="s">
        <v>106</v>
      </c>
      <c r="P81" s="111" t="s">
        <v>141</v>
      </c>
      <c r="Q81" s="110" t="s">
        <v>133</v>
      </c>
      <c r="R81" s="110" t="s">
        <v>142</v>
      </c>
      <c r="S81" s="111" t="s">
        <v>825</v>
      </c>
      <c r="T81" s="111" t="s">
        <v>111</v>
      </c>
      <c r="U81" s="111" t="s">
        <v>103</v>
      </c>
      <c r="V81" s="118">
        <f t="shared" si="2"/>
        <v>8.5318426512085276E-3</v>
      </c>
      <c r="W81" s="114" t="str">
        <f>IFERROR(I81-AVERAGEIFS(I$6:I80,J$6:J80,"ICIS / Platts",B$6:B80,B81),"")</f>
        <v/>
      </c>
      <c r="X81" s="110" t="s">
        <v>125</v>
      </c>
      <c r="Y81" s="117" t="str">
        <f t="shared" si="1"/>
        <v>OK</v>
      </c>
      <c r="Z81" s="111" t="s">
        <v>116</v>
      </c>
      <c r="AA81" s="111" t="s">
        <v>115</v>
      </c>
      <c r="AB81" s="111" t="s">
        <v>115</v>
      </c>
      <c r="AC81" s="111" t="s">
        <v>116</v>
      </c>
      <c r="AD81" s="111"/>
    </row>
    <row r="82" spans="2:30" ht="24.75" customHeight="1" x14ac:dyDescent="0.25">
      <c r="B82" s="108">
        <v>45061</v>
      </c>
      <c r="C82" s="109" t="s">
        <v>97</v>
      </c>
      <c r="D82" s="109">
        <v>20</v>
      </c>
      <c r="E82" s="110" t="str">
        <f t="shared" si="3"/>
        <v>20230515-077</v>
      </c>
      <c r="F82" s="111" t="s">
        <v>98</v>
      </c>
      <c r="G82" s="111" t="s">
        <v>99</v>
      </c>
      <c r="H82" s="112" t="s">
        <v>906</v>
      </c>
      <c r="I82" s="113">
        <v>1510</v>
      </c>
      <c r="J82" s="111" t="s">
        <v>101</v>
      </c>
      <c r="K82" s="111" t="s">
        <v>234</v>
      </c>
      <c r="L82" s="111" t="s">
        <v>103</v>
      </c>
      <c r="M82" s="111" t="s">
        <v>104</v>
      </c>
      <c r="N82" s="111" t="s">
        <v>824</v>
      </c>
      <c r="O82" s="111" t="s">
        <v>106</v>
      </c>
      <c r="P82" s="111" t="s">
        <v>107</v>
      </c>
      <c r="Q82" s="110" t="s">
        <v>108</v>
      </c>
      <c r="R82" s="110" t="s">
        <v>109</v>
      </c>
      <c r="S82" s="111" t="s">
        <v>825</v>
      </c>
      <c r="T82" s="111" t="s">
        <v>111</v>
      </c>
      <c r="U82" s="111" t="s">
        <v>103</v>
      </c>
      <c r="V82" s="118">
        <f t="shared" si="2"/>
        <v>-3.3003300330033004E-3</v>
      </c>
      <c r="W82" s="114" t="str">
        <f>IFERROR(I82-AVERAGEIFS(I$6:I81,J$6:J81,"ICIS / Platts",B$6:B81,B82),"")</f>
        <v/>
      </c>
      <c r="X82" s="110" t="s">
        <v>113</v>
      </c>
      <c r="Y82" s="117" t="str">
        <f t="shared" si="1"/>
        <v>OK</v>
      </c>
      <c r="Z82" s="111" t="s">
        <v>116</v>
      </c>
      <c r="AA82" s="111" t="s">
        <v>115</v>
      </c>
      <c r="AB82" s="111" t="s">
        <v>115</v>
      </c>
      <c r="AC82" s="111" t="s">
        <v>116</v>
      </c>
      <c r="AD82" s="111"/>
    </row>
    <row r="83" spans="2:30" ht="24.75" customHeight="1" x14ac:dyDescent="0.25">
      <c r="B83" s="115">
        <v>45062</v>
      </c>
      <c r="C83" s="116" t="s">
        <v>117</v>
      </c>
      <c r="D83" s="116">
        <v>20</v>
      </c>
      <c r="E83" s="110" t="str">
        <f t="shared" si="3"/>
        <v>20230516-078</v>
      </c>
      <c r="F83" s="111" t="s">
        <v>98</v>
      </c>
      <c r="G83" s="111" t="s">
        <v>99</v>
      </c>
      <c r="H83" s="112" t="s">
        <v>906</v>
      </c>
      <c r="I83" s="113">
        <v>1531.69</v>
      </c>
      <c r="J83" s="111" t="s">
        <v>118</v>
      </c>
      <c r="K83" s="111" t="s">
        <v>907</v>
      </c>
      <c r="L83" s="111" t="s">
        <v>103</v>
      </c>
      <c r="M83" s="111" t="s">
        <v>104</v>
      </c>
      <c r="N83" s="111" t="s">
        <v>827</v>
      </c>
      <c r="O83" s="111" t="s">
        <v>121</v>
      </c>
      <c r="P83" s="111" t="s">
        <v>132</v>
      </c>
      <c r="Q83" s="110" t="s">
        <v>123</v>
      </c>
      <c r="R83" s="110" t="s">
        <v>134</v>
      </c>
      <c r="S83" s="111" t="s">
        <v>825</v>
      </c>
      <c r="T83" s="111" t="s">
        <v>111</v>
      </c>
      <c r="U83" s="111" t="s">
        <v>103</v>
      </c>
      <c r="V83" s="118">
        <f t="shared" si="2"/>
        <v>-1.0600090433434439E-2</v>
      </c>
      <c r="W83" s="114" t="str">
        <f>IFERROR(I83-AVERAGEIFS(I$6:I82,J$6:J82,"ICIS / Platts",B$6:B82,B83),"")</f>
        <v/>
      </c>
      <c r="X83" s="110" t="s">
        <v>125</v>
      </c>
      <c r="Y83" s="117" t="str">
        <f t="shared" si="1"/>
        <v>OK</v>
      </c>
      <c r="Z83" s="111" t="s">
        <v>116</v>
      </c>
      <c r="AA83" s="111" t="s">
        <v>115</v>
      </c>
      <c r="AB83" s="111" t="s">
        <v>115</v>
      </c>
      <c r="AC83" s="111" t="s">
        <v>116</v>
      </c>
      <c r="AD83" s="111"/>
    </row>
    <row r="84" spans="2:30" ht="24.75" customHeight="1" x14ac:dyDescent="0.25">
      <c r="B84" s="108">
        <v>45063</v>
      </c>
      <c r="C84" s="109" t="s">
        <v>126</v>
      </c>
      <c r="D84" s="109">
        <v>20</v>
      </c>
      <c r="E84" s="110" t="str">
        <f t="shared" si="3"/>
        <v>20230517-079</v>
      </c>
      <c r="F84" s="111" t="s">
        <v>98</v>
      </c>
      <c r="G84" s="111" t="s">
        <v>99</v>
      </c>
      <c r="H84" s="112" t="s">
        <v>906</v>
      </c>
      <c r="I84" s="113">
        <v>1493.88</v>
      </c>
      <c r="J84" s="111" t="s">
        <v>127</v>
      </c>
      <c r="K84" s="111" t="s">
        <v>908</v>
      </c>
      <c r="L84" s="111" t="s">
        <v>129</v>
      </c>
      <c r="M84" s="111" t="s">
        <v>104</v>
      </c>
      <c r="N84" s="111" t="s">
        <v>829</v>
      </c>
      <c r="O84" s="111" t="s">
        <v>131</v>
      </c>
      <c r="P84" s="111" t="s">
        <v>830</v>
      </c>
      <c r="Q84" s="110" t="s">
        <v>133</v>
      </c>
      <c r="R84" s="110" t="s">
        <v>831</v>
      </c>
      <c r="S84" s="111" t="s">
        <v>832</v>
      </c>
      <c r="T84" s="111" t="s">
        <v>136</v>
      </c>
      <c r="U84" s="111" t="s">
        <v>129</v>
      </c>
      <c r="V84" s="118">
        <f t="shared" si="2"/>
        <v>-2.1260146888287472E-2</v>
      </c>
      <c r="W84" s="114" t="str">
        <f>IFERROR(I84-AVERAGEIFS(I$6:I83,J$6:J83,"ICIS / Platts",B$6:B83,B84),"")</f>
        <v/>
      </c>
      <c r="X84" s="110" t="s">
        <v>137</v>
      </c>
      <c r="Y84" s="117" t="str">
        <f t="shared" si="1"/>
        <v>OK</v>
      </c>
      <c r="Z84" s="111" t="s">
        <v>116</v>
      </c>
      <c r="AA84" s="111" t="s">
        <v>115</v>
      </c>
      <c r="AB84" s="111" t="s">
        <v>115</v>
      </c>
      <c r="AC84" s="111" t="s">
        <v>116</v>
      </c>
      <c r="AD84" s="111"/>
    </row>
    <row r="85" spans="2:30" ht="24.75" customHeight="1" x14ac:dyDescent="0.25">
      <c r="B85" s="115">
        <v>45065</v>
      </c>
      <c r="C85" s="116" t="s">
        <v>138</v>
      </c>
      <c r="D85" s="116">
        <v>20</v>
      </c>
      <c r="E85" s="110" t="str">
        <f t="shared" si="3"/>
        <v>20230519-080</v>
      </c>
      <c r="F85" s="111" t="s">
        <v>98</v>
      </c>
      <c r="G85" s="111" t="s">
        <v>99</v>
      </c>
      <c r="H85" s="112" t="s">
        <v>906</v>
      </c>
      <c r="I85" s="113">
        <v>1490.15</v>
      </c>
      <c r="J85" s="111" t="s">
        <v>139</v>
      </c>
      <c r="K85" s="111" t="s">
        <v>909</v>
      </c>
      <c r="L85" s="111" t="s">
        <v>103</v>
      </c>
      <c r="M85" s="111" t="s">
        <v>104</v>
      </c>
      <c r="N85" s="111" t="s">
        <v>824</v>
      </c>
      <c r="O85" s="111" t="s">
        <v>106</v>
      </c>
      <c r="P85" s="111" t="s">
        <v>141</v>
      </c>
      <c r="Q85" s="110" t="s">
        <v>133</v>
      </c>
      <c r="R85" s="110" t="s">
        <v>142</v>
      </c>
      <c r="S85" s="111" t="s">
        <v>825</v>
      </c>
      <c r="T85" s="111" t="s">
        <v>111</v>
      </c>
      <c r="U85" s="111" t="s">
        <v>103</v>
      </c>
      <c r="V85" s="118">
        <f t="shared" si="2"/>
        <v>-1.437283382279018E-2</v>
      </c>
      <c r="W85" s="114" t="str">
        <f>IFERROR(I85-AVERAGEIFS(I$6:I84,J$6:J84,"ICIS / Platts",B$6:B84,B85),"")</f>
        <v/>
      </c>
      <c r="X85" s="110" t="s">
        <v>125</v>
      </c>
      <c r="Y85" s="117" t="str">
        <f t="shared" ref="Y85:Y148" si="4">IFERROR(IF(ABS(I85-AVERAGE(I77:I84))/AVERAGE(I77:I84)&gt;0.1,"⚠ CHECK","OK"),"OK")</f>
        <v>OK</v>
      </c>
      <c r="Z85" s="111" t="s">
        <v>116</v>
      </c>
      <c r="AA85" s="111" t="s">
        <v>115</v>
      </c>
      <c r="AB85" s="111" t="s">
        <v>115</v>
      </c>
      <c r="AC85" s="111" t="s">
        <v>116</v>
      </c>
      <c r="AD85" s="111"/>
    </row>
    <row r="86" spans="2:30" ht="24.75" customHeight="1" x14ac:dyDescent="0.25">
      <c r="B86" s="108">
        <v>45068</v>
      </c>
      <c r="C86" s="109" t="s">
        <v>97</v>
      </c>
      <c r="D86" s="109">
        <v>21</v>
      </c>
      <c r="E86" s="110" t="str">
        <f t="shared" si="3"/>
        <v>20230522-081</v>
      </c>
      <c r="F86" s="111" t="s">
        <v>98</v>
      </c>
      <c r="G86" s="111" t="s">
        <v>99</v>
      </c>
      <c r="H86" s="112" t="s">
        <v>910</v>
      </c>
      <c r="I86" s="113">
        <v>1512</v>
      </c>
      <c r="J86" s="111" t="s">
        <v>101</v>
      </c>
      <c r="K86" s="111" t="s">
        <v>239</v>
      </c>
      <c r="L86" s="111" t="s">
        <v>103</v>
      </c>
      <c r="M86" s="111" t="s">
        <v>104</v>
      </c>
      <c r="N86" s="111" t="s">
        <v>824</v>
      </c>
      <c r="O86" s="111" t="s">
        <v>106</v>
      </c>
      <c r="P86" s="111" t="s">
        <v>107</v>
      </c>
      <c r="Q86" s="110" t="s">
        <v>108</v>
      </c>
      <c r="R86" s="110" t="s">
        <v>109</v>
      </c>
      <c r="S86" s="111" t="s">
        <v>825</v>
      </c>
      <c r="T86" s="111" t="s">
        <v>111</v>
      </c>
      <c r="U86" s="111" t="s">
        <v>103</v>
      </c>
      <c r="V86" s="118">
        <f t="shared" si="2"/>
        <v>1.3245033112582781E-3</v>
      </c>
      <c r="W86" s="114" t="str">
        <f>IFERROR(I86-AVERAGEIFS(I$6:I85,J$6:J85,"ICIS / Platts",B$6:B85,B86),"")</f>
        <v/>
      </c>
      <c r="X86" s="110" t="s">
        <v>113</v>
      </c>
      <c r="Y86" s="117" t="str">
        <f t="shared" si="4"/>
        <v>OK</v>
      </c>
      <c r="Z86" s="111" t="s">
        <v>115</v>
      </c>
      <c r="AA86" s="111" t="s">
        <v>115</v>
      </c>
      <c r="AB86" s="111" t="s">
        <v>116</v>
      </c>
      <c r="AC86" s="111" t="s">
        <v>115</v>
      </c>
      <c r="AD86" s="111"/>
    </row>
    <row r="87" spans="2:30" ht="24.75" customHeight="1" x14ac:dyDescent="0.25">
      <c r="B87" s="115">
        <v>45069</v>
      </c>
      <c r="C87" s="116" t="s">
        <v>117</v>
      </c>
      <c r="D87" s="116">
        <v>21</v>
      </c>
      <c r="E87" s="110" t="str">
        <f t="shared" si="3"/>
        <v>20230523-082</v>
      </c>
      <c r="F87" s="111" t="s">
        <v>98</v>
      </c>
      <c r="G87" s="111" t="s">
        <v>99</v>
      </c>
      <c r="H87" s="112" t="s">
        <v>910</v>
      </c>
      <c r="I87" s="113">
        <v>1541.25</v>
      </c>
      <c r="J87" s="111" t="s">
        <v>118</v>
      </c>
      <c r="K87" s="111" t="s">
        <v>911</v>
      </c>
      <c r="L87" s="111" t="s">
        <v>103</v>
      </c>
      <c r="M87" s="111" t="s">
        <v>104</v>
      </c>
      <c r="N87" s="111" t="s">
        <v>827</v>
      </c>
      <c r="O87" s="111" t="s">
        <v>121</v>
      </c>
      <c r="P87" s="111" t="s">
        <v>132</v>
      </c>
      <c r="Q87" s="110" t="s">
        <v>123</v>
      </c>
      <c r="R87" s="110" t="s">
        <v>134</v>
      </c>
      <c r="S87" s="111" t="s">
        <v>825</v>
      </c>
      <c r="T87" s="111" t="s">
        <v>111</v>
      </c>
      <c r="U87" s="111" t="s">
        <v>103</v>
      </c>
      <c r="V87" s="118">
        <f t="shared" si="2"/>
        <v>6.2414718382962251E-3</v>
      </c>
      <c r="W87" s="114" t="str">
        <f>IFERROR(I87-AVERAGEIFS(I$6:I86,J$6:J86,"ICIS / Platts",B$6:B86,B87),"")</f>
        <v/>
      </c>
      <c r="X87" s="110" t="s">
        <v>125</v>
      </c>
      <c r="Y87" s="117" t="str">
        <f t="shared" si="4"/>
        <v>OK</v>
      </c>
      <c r="Z87" s="111" t="s">
        <v>115</v>
      </c>
      <c r="AA87" s="111" t="s">
        <v>115</v>
      </c>
      <c r="AB87" s="111" t="s">
        <v>116</v>
      </c>
      <c r="AC87" s="111" t="s">
        <v>115</v>
      </c>
      <c r="AD87" s="111"/>
    </row>
    <row r="88" spans="2:30" ht="24.75" customHeight="1" x14ac:dyDescent="0.25">
      <c r="B88" s="108">
        <v>45070</v>
      </c>
      <c r="C88" s="109" t="s">
        <v>126</v>
      </c>
      <c r="D88" s="109">
        <v>21</v>
      </c>
      <c r="E88" s="110" t="str">
        <f t="shared" si="3"/>
        <v>20230524-083</v>
      </c>
      <c r="F88" s="111" t="s">
        <v>98</v>
      </c>
      <c r="G88" s="111" t="s">
        <v>99</v>
      </c>
      <c r="H88" s="112" t="s">
        <v>910</v>
      </c>
      <c r="I88" s="113">
        <v>1499.68</v>
      </c>
      <c r="J88" s="111" t="s">
        <v>127</v>
      </c>
      <c r="K88" s="111" t="s">
        <v>912</v>
      </c>
      <c r="L88" s="111" t="s">
        <v>129</v>
      </c>
      <c r="M88" s="111" t="s">
        <v>104</v>
      </c>
      <c r="N88" s="111" t="s">
        <v>829</v>
      </c>
      <c r="O88" s="111" t="s">
        <v>131</v>
      </c>
      <c r="P88" s="111" t="s">
        <v>830</v>
      </c>
      <c r="Q88" s="110" t="s">
        <v>133</v>
      </c>
      <c r="R88" s="110" t="s">
        <v>831</v>
      </c>
      <c r="S88" s="111" t="s">
        <v>832</v>
      </c>
      <c r="T88" s="111" t="s">
        <v>136</v>
      </c>
      <c r="U88" s="111" t="s">
        <v>129</v>
      </c>
      <c r="V88" s="118">
        <f t="shared" si="2"/>
        <v>3.8825072964360952E-3</v>
      </c>
      <c r="W88" s="114" t="str">
        <f>IFERROR(I88-AVERAGEIFS(I$6:I87,J$6:J87,"ICIS / Platts",B$6:B87,B88),"")</f>
        <v/>
      </c>
      <c r="X88" s="110" t="s">
        <v>137</v>
      </c>
      <c r="Y88" s="117" t="str">
        <f t="shared" si="4"/>
        <v>OK</v>
      </c>
      <c r="Z88" s="111" t="s">
        <v>115</v>
      </c>
      <c r="AA88" s="111" t="s">
        <v>115</v>
      </c>
      <c r="AB88" s="111" t="s">
        <v>116</v>
      </c>
      <c r="AC88" s="111" t="s">
        <v>115</v>
      </c>
      <c r="AD88" s="111"/>
    </row>
    <row r="89" spans="2:30" ht="24.75" customHeight="1" x14ac:dyDescent="0.25">
      <c r="B89" s="115">
        <v>45072</v>
      </c>
      <c r="C89" s="116" t="s">
        <v>138</v>
      </c>
      <c r="D89" s="116">
        <v>21</v>
      </c>
      <c r="E89" s="110" t="str">
        <f t="shared" si="3"/>
        <v>20230526-084</v>
      </c>
      <c r="F89" s="111" t="s">
        <v>98</v>
      </c>
      <c r="G89" s="111" t="s">
        <v>99</v>
      </c>
      <c r="H89" s="112" t="s">
        <v>910</v>
      </c>
      <c r="I89" s="113">
        <v>1495.63</v>
      </c>
      <c r="J89" s="111" t="s">
        <v>139</v>
      </c>
      <c r="K89" s="111" t="s">
        <v>913</v>
      </c>
      <c r="L89" s="111" t="s">
        <v>103</v>
      </c>
      <c r="M89" s="111" t="s">
        <v>104</v>
      </c>
      <c r="N89" s="111" t="s">
        <v>824</v>
      </c>
      <c r="O89" s="111" t="s">
        <v>106</v>
      </c>
      <c r="P89" s="111" t="s">
        <v>141</v>
      </c>
      <c r="Q89" s="110" t="s">
        <v>133</v>
      </c>
      <c r="R89" s="110" t="s">
        <v>142</v>
      </c>
      <c r="S89" s="111" t="s">
        <v>825</v>
      </c>
      <c r="T89" s="111" t="s">
        <v>111</v>
      </c>
      <c r="U89" s="111" t="s">
        <v>103</v>
      </c>
      <c r="V89" s="118">
        <f t="shared" si="2"/>
        <v>3.6774821326712196E-3</v>
      </c>
      <c r="W89" s="114" t="str">
        <f>IFERROR(I89-AVERAGEIFS(I$6:I88,J$6:J88,"ICIS / Platts",B$6:B88,B89),"")</f>
        <v/>
      </c>
      <c r="X89" s="110" t="s">
        <v>125</v>
      </c>
      <c r="Y89" s="117" t="str">
        <f t="shared" si="4"/>
        <v>OK</v>
      </c>
      <c r="Z89" s="111" t="s">
        <v>115</v>
      </c>
      <c r="AA89" s="111" t="s">
        <v>115</v>
      </c>
      <c r="AB89" s="111" t="s">
        <v>116</v>
      </c>
      <c r="AC89" s="111" t="s">
        <v>115</v>
      </c>
      <c r="AD89" s="111"/>
    </row>
    <row r="90" spans="2:30" ht="24.75" customHeight="1" x14ac:dyDescent="0.25">
      <c r="B90" s="108">
        <v>45075</v>
      </c>
      <c r="C90" s="109" t="s">
        <v>97</v>
      </c>
      <c r="D90" s="109">
        <v>22</v>
      </c>
      <c r="E90" s="110" t="str">
        <f t="shared" si="3"/>
        <v>20230529-085</v>
      </c>
      <c r="F90" s="111" t="s">
        <v>98</v>
      </c>
      <c r="G90" s="111" t="s">
        <v>99</v>
      </c>
      <c r="H90" s="112" t="s">
        <v>914</v>
      </c>
      <c r="I90" s="113">
        <v>1518</v>
      </c>
      <c r="J90" s="111" t="s">
        <v>101</v>
      </c>
      <c r="K90" s="111" t="s">
        <v>244</v>
      </c>
      <c r="L90" s="111" t="s">
        <v>103</v>
      </c>
      <c r="M90" s="111" t="s">
        <v>104</v>
      </c>
      <c r="N90" s="111" t="s">
        <v>824</v>
      </c>
      <c r="O90" s="111" t="s">
        <v>106</v>
      </c>
      <c r="P90" s="111" t="s">
        <v>107</v>
      </c>
      <c r="Q90" s="110" t="s">
        <v>108</v>
      </c>
      <c r="R90" s="110" t="s">
        <v>109</v>
      </c>
      <c r="S90" s="111" t="s">
        <v>825</v>
      </c>
      <c r="T90" s="111" t="s">
        <v>111</v>
      </c>
      <c r="U90" s="111" t="s">
        <v>103</v>
      </c>
      <c r="V90" s="118">
        <f t="shared" si="2"/>
        <v>3.968253968253968E-3</v>
      </c>
      <c r="W90" s="114" t="str">
        <f>IFERROR(I90-AVERAGEIFS(I$6:I89,J$6:J89,"ICIS / Platts",B$6:B89,B90),"")</f>
        <v/>
      </c>
      <c r="X90" s="110" t="s">
        <v>113</v>
      </c>
      <c r="Y90" s="117" t="str">
        <f t="shared" si="4"/>
        <v>OK</v>
      </c>
      <c r="Z90" s="111" t="s">
        <v>115</v>
      </c>
      <c r="AA90" s="111" t="s">
        <v>115</v>
      </c>
      <c r="AB90" s="111" t="s">
        <v>116</v>
      </c>
      <c r="AC90" s="111" t="s">
        <v>115</v>
      </c>
      <c r="AD90" s="111"/>
    </row>
    <row r="91" spans="2:30" ht="24.75" customHeight="1" x14ac:dyDescent="0.25">
      <c r="B91" s="115">
        <v>45076</v>
      </c>
      <c r="C91" s="116" t="s">
        <v>117</v>
      </c>
      <c r="D91" s="116">
        <v>22</v>
      </c>
      <c r="E91" s="110" t="str">
        <f t="shared" si="3"/>
        <v>20230530-086</v>
      </c>
      <c r="F91" s="111" t="s">
        <v>98</v>
      </c>
      <c r="G91" s="111" t="s">
        <v>99</v>
      </c>
      <c r="H91" s="112" t="s">
        <v>914</v>
      </c>
      <c r="I91" s="113">
        <v>1511.63</v>
      </c>
      <c r="J91" s="111" t="s">
        <v>118</v>
      </c>
      <c r="K91" s="111" t="s">
        <v>915</v>
      </c>
      <c r="L91" s="111" t="s">
        <v>103</v>
      </c>
      <c r="M91" s="111" t="s">
        <v>104</v>
      </c>
      <c r="N91" s="111" t="s">
        <v>827</v>
      </c>
      <c r="O91" s="111" t="s">
        <v>121</v>
      </c>
      <c r="P91" s="111" t="s">
        <v>132</v>
      </c>
      <c r="Q91" s="110" t="s">
        <v>123</v>
      </c>
      <c r="R91" s="110" t="s">
        <v>134</v>
      </c>
      <c r="S91" s="111" t="s">
        <v>825</v>
      </c>
      <c r="T91" s="111" t="s">
        <v>111</v>
      </c>
      <c r="U91" s="111" t="s">
        <v>103</v>
      </c>
      <c r="V91" s="118">
        <f t="shared" si="2"/>
        <v>-1.9218167072181599E-2</v>
      </c>
      <c r="W91" s="114" t="str">
        <f>IFERROR(I91-AVERAGEIFS(I$6:I90,J$6:J90,"ICIS / Platts",B$6:B90,B91),"")</f>
        <v/>
      </c>
      <c r="X91" s="110" t="s">
        <v>125</v>
      </c>
      <c r="Y91" s="117" t="str">
        <f t="shared" si="4"/>
        <v>OK</v>
      </c>
      <c r="Z91" s="111" t="s">
        <v>115</v>
      </c>
      <c r="AA91" s="111" t="s">
        <v>115</v>
      </c>
      <c r="AB91" s="111" t="s">
        <v>116</v>
      </c>
      <c r="AC91" s="111" t="s">
        <v>115</v>
      </c>
      <c r="AD91" s="111"/>
    </row>
    <row r="92" spans="2:30" ht="24.75" customHeight="1" x14ac:dyDescent="0.25">
      <c r="B92" s="108">
        <v>45077</v>
      </c>
      <c r="C92" s="109" t="s">
        <v>126</v>
      </c>
      <c r="D92" s="109">
        <v>22</v>
      </c>
      <c r="E92" s="110" t="str">
        <f t="shared" si="3"/>
        <v>20230531-087</v>
      </c>
      <c r="F92" s="111" t="s">
        <v>98</v>
      </c>
      <c r="G92" s="111" t="s">
        <v>99</v>
      </c>
      <c r="H92" s="112" t="s">
        <v>914</v>
      </c>
      <c r="I92" s="113">
        <v>1518.39</v>
      </c>
      <c r="J92" s="111" t="s">
        <v>127</v>
      </c>
      <c r="K92" s="111" t="s">
        <v>916</v>
      </c>
      <c r="L92" s="111" t="s">
        <v>129</v>
      </c>
      <c r="M92" s="111" t="s">
        <v>104</v>
      </c>
      <c r="N92" s="111" t="s">
        <v>829</v>
      </c>
      <c r="O92" s="111" t="s">
        <v>131</v>
      </c>
      <c r="P92" s="111" t="s">
        <v>830</v>
      </c>
      <c r="Q92" s="110" t="s">
        <v>133</v>
      </c>
      <c r="R92" s="110" t="s">
        <v>831</v>
      </c>
      <c r="S92" s="111" t="s">
        <v>832</v>
      </c>
      <c r="T92" s="111" t="s">
        <v>136</v>
      </c>
      <c r="U92" s="111" t="s">
        <v>129</v>
      </c>
      <c r="V92" s="118">
        <f t="shared" si="2"/>
        <v>1.2475994878907524E-2</v>
      </c>
      <c r="W92" s="114" t="str">
        <f>IFERROR(I92-AVERAGEIFS(I$6:I91,J$6:J91,"ICIS / Platts",B$6:B91,B92),"")</f>
        <v/>
      </c>
      <c r="X92" s="110" t="s">
        <v>137</v>
      </c>
      <c r="Y92" s="117" t="str">
        <f t="shared" si="4"/>
        <v>OK</v>
      </c>
      <c r="Z92" s="111" t="s">
        <v>115</v>
      </c>
      <c r="AA92" s="111" t="s">
        <v>115</v>
      </c>
      <c r="AB92" s="111" t="s">
        <v>116</v>
      </c>
      <c r="AC92" s="111" t="s">
        <v>115</v>
      </c>
      <c r="AD92" s="111"/>
    </row>
    <row r="93" spans="2:30" ht="24.75" customHeight="1" x14ac:dyDescent="0.25">
      <c r="B93" s="115">
        <v>45079</v>
      </c>
      <c r="C93" s="116" t="s">
        <v>138</v>
      </c>
      <c r="D93" s="116">
        <v>22</v>
      </c>
      <c r="E93" s="110" t="str">
        <f t="shared" si="3"/>
        <v>20230602-088</v>
      </c>
      <c r="F93" s="111" t="s">
        <v>98</v>
      </c>
      <c r="G93" s="111" t="s">
        <v>99</v>
      </c>
      <c r="H93" s="112" t="s">
        <v>914</v>
      </c>
      <c r="I93" s="113">
        <v>1500.97</v>
      </c>
      <c r="J93" s="111" t="s">
        <v>139</v>
      </c>
      <c r="K93" s="111" t="s">
        <v>917</v>
      </c>
      <c r="L93" s="111" t="s">
        <v>103</v>
      </c>
      <c r="M93" s="111" t="s">
        <v>104</v>
      </c>
      <c r="N93" s="111" t="s">
        <v>824</v>
      </c>
      <c r="O93" s="111" t="s">
        <v>106</v>
      </c>
      <c r="P93" s="111" t="s">
        <v>141</v>
      </c>
      <c r="Q93" s="110" t="s">
        <v>133</v>
      </c>
      <c r="R93" s="110" t="s">
        <v>142</v>
      </c>
      <c r="S93" s="111" t="s">
        <v>825</v>
      </c>
      <c r="T93" s="111" t="s">
        <v>111</v>
      </c>
      <c r="U93" s="111" t="s">
        <v>103</v>
      </c>
      <c r="V93" s="118">
        <f t="shared" si="2"/>
        <v>3.57040177049131E-3</v>
      </c>
      <c r="W93" s="114" t="str">
        <f>IFERROR(I93-AVERAGEIFS(I$6:I92,J$6:J92,"ICIS / Platts",B$6:B92,B93),"")</f>
        <v/>
      </c>
      <c r="X93" s="110" t="s">
        <v>125</v>
      </c>
      <c r="Y93" s="117" t="str">
        <f t="shared" si="4"/>
        <v>OK</v>
      </c>
      <c r="Z93" s="111" t="s">
        <v>115</v>
      </c>
      <c r="AA93" s="111" t="s">
        <v>115</v>
      </c>
      <c r="AB93" s="111" t="s">
        <v>116</v>
      </c>
      <c r="AC93" s="111" t="s">
        <v>115</v>
      </c>
      <c r="AD93" s="111"/>
    </row>
    <row r="94" spans="2:30" ht="24.75" customHeight="1" x14ac:dyDescent="0.25">
      <c r="B94" s="108">
        <v>45082</v>
      </c>
      <c r="C94" s="109" t="s">
        <v>97</v>
      </c>
      <c r="D94" s="109">
        <v>23</v>
      </c>
      <c r="E94" s="110" t="str">
        <f t="shared" si="3"/>
        <v>20230605-089</v>
      </c>
      <c r="F94" s="111" t="s">
        <v>98</v>
      </c>
      <c r="G94" s="111" t="s">
        <v>99</v>
      </c>
      <c r="H94" s="112" t="s">
        <v>918</v>
      </c>
      <c r="I94" s="113">
        <v>1515</v>
      </c>
      <c r="J94" s="111" t="s">
        <v>101</v>
      </c>
      <c r="K94" s="111" t="s">
        <v>249</v>
      </c>
      <c r="L94" s="111" t="s">
        <v>103</v>
      </c>
      <c r="M94" s="111" t="s">
        <v>104</v>
      </c>
      <c r="N94" s="111" t="s">
        <v>824</v>
      </c>
      <c r="O94" s="111" t="s">
        <v>106</v>
      </c>
      <c r="P94" s="111" t="s">
        <v>107</v>
      </c>
      <c r="Q94" s="110" t="s">
        <v>108</v>
      </c>
      <c r="R94" s="110" t="s">
        <v>109</v>
      </c>
      <c r="S94" s="111" t="s">
        <v>825</v>
      </c>
      <c r="T94" s="111" t="s">
        <v>111</v>
      </c>
      <c r="U94" s="111" t="s">
        <v>103</v>
      </c>
      <c r="V94" s="118">
        <f t="shared" si="2"/>
        <v>-1.976284584980237E-3</v>
      </c>
      <c r="W94" s="114" t="str">
        <f>IFERROR(I94-AVERAGEIFS(I$6:I93,J$6:J93,"ICIS / Platts",B$6:B93,B94),"")</f>
        <v/>
      </c>
      <c r="X94" s="110" t="s">
        <v>113</v>
      </c>
      <c r="Y94" s="117" t="str">
        <f t="shared" si="4"/>
        <v>OK</v>
      </c>
      <c r="Z94" s="111" t="s">
        <v>115</v>
      </c>
      <c r="AA94" s="111" t="s">
        <v>115</v>
      </c>
      <c r="AB94" s="111" t="s">
        <v>115</v>
      </c>
      <c r="AC94" s="111" t="s">
        <v>116</v>
      </c>
      <c r="AD94" s="111"/>
    </row>
    <row r="95" spans="2:30" ht="24.75" customHeight="1" x14ac:dyDescent="0.25">
      <c r="B95" s="115">
        <v>45083</v>
      </c>
      <c r="C95" s="116" t="s">
        <v>117</v>
      </c>
      <c r="D95" s="116">
        <v>23</v>
      </c>
      <c r="E95" s="110" t="str">
        <f t="shared" si="3"/>
        <v>20230606-090</v>
      </c>
      <c r="F95" s="111" t="s">
        <v>98</v>
      </c>
      <c r="G95" s="111" t="s">
        <v>99</v>
      </c>
      <c r="H95" s="112" t="s">
        <v>918</v>
      </c>
      <c r="I95" s="113">
        <v>1563.89</v>
      </c>
      <c r="J95" s="111" t="s">
        <v>118</v>
      </c>
      <c r="K95" s="111" t="s">
        <v>919</v>
      </c>
      <c r="L95" s="111" t="s">
        <v>103</v>
      </c>
      <c r="M95" s="111" t="s">
        <v>104</v>
      </c>
      <c r="N95" s="111" t="s">
        <v>827</v>
      </c>
      <c r="O95" s="111" t="s">
        <v>121</v>
      </c>
      <c r="P95" s="111" t="s">
        <v>132</v>
      </c>
      <c r="Q95" s="110" t="s">
        <v>123</v>
      </c>
      <c r="R95" s="110" t="s">
        <v>134</v>
      </c>
      <c r="S95" s="111" t="s">
        <v>825</v>
      </c>
      <c r="T95" s="111" t="s">
        <v>111</v>
      </c>
      <c r="U95" s="111" t="s">
        <v>103</v>
      </c>
      <c r="V95" s="118">
        <f t="shared" ref="V95:V158" si="5">IFERROR((I95-I91)/I91,"")</f>
        <v>3.4571952131143197E-2</v>
      </c>
      <c r="W95" s="114" t="str">
        <f>IFERROR(I95-AVERAGEIFS(I$6:I94,J$6:J94,"ICIS / Platts",B$6:B94,B95),"")</f>
        <v/>
      </c>
      <c r="X95" s="110" t="s">
        <v>125</v>
      </c>
      <c r="Y95" s="117" t="str">
        <f t="shared" si="4"/>
        <v>OK</v>
      </c>
      <c r="Z95" s="111" t="s">
        <v>115</v>
      </c>
      <c r="AA95" s="111" t="s">
        <v>115</v>
      </c>
      <c r="AB95" s="111" t="s">
        <v>115</v>
      </c>
      <c r="AC95" s="111" t="s">
        <v>116</v>
      </c>
      <c r="AD95" s="111"/>
    </row>
    <row r="96" spans="2:30" ht="24.75" customHeight="1" x14ac:dyDescent="0.25">
      <c r="B96" s="108">
        <v>45084</v>
      </c>
      <c r="C96" s="109" t="s">
        <v>126</v>
      </c>
      <c r="D96" s="109">
        <v>23</v>
      </c>
      <c r="E96" s="110" t="str">
        <f t="shared" si="3"/>
        <v>20230607-091</v>
      </c>
      <c r="F96" s="111" t="s">
        <v>98</v>
      </c>
      <c r="G96" s="111" t="s">
        <v>99</v>
      </c>
      <c r="H96" s="112" t="s">
        <v>918</v>
      </c>
      <c r="I96" s="113">
        <v>1541.01</v>
      </c>
      <c r="J96" s="111" t="s">
        <v>127</v>
      </c>
      <c r="K96" s="111" t="s">
        <v>920</v>
      </c>
      <c r="L96" s="111" t="s">
        <v>129</v>
      </c>
      <c r="M96" s="111" t="s">
        <v>104</v>
      </c>
      <c r="N96" s="111" t="s">
        <v>829</v>
      </c>
      <c r="O96" s="111" t="s">
        <v>131</v>
      </c>
      <c r="P96" s="111" t="s">
        <v>830</v>
      </c>
      <c r="Q96" s="110" t="s">
        <v>133</v>
      </c>
      <c r="R96" s="110" t="s">
        <v>831</v>
      </c>
      <c r="S96" s="111" t="s">
        <v>832</v>
      </c>
      <c r="T96" s="111" t="s">
        <v>136</v>
      </c>
      <c r="U96" s="111" t="s">
        <v>129</v>
      </c>
      <c r="V96" s="118">
        <f t="shared" si="5"/>
        <v>1.4897358386185295E-2</v>
      </c>
      <c r="W96" s="114" t="str">
        <f>IFERROR(I96-AVERAGEIFS(I$6:I95,J$6:J95,"ICIS / Platts",B$6:B95,B96),"")</f>
        <v/>
      </c>
      <c r="X96" s="110" t="s">
        <v>137</v>
      </c>
      <c r="Y96" s="117" t="str">
        <f t="shared" si="4"/>
        <v>OK</v>
      </c>
      <c r="Z96" s="111" t="s">
        <v>115</v>
      </c>
      <c r="AA96" s="111" t="s">
        <v>115</v>
      </c>
      <c r="AB96" s="111" t="s">
        <v>115</v>
      </c>
      <c r="AC96" s="111" t="s">
        <v>116</v>
      </c>
      <c r="AD96" s="111"/>
    </row>
    <row r="97" spans="2:30" ht="24.75" customHeight="1" x14ac:dyDescent="0.25">
      <c r="B97" s="115">
        <v>45086</v>
      </c>
      <c r="C97" s="116" t="s">
        <v>138</v>
      </c>
      <c r="D97" s="116">
        <v>23</v>
      </c>
      <c r="E97" s="110" t="str">
        <f t="shared" si="3"/>
        <v>20230609-092</v>
      </c>
      <c r="F97" s="111" t="s">
        <v>98</v>
      </c>
      <c r="G97" s="111" t="s">
        <v>99</v>
      </c>
      <c r="H97" s="112" t="s">
        <v>918</v>
      </c>
      <c r="I97" s="113">
        <v>1544.54</v>
      </c>
      <c r="J97" s="111" t="s">
        <v>139</v>
      </c>
      <c r="K97" s="111" t="s">
        <v>921</v>
      </c>
      <c r="L97" s="111" t="s">
        <v>103</v>
      </c>
      <c r="M97" s="111" t="s">
        <v>104</v>
      </c>
      <c r="N97" s="111" t="s">
        <v>824</v>
      </c>
      <c r="O97" s="111" t="s">
        <v>106</v>
      </c>
      <c r="P97" s="111" t="s">
        <v>141</v>
      </c>
      <c r="Q97" s="110" t="s">
        <v>133</v>
      </c>
      <c r="R97" s="110" t="s">
        <v>142</v>
      </c>
      <c r="S97" s="111" t="s">
        <v>825</v>
      </c>
      <c r="T97" s="111" t="s">
        <v>111</v>
      </c>
      <c r="U97" s="111" t="s">
        <v>103</v>
      </c>
      <c r="V97" s="118">
        <f t="shared" si="5"/>
        <v>2.9027895294376261E-2</v>
      </c>
      <c r="W97" s="114" t="str">
        <f>IFERROR(I97-AVERAGEIFS(I$6:I96,J$6:J96,"ICIS / Platts",B$6:B96,B97),"")</f>
        <v/>
      </c>
      <c r="X97" s="110" t="s">
        <v>125</v>
      </c>
      <c r="Y97" s="117" t="str">
        <f t="shared" si="4"/>
        <v>OK</v>
      </c>
      <c r="Z97" s="111" t="s">
        <v>115</v>
      </c>
      <c r="AA97" s="111" t="s">
        <v>115</v>
      </c>
      <c r="AB97" s="111" t="s">
        <v>115</v>
      </c>
      <c r="AC97" s="111" t="s">
        <v>116</v>
      </c>
      <c r="AD97" s="111"/>
    </row>
    <row r="98" spans="2:30" ht="24.75" customHeight="1" x14ac:dyDescent="0.25">
      <c r="B98" s="108">
        <v>45089</v>
      </c>
      <c r="C98" s="109" t="s">
        <v>97</v>
      </c>
      <c r="D98" s="109">
        <v>24</v>
      </c>
      <c r="E98" s="110" t="str">
        <f t="shared" si="3"/>
        <v>20230612-093</v>
      </c>
      <c r="F98" s="111" t="s">
        <v>98</v>
      </c>
      <c r="G98" s="111" t="s">
        <v>99</v>
      </c>
      <c r="H98" s="112" t="s">
        <v>922</v>
      </c>
      <c r="I98" s="113">
        <v>1510</v>
      </c>
      <c r="J98" s="111" t="s">
        <v>101</v>
      </c>
      <c r="K98" s="111" t="s">
        <v>254</v>
      </c>
      <c r="L98" s="111" t="s">
        <v>103</v>
      </c>
      <c r="M98" s="111" t="s">
        <v>104</v>
      </c>
      <c r="N98" s="111" t="s">
        <v>824</v>
      </c>
      <c r="O98" s="111" t="s">
        <v>106</v>
      </c>
      <c r="P98" s="111" t="s">
        <v>107</v>
      </c>
      <c r="Q98" s="110" t="s">
        <v>108</v>
      </c>
      <c r="R98" s="110" t="s">
        <v>109</v>
      </c>
      <c r="S98" s="111" t="s">
        <v>825</v>
      </c>
      <c r="T98" s="111" t="s">
        <v>111</v>
      </c>
      <c r="U98" s="111" t="s">
        <v>103</v>
      </c>
      <c r="V98" s="118">
        <f t="shared" si="5"/>
        <v>-3.3003300330033004E-3</v>
      </c>
      <c r="W98" s="114" t="str">
        <f>IFERROR(I98-AVERAGEIFS(I$6:I97,J$6:J97,"ICIS / Platts",B$6:B97,B98),"")</f>
        <v/>
      </c>
      <c r="X98" s="110" t="s">
        <v>113</v>
      </c>
      <c r="Y98" s="117" t="str">
        <f t="shared" si="4"/>
        <v>OK</v>
      </c>
      <c r="Z98" s="111" t="s">
        <v>115</v>
      </c>
      <c r="AA98" s="111" t="s">
        <v>115</v>
      </c>
      <c r="AB98" s="111" t="s">
        <v>115</v>
      </c>
      <c r="AC98" s="111" t="s">
        <v>116</v>
      </c>
      <c r="AD98" s="111"/>
    </row>
    <row r="99" spans="2:30" ht="24.75" customHeight="1" x14ac:dyDescent="0.25">
      <c r="B99" s="115">
        <v>45090</v>
      </c>
      <c r="C99" s="116" t="s">
        <v>117</v>
      </c>
      <c r="D99" s="116">
        <v>24</v>
      </c>
      <c r="E99" s="110" t="str">
        <f t="shared" si="3"/>
        <v>20230613-094</v>
      </c>
      <c r="F99" s="111" t="s">
        <v>98</v>
      </c>
      <c r="G99" s="111" t="s">
        <v>99</v>
      </c>
      <c r="H99" s="112" t="s">
        <v>922</v>
      </c>
      <c r="I99" s="113">
        <v>1508.39</v>
      </c>
      <c r="J99" s="111" t="s">
        <v>118</v>
      </c>
      <c r="K99" s="111" t="s">
        <v>923</v>
      </c>
      <c r="L99" s="111" t="s">
        <v>103</v>
      </c>
      <c r="M99" s="111" t="s">
        <v>104</v>
      </c>
      <c r="N99" s="111" t="s">
        <v>827</v>
      </c>
      <c r="O99" s="111" t="s">
        <v>121</v>
      </c>
      <c r="P99" s="111" t="s">
        <v>132</v>
      </c>
      <c r="Q99" s="110" t="s">
        <v>123</v>
      </c>
      <c r="R99" s="110" t="s">
        <v>134</v>
      </c>
      <c r="S99" s="111" t="s">
        <v>825</v>
      </c>
      <c r="T99" s="111" t="s">
        <v>111</v>
      </c>
      <c r="U99" s="111" t="s">
        <v>103</v>
      </c>
      <c r="V99" s="118">
        <f t="shared" si="5"/>
        <v>-3.5488429493122912E-2</v>
      </c>
      <c r="W99" s="114" t="str">
        <f>IFERROR(I99-AVERAGEIFS(I$6:I98,J$6:J98,"ICIS / Platts",B$6:B98,B99),"")</f>
        <v/>
      </c>
      <c r="X99" s="110" t="s">
        <v>125</v>
      </c>
      <c r="Y99" s="117" t="str">
        <f t="shared" si="4"/>
        <v>OK</v>
      </c>
      <c r="Z99" s="111" t="s">
        <v>115</v>
      </c>
      <c r="AA99" s="111" t="s">
        <v>115</v>
      </c>
      <c r="AB99" s="111" t="s">
        <v>115</v>
      </c>
      <c r="AC99" s="111" t="s">
        <v>116</v>
      </c>
      <c r="AD99" s="111"/>
    </row>
    <row r="100" spans="2:30" ht="24.75" customHeight="1" x14ac:dyDescent="0.25">
      <c r="B100" s="108">
        <v>45091</v>
      </c>
      <c r="C100" s="109" t="s">
        <v>126</v>
      </c>
      <c r="D100" s="109">
        <v>24</v>
      </c>
      <c r="E100" s="110" t="str">
        <f t="shared" si="3"/>
        <v>20230614-095</v>
      </c>
      <c r="F100" s="111" t="s">
        <v>98</v>
      </c>
      <c r="G100" s="111" t="s">
        <v>99</v>
      </c>
      <c r="H100" s="112" t="s">
        <v>922</v>
      </c>
      <c r="I100" s="113">
        <v>1514.54</v>
      </c>
      <c r="J100" s="111" t="s">
        <v>127</v>
      </c>
      <c r="K100" s="111" t="s">
        <v>924</v>
      </c>
      <c r="L100" s="111" t="s">
        <v>129</v>
      </c>
      <c r="M100" s="111" t="s">
        <v>104</v>
      </c>
      <c r="N100" s="111" t="s">
        <v>829</v>
      </c>
      <c r="O100" s="111" t="s">
        <v>131</v>
      </c>
      <c r="P100" s="111" t="s">
        <v>830</v>
      </c>
      <c r="Q100" s="110" t="s">
        <v>133</v>
      </c>
      <c r="R100" s="110" t="s">
        <v>831</v>
      </c>
      <c r="S100" s="111" t="s">
        <v>832</v>
      </c>
      <c r="T100" s="111" t="s">
        <v>136</v>
      </c>
      <c r="U100" s="111" t="s">
        <v>129</v>
      </c>
      <c r="V100" s="118">
        <f t="shared" si="5"/>
        <v>-1.717704622293173E-2</v>
      </c>
      <c r="W100" s="114" t="str">
        <f>IFERROR(I100-AVERAGEIFS(I$6:I99,J$6:J99,"ICIS / Platts",B$6:B99,B100),"")</f>
        <v/>
      </c>
      <c r="X100" s="110" t="s">
        <v>137</v>
      </c>
      <c r="Y100" s="117" t="str">
        <f t="shared" si="4"/>
        <v>OK</v>
      </c>
      <c r="Z100" s="111" t="s">
        <v>115</v>
      </c>
      <c r="AA100" s="111" t="s">
        <v>115</v>
      </c>
      <c r="AB100" s="111" t="s">
        <v>115</v>
      </c>
      <c r="AC100" s="111" t="s">
        <v>116</v>
      </c>
      <c r="AD100" s="111"/>
    </row>
    <row r="101" spans="2:30" ht="24.75" customHeight="1" x14ac:dyDescent="0.25">
      <c r="B101" s="115">
        <v>45093</v>
      </c>
      <c r="C101" s="116" t="s">
        <v>138</v>
      </c>
      <c r="D101" s="116">
        <v>24</v>
      </c>
      <c r="E101" s="110" t="str">
        <f t="shared" si="3"/>
        <v>20230616-096</v>
      </c>
      <c r="F101" s="111" t="s">
        <v>98</v>
      </c>
      <c r="G101" s="111" t="s">
        <v>99</v>
      </c>
      <c r="H101" s="112" t="s">
        <v>922</v>
      </c>
      <c r="I101" s="113">
        <v>1497.16</v>
      </c>
      <c r="J101" s="111" t="s">
        <v>139</v>
      </c>
      <c r="K101" s="111" t="s">
        <v>925</v>
      </c>
      <c r="L101" s="111" t="s">
        <v>103</v>
      </c>
      <c r="M101" s="111" t="s">
        <v>104</v>
      </c>
      <c r="N101" s="111" t="s">
        <v>824</v>
      </c>
      <c r="O101" s="111" t="s">
        <v>106</v>
      </c>
      <c r="P101" s="111" t="s">
        <v>141</v>
      </c>
      <c r="Q101" s="110" t="s">
        <v>133</v>
      </c>
      <c r="R101" s="110" t="s">
        <v>142</v>
      </c>
      <c r="S101" s="111" t="s">
        <v>825</v>
      </c>
      <c r="T101" s="111" t="s">
        <v>111</v>
      </c>
      <c r="U101" s="111" t="s">
        <v>103</v>
      </c>
      <c r="V101" s="118">
        <f t="shared" si="5"/>
        <v>-3.0675799914537585E-2</v>
      </c>
      <c r="W101" s="114" t="str">
        <f>IFERROR(I101-AVERAGEIFS(I$6:I100,J$6:J100,"ICIS / Platts",B$6:B100,B101),"")</f>
        <v/>
      </c>
      <c r="X101" s="110" t="s">
        <v>125</v>
      </c>
      <c r="Y101" s="117" t="str">
        <f t="shared" si="4"/>
        <v>OK</v>
      </c>
      <c r="Z101" s="111" t="s">
        <v>115</v>
      </c>
      <c r="AA101" s="111" t="s">
        <v>115</v>
      </c>
      <c r="AB101" s="111" t="s">
        <v>115</v>
      </c>
      <c r="AC101" s="111" t="s">
        <v>116</v>
      </c>
      <c r="AD101" s="111"/>
    </row>
    <row r="102" spans="2:30" ht="24.75" customHeight="1" x14ac:dyDescent="0.25">
      <c r="B102" s="108">
        <v>45096</v>
      </c>
      <c r="C102" s="109" t="s">
        <v>97</v>
      </c>
      <c r="D102" s="109">
        <v>25</v>
      </c>
      <c r="E102" s="110" t="str">
        <f t="shared" si="3"/>
        <v>20230619-097</v>
      </c>
      <c r="F102" s="111" t="s">
        <v>98</v>
      </c>
      <c r="G102" s="111" t="s">
        <v>99</v>
      </c>
      <c r="H102" s="112" t="s">
        <v>926</v>
      </c>
      <c r="I102" s="113">
        <v>1505</v>
      </c>
      <c r="J102" s="111" t="s">
        <v>101</v>
      </c>
      <c r="K102" s="111" t="s">
        <v>259</v>
      </c>
      <c r="L102" s="111" t="s">
        <v>103</v>
      </c>
      <c r="M102" s="111" t="s">
        <v>104</v>
      </c>
      <c r="N102" s="111" t="s">
        <v>824</v>
      </c>
      <c r="O102" s="111" t="s">
        <v>106</v>
      </c>
      <c r="P102" s="111" t="s">
        <v>107</v>
      </c>
      <c r="Q102" s="110" t="s">
        <v>108</v>
      </c>
      <c r="R102" s="110" t="s">
        <v>109</v>
      </c>
      <c r="S102" s="111" t="s">
        <v>825</v>
      </c>
      <c r="T102" s="111" t="s">
        <v>111</v>
      </c>
      <c r="U102" s="111" t="s">
        <v>103</v>
      </c>
      <c r="V102" s="118">
        <f t="shared" si="5"/>
        <v>-3.3112582781456954E-3</v>
      </c>
      <c r="W102" s="114" t="str">
        <f>IFERROR(I102-AVERAGEIFS(I$6:I101,J$6:J101,"ICIS / Platts",B$6:B101,B102),"")</f>
        <v/>
      </c>
      <c r="X102" s="110" t="s">
        <v>113</v>
      </c>
      <c r="Y102" s="117" t="str">
        <f t="shared" si="4"/>
        <v>OK</v>
      </c>
      <c r="Z102" s="111" t="s">
        <v>116</v>
      </c>
      <c r="AA102" s="111" t="s">
        <v>115</v>
      </c>
      <c r="AB102" s="111" t="s">
        <v>115</v>
      </c>
      <c r="AC102" s="111" t="s">
        <v>116</v>
      </c>
      <c r="AD102" s="111"/>
    </row>
    <row r="103" spans="2:30" ht="24.75" customHeight="1" x14ac:dyDescent="0.25">
      <c r="B103" s="115">
        <v>45097</v>
      </c>
      <c r="C103" s="116" t="s">
        <v>117</v>
      </c>
      <c r="D103" s="116">
        <v>25</v>
      </c>
      <c r="E103" s="110" t="str">
        <f t="shared" si="3"/>
        <v>20230620-098</v>
      </c>
      <c r="F103" s="111" t="s">
        <v>98</v>
      </c>
      <c r="G103" s="111" t="s">
        <v>99</v>
      </c>
      <c r="H103" s="112" t="s">
        <v>926</v>
      </c>
      <c r="I103" s="113">
        <v>1501.84</v>
      </c>
      <c r="J103" s="111" t="s">
        <v>118</v>
      </c>
      <c r="K103" s="111" t="s">
        <v>927</v>
      </c>
      <c r="L103" s="111" t="s">
        <v>103</v>
      </c>
      <c r="M103" s="111" t="s">
        <v>104</v>
      </c>
      <c r="N103" s="111" t="s">
        <v>827</v>
      </c>
      <c r="O103" s="111" t="s">
        <v>121</v>
      </c>
      <c r="P103" s="111" t="s">
        <v>132</v>
      </c>
      <c r="Q103" s="110" t="s">
        <v>123</v>
      </c>
      <c r="R103" s="110" t="s">
        <v>134</v>
      </c>
      <c r="S103" s="111" t="s">
        <v>825</v>
      </c>
      <c r="T103" s="111" t="s">
        <v>111</v>
      </c>
      <c r="U103" s="111" t="s">
        <v>103</v>
      </c>
      <c r="V103" s="118">
        <f t="shared" si="5"/>
        <v>-4.3423782973900527E-3</v>
      </c>
      <c r="W103" s="114" t="str">
        <f>IFERROR(I103-AVERAGEIFS(I$6:I102,J$6:J102,"ICIS / Platts",B$6:B102,B103),"")</f>
        <v/>
      </c>
      <c r="X103" s="110" t="s">
        <v>125</v>
      </c>
      <c r="Y103" s="117" t="str">
        <f t="shared" si="4"/>
        <v>OK</v>
      </c>
      <c r="Z103" s="111" t="s">
        <v>116</v>
      </c>
      <c r="AA103" s="111" t="s">
        <v>115</v>
      </c>
      <c r="AB103" s="111" t="s">
        <v>115</v>
      </c>
      <c r="AC103" s="111" t="s">
        <v>116</v>
      </c>
      <c r="AD103" s="111"/>
    </row>
    <row r="104" spans="2:30" ht="24.75" customHeight="1" x14ac:dyDescent="0.25">
      <c r="B104" s="108">
        <v>45098</v>
      </c>
      <c r="C104" s="109" t="s">
        <v>126</v>
      </c>
      <c r="D104" s="109">
        <v>25</v>
      </c>
      <c r="E104" s="110" t="str">
        <f t="shared" si="3"/>
        <v>20230621-099</v>
      </c>
      <c r="F104" s="111" t="s">
        <v>98</v>
      </c>
      <c r="G104" s="111" t="s">
        <v>99</v>
      </c>
      <c r="H104" s="112" t="s">
        <v>926</v>
      </c>
      <c r="I104" s="113">
        <v>1538.11</v>
      </c>
      <c r="J104" s="111" t="s">
        <v>127</v>
      </c>
      <c r="K104" s="111" t="s">
        <v>928</v>
      </c>
      <c r="L104" s="111" t="s">
        <v>129</v>
      </c>
      <c r="M104" s="111" t="s">
        <v>104</v>
      </c>
      <c r="N104" s="111" t="s">
        <v>829</v>
      </c>
      <c r="O104" s="111" t="s">
        <v>131</v>
      </c>
      <c r="P104" s="111" t="s">
        <v>830</v>
      </c>
      <c r="Q104" s="110" t="s">
        <v>133</v>
      </c>
      <c r="R104" s="110" t="s">
        <v>831</v>
      </c>
      <c r="S104" s="111" t="s">
        <v>832</v>
      </c>
      <c r="T104" s="111" t="s">
        <v>136</v>
      </c>
      <c r="U104" s="111" t="s">
        <v>129</v>
      </c>
      <c r="V104" s="118">
        <f t="shared" si="5"/>
        <v>1.5562481017338555E-2</v>
      </c>
      <c r="W104" s="114" t="str">
        <f>IFERROR(I104-AVERAGEIFS(I$6:I103,J$6:J103,"ICIS / Platts",B$6:B103,B104),"")</f>
        <v/>
      </c>
      <c r="X104" s="110" t="s">
        <v>137</v>
      </c>
      <c r="Y104" s="117" t="str">
        <f t="shared" si="4"/>
        <v>OK</v>
      </c>
      <c r="Z104" s="111" t="s">
        <v>116</v>
      </c>
      <c r="AA104" s="111" t="s">
        <v>115</v>
      </c>
      <c r="AB104" s="111" t="s">
        <v>115</v>
      </c>
      <c r="AC104" s="111" t="s">
        <v>116</v>
      </c>
      <c r="AD104" s="111"/>
    </row>
    <row r="105" spans="2:30" ht="24.75" customHeight="1" x14ac:dyDescent="0.25">
      <c r="B105" s="115">
        <v>45100</v>
      </c>
      <c r="C105" s="116" t="s">
        <v>138</v>
      </c>
      <c r="D105" s="116">
        <v>25</v>
      </c>
      <c r="E105" s="110" t="str">
        <f t="shared" si="3"/>
        <v>20230623-100</v>
      </c>
      <c r="F105" s="111" t="s">
        <v>98</v>
      </c>
      <c r="G105" s="111" t="s">
        <v>99</v>
      </c>
      <c r="H105" s="112" t="s">
        <v>926</v>
      </c>
      <c r="I105" s="113">
        <v>1516.05</v>
      </c>
      <c r="J105" s="111" t="s">
        <v>139</v>
      </c>
      <c r="K105" s="111" t="s">
        <v>929</v>
      </c>
      <c r="L105" s="111" t="s">
        <v>103</v>
      </c>
      <c r="M105" s="111" t="s">
        <v>104</v>
      </c>
      <c r="N105" s="111" t="s">
        <v>824</v>
      </c>
      <c r="O105" s="111" t="s">
        <v>106</v>
      </c>
      <c r="P105" s="111" t="s">
        <v>141</v>
      </c>
      <c r="Q105" s="110" t="s">
        <v>133</v>
      </c>
      <c r="R105" s="110" t="s">
        <v>142</v>
      </c>
      <c r="S105" s="111" t="s">
        <v>825</v>
      </c>
      <c r="T105" s="111" t="s">
        <v>111</v>
      </c>
      <c r="U105" s="111" t="s">
        <v>103</v>
      </c>
      <c r="V105" s="118">
        <f t="shared" si="5"/>
        <v>1.2617221940206706E-2</v>
      </c>
      <c r="W105" s="114" t="str">
        <f>IFERROR(I105-AVERAGEIFS(I$6:I104,J$6:J104,"ICIS / Platts",B$6:B104,B105),"")</f>
        <v/>
      </c>
      <c r="X105" s="110" t="s">
        <v>125</v>
      </c>
      <c r="Y105" s="117" t="str">
        <f t="shared" si="4"/>
        <v>OK</v>
      </c>
      <c r="Z105" s="111" t="s">
        <v>116</v>
      </c>
      <c r="AA105" s="111" t="s">
        <v>115</v>
      </c>
      <c r="AB105" s="111" t="s">
        <v>115</v>
      </c>
      <c r="AC105" s="111" t="s">
        <v>116</v>
      </c>
      <c r="AD105" s="111"/>
    </row>
    <row r="106" spans="2:30" ht="24.75" customHeight="1" x14ac:dyDescent="0.25">
      <c r="B106" s="108">
        <v>45103</v>
      </c>
      <c r="C106" s="109" t="s">
        <v>97</v>
      </c>
      <c r="D106" s="109">
        <v>26</v>
      </c>
      <c r="E106" s="110" t="str">
        <f t="shared" si="3"/>
        <v>20230626-101</v>
      </c>
      <c r="F106" s="111" t="s">
        <v>98</v>
      </c>
      <c r="G106" s="111" t="s">
        <v>99</v>
      </c>
      <c r="H106" s="112" t="s">
        <v>930</v>
      </c>
      <c r="I106" s="113">
        <v>1508</v>
      </c>
      <c r="J106" s="111" t="s">
        <v>101</v>
      </c>
      <c r="K106" s="111" t="s">
        <v>264</v>
      </c>
      <c r="L106" s="111" t="s">
        <v>103</v>
      </c>
      <c r="M106" s="111" t="s">
        <v>104</v>
      </c>
      <c r="N106" s="111" t="s">
        <v>824</v>
      </c>
      <c r="O106" s="111" t="s">
        <v>106</v>
      </c>
      <c r="P106" s="111" t="s">
        <v>107</v>
      </c>
      <c r="Q106" s="110" t="s">
        <v>108</v>
      </c>
      <c r="R106" s="110" t="s">
        <v>109</v>
      </c>
      <c r="S106" s="111" t="s">
        <v>825</v>
      </c>
      <c r="T106" s="111" t="s">
        <v>111</v>
      </c>
      <c r="U106" s="111" t="s">
        <v>103</v>
      </c>
      <c r="V106" s="118">
        <f t="shared" si="5"/>
        <v>1.9933554817275745E-3</v>
      </c>
      <c r="W106" s="114" t="str">
        <f>IFERROR(I106-AVERAGEIFS(I$6:I105,J$6:J105,"ICIS / Platts",B$6:B105,B106),"")</f>
        <v/>
      </c>
      <c r="X106" s="110" t="s">
        <v>113</v>
      </c>
      <c r="Y106" s="117" t="str">
        <f t="shared" si="4"/>
        <v>OK</v>
      </c>
      <c r="Z106" s="111" t="s">
        <v>115</v>
      </c>
      <c r="AA106" s="111" t="s">
        <v>115</v>
      </c>
      <c r="AB106" s="111" t="s">
        <v>115</v>
      </c>
      <c r="AC106" s="111" t="s">
        <v>115</v>
      </c>
      <c r="AD106" s="111"/>
    </row>
    <row r="107" spans="2:30" ht="24.75" customHeight="1" x14ac:dyDescent="0.25">
      <c r="B107" s="115">
        <v>45104</v>
      </c>
      <c r="C107" s="116" t="s">
        <v>117</v>
      </c>
      <c r="D107" s="116">
        <v>26</v>
      </c>
      <c r="E107" s="110" t="str">
        <f t="shared" si="3"/>
        <v>20230627-102</v>
      </c>
      <c r="F107" s="111" t="s">
        <v>98</v>
      </c>
      <c r="G107" s="111" t="s">
        <v>99</v>
      </c>
      <c r="H107" s="112" t="s">
        <v>930</v>
      </c>
      <c r="I107" s="113">
        <v>1494.06</v>
      </c>
      <c r="J107" s="111" t="s">
        <v>118</v>
      </c>
      <c r="K107" s="111" t="s">
        <v>931</v>
      </c>
      <c r="L107" s="111" t="s">
        <v>103</v>
      </c>
      <c r="M107" s="111" t="s">
        <v>104</v>
      </c>
      <c r="N107" s="111" t="s">
        <v>827</v>
      </c>
      <c r="O107" s="111" t="s">
        <v>121</v>
      </c>
      <c r="P107" s="111" t="s">
        <v>132</v>
      </c>
      <c r="Q107" s="110" t="s">
        <v>123</v>
      </c>
      <c r="R107" s="110" t="s">
        <v>134</v>
      </c>
      <c r="S107" s="111" t="s">
        <v>825</v>
      </c>
      <c r="T107" s="111" t="s">
        <v>111</v>
      </c>
      <c r="U107" s="111" t="s">
        <v>103</v>
      </c>
      <c r="V107" s="118">
        <f t="shared" si="5"/>
        <v>-5.1803121504287895E-3</v>
      </c>
      <c r="W107" s="114" t="str">
        <f>IFERROR(I107-AVERAGEIFS(I$6:I106,J$6:J106,"ICIS / Platts",B$6:B106,B107),"")</f>
        <v/>
      </c>
      <c r="X107" s="110" t="s">
        <v>125</v>
      </c>
      <c r="Y107" s="117" t="str">
        <f t="shared" si="4"/>
        <v>OK</v>
      </c>
      <c r="Z107" s="111" t="s">
        <v>115</v>
      </c>
      <c r="AA107" s="111" t="s">
        <v>115</v>
      </c>
      <c r="AB107" s="111" t="s">
        <v>115</v>
      </c>
      <c r="AC107" s="111" t="s">
        <v>115</v>
      </c>
      <c r="AD107" s="111"/>
    </row>
    <row r="108" spans="2:30" ht="24.75" customHeight="1" x14ac:dyDescent="0.25">
      <c r="B108" s="108">
        <v>45105</v>
      </c>
      <c r="C108" s="109" t="s">
        <v>126</v>
      </c>
      <c r="D108" s="109">
        <v>26</v>
      </c>
      <c r="E108" s="110" t="str">
        <f t="shared" si="3"/>
        <v>20230628-103</v>
      </c>
      <c r="F108" s="111" t="s">
        <v>98</v>
      </c>
      <c r="G108" s="111" t="s">
        <v>99</v>
      </c>
      <c r="H108" s="112" t="s">
        <v>930</v>
      </c>
      <c r="I108" s="113">
        <v>1481.28</v>
      </c>
      <c r="J108" s="111" t="s">
        <v>127</v>
      </c>
      <c r="K108" s="111" t="s">
        <v>932</v>
      </c>
      <c r="L108" s="111" t="s">
        <v>129</v>
      </c>
      <c r="M108" s="111" t="s">
        <v>104</v>
      </c>
      <c r="N108" s="111" t="s">
        <v>829</v>
      </c>
      <c r="O108" s="111" t="s">
        <v>131</v>
      </c>
      <c r="P108" s="111" t="s">
        <v>830</v>
      </c>
      <c r="Q108" s="110" t="s">
        <v>133</v>
      </c>
      <c r="R108" s="110" t="s">
        <v>831</v>
      </c>
      <c r="S108" s="111" t="s">
        <v>832</v>
      </c>
      <c r="T108" s="111" t="s">
        <v>136</v>
      </c>
      <c r="U108" s="111" t="s">
        <v>129</v>
      </c>
      <c r="V108" s="118">
        <f t="shared" si="5"/>
        <v>-3.6947942604885174E-2</v>
      </c>
      <c r="W108" s="114" t="str">
        <f>IFERROR(I108-AVERAGEIFS(I$6:I107,J$6:J107,"ICIS / Platts",B$6:B107,B108),"")</f>
        <v/>
      </c>
      <c r="X108" s="110" t="s">
        <v>137</v>
      </c>
      <c r="Y108" s="117" t="str">
        <f t="shared" si="4"/>
        <v>OK</v>
      </c>
      <c r="Z108" s="111" t="s">
        <v>115</v>
      </c>
      <c r="AA108" s="111" t="s">
        <v>115</v>
      </c>
      <c r="AB108" s="111" t="s">
        <v>115</v>
      </c>
      <c r="AC108" s="111" t="s">
        <v>115</v>
      </c>
      <c r="AD108" s="111"/>
    </row>
    <row r="109" spans="2:30" ht="24.75" customHeight="1" x14ac:dyDescent="0.25">
      <c r="B109" s="115">
        <v>45107</v>
      </c>
      <c r="C109" s="116" t="s">
        <v>138</v>
      </c>
      <c r="D109" s="116">
        <v>26</v>
      </c>
      <c r="E109" s="110" t="str">
        <f t="shared" si="3"/>
        <v>20230630-104</v>
      </c>
      <c r="F109" s="111" t="s">
        <v>98</v>
      </c>
      <c r="G109" s="111" t="s">
        <v>99</v>
      </c>
      <c r="H109" s="112" t="s">
        <v>930</v>
      </c>
      <c r="I109" s="113">
        <v>1531.2</v>
      </c>
      <c r="J109" s="111" t="s">
        <v>139</v>
      </c>
      <c r="K109" s="111" t="s">
        <v>933</v>
      </c>
      <c r="L109" s="111" t="s">
        <v>103</v>
      </c>
      <c r="M109" s="111" t="s">
        <v>104</v>
      </c>
      <c r="N109" s="111" t="s">
        <v>824</v>
      </c>
      <c r="O109" s="111" t="s">
        <v>106</v>
      </c>
      <c r="P109" s="111" t="s">
        <v>141</v>
      </c>
      <c r="Q109" s="110" t="s">
        <v>133</v>
      </c>
      <c r="R109" s="110" t="s">
        <v>142</v>
      </c>
      <c r="S109" s="111" t="s">
        <v>825</v>
      </c>
      <c r="T109" s="111" t="s">
        <v>111</v>
      </c>
      <c r="U109" s="111" t="s">
        <v>103</v>
      </c>
      <c r="V109" s="118">
        <f t="shared" si="5"/>
        <v>9.9930741070545764E-3</v>
      </c>
      <c r="W109" s="114" t="str">
        <f>IFERROR(I109-AVERAGEIFS(I$6:I108,J$6:J108,"ICIS / Platts",B$6:B108,B109),"")</f>
        <v/>
      </c>
      <c r="X109" s="110" t="s">
        <v>125</v>
      </c>
      <c r="Y109" s="117" t="str">
        <f t="shared" si="4"/>
        <v>OK</v>
      </c>
      <c r="Z109" s="111" t="s">
        <v>115</v>
      </c>
      <c r="AA109" s="111" t="s">
        <v>115</v>
      </c>
      <c r="AB109" s="111" t="s">
        <v>115</v>
      </c>
      <c r="AC109" s="111" t="s">
        <v>115</v>
      </c>
      <c r="AD109" s="111"/>
    </row>
    <row r="110" spans="2:30" ht="24.75" customHeight="1" x14ac:dyDescent="0.25">
      <c r="B110" s="108">
        <v>45110</v>
      </c>
      <c r="C110" s="109" t="s">
        <v>97</v>
      </c>
      <c r="D110" s="109">
        <v>27</v>
      </c>
      <c r="E110" s="110" t="str">
        <f t="shared" si="3"/>
        <v>20230703-105</v>
      </c>
      <c r="F110" s="111" t="s">
        <v>98</v>
      </c>
      <c r="G110" s="111" t="s">
        <v>99</v>
      </c>
      <c r="H110" s="112" t="s">
        <v>934</v>
      </c>
      <c r="I110" s="113">
        <v>1512</v>
      </c>
      <c r="J110" s="111" t="s">
        <v>101</v>
      </c>
      <c r="K110" s="111" t="s">
        <v>269</v>
      </c>
      <c r="L110" s="111" t="s">
        <v>103</v>
      </c>
      <c r="M110" s="111" t="s">
        <v>104</v>
      </c>
      <c r="N110" s="111" t="s">
        <v>824</v>
      </c>
      <c r="O110" s="111" t="s">
        <v>106</v>
      </c>
      <c r="P110" s="111" t="s">
        <v>107</v>
      </c>
      <c r="Q110" s="110" t="s">
        <v>108</v>
      </c>
      <c r="R110" s="110" t="s">
        <v>109</v>
      </c>
      <c r="S110" s="111" t="s">
        <v>825</v>
      </c>
      <c r="T110" s="111" t="s">
        <v>111</v>
      </c>
      <c r="U110" s="111" t="s">
        <v>103</v>
      </c>
      <c r="V110" s="118">
        <f t="shared" si="5"/>
        <v>2.6525198938992041E-3</v>
      </c>
      <c r="W110" s="114" t="str">
        <f>IFERROR(I110-AVERAGEIFS(I$6:I109,J$6:J109,"ICIS / Platts",B$6:B109,B110),"")</f>
        <v/>
      </c>
      <c r="X110" s="110" t="s">
        <v>113</v>
      </c>
      <c r="Y110" s="117" t="str">
        <f t="shared" si="4"/>
        <v>OK</v>
      </c>
      <c r="Z110" s="111" t="s">
        <v>115</v>
      </c>
      <c r="AA110" s="111" t="s">
        <v>115</v>
      </c>
      <c r="AB110" s="111" t="s">
        <v>115</v>
      </c>
      <c r="AC110" s="111" t="s">
        <v>115</v>
      </c>
      <c r="AD110" s="111"/>
    </row>
    <row r="111" spans="2:30" ht="24.75" customHeight="1" x14ac:dyDescent="0.25">
      <c r="B111" s="115">
        <v>45111</v>
      </c>
      <c r="C111" s="116" t="s">
        <v>117</v>
      </c>
      <c r="D111" s="116">
        <v>27</v>
      </c>
      <c r="E111" s="110" t="str">
        <f t="shared" si="3"/>
        <v>20230704-106</v>
      </c>
      <c r="F111" s="111" t="s">
        <v>98</v>
      </c>
      <c r="G111" s="111" t="s">
        <v>99</v>
      </c>
      <c r="H111" s="112" t="s">
        <v>934</v>
      </c>
      <c r="I111" s="113">
        <v>1550.5</v>
      </c>
      <c r="J111" s="111" t="s">
        <v>118</v>
      </c>
      <c r="K111" s="111" t="s">
        <v>935</v>
      </c>
      <c r="L111" s="111" t="s">
        <v>103</v>
      </c>
      <c r="M111" s="111" t="s">
        <v>104</v>
      </c>
      <c r="N111" s="111" t="s">
        <v>827</v>
      </c>
      <c r="O111" s="111" t="s">
        <v>121</v>
      </c>
      <c r="P111" s="111" t="s">
        <v>132</v>
      </c>
      <c r="Q111" s="110" t="s">
        <v>123</v>
      </c>
      <c r="R111" s="110" t="s">
        <v>134</v>
      </c>
      <c r="S111" s="111" t="s">
        <v>825</v>
      </c>
      <c r="T111" s="111" t="s">
        <v>111</v>
      </c>
      <c r="U111" s="111" t="s">
        <v>103</v>
      </c>
      <c r="V111" s="118">
        <f t="shared" si="5"/>
        <v>3.7776260658875856E-2</v>
      </c>
      <c r="W111" s="114" t="str">
        <f>IFERROR(I111-AVERAGEIFS(I$6:I110,J$6:J110,"ICIS / Platts",B$6:B110,B111),"")</f>
        <v/>
      </c>
      <c r="X111" s="110" t="s">
        <v>125</v>
      </c>
      <c r="Y111" s="117" t="str">
        <f t="shared" si="4"/>
        <v>OK</v>
      </c>
      <c r="Z111" s="111" t="s">
        <v>115</v>
      </c>
      <c r="AA111" s="111" t="s">
        <v>115</v>
      </c>
      <c r="AB111" s="111" t="s">
        <v>115</v>
      </c>
      <c r="AC111" s="111" t="s">
        <v>115</v>
      </c>
      <c r="AD111" s="111"/>
    </row>
    <row r="112" spans="2:30" ht="24.75" customHeight="1" x14ac:dyDescent="0.25">
      <c r="B112" s="108">
        <v>45112</v>
      </c>
      <c r="C112" s="109" t="s">
        <v>126</v>
      </c>
      <c r="D112" s="109">
        <v>27</v>
      </c>
      <c r="E112" s="110" t="str">
        <f t="shared" si="3"/>
        <v>20230705-107</v>
      </c>
      <c r="F112" s="111" t="s">
        <v>98</v>
      </c>
      <c r="G112" s="111" t="s">
        <v>99</v>
      </c>
      <c r="H112" s="112" t="s">
        <v>934</v>
      </c>
      <c r="I112" s="113">
        <v>1542.28</v>
      </c>
      <c r="J112" s="111" t="s">
        <v>127</v>
      </c>
      <c r="K112" s="111" t="s">
        <v>936</v>
      </c>
      <c r="L112" s="111" t="s">
        <v>129</v>
      </c>
      <c r="M112" s="111" t="s">
        <v>104</v>
      </c>
      <c r="N112" s="111" t="s">
        <v>829</v>
      </c>
      <c r="O112" s="111" t="s">
        <v>131</v>
      </c>
      <c r="P112" s="111" t="s">
        <v>830</v>
      </c>
      <c r="Q112" s="110" t="s">
        <v>133</v>
      </c>
      <c r="R112" s="110" t="s">
        <v>831</v>
      </c>
      <c r="S112" s="111" t="s">
        <v>832</v>
      </c>
      <c r="T112" s="111" t="s">
        <v>136</v>
      </c>
      <c r="U112" s="111" t="s">
        <v>129</v>
      </c>
      <c r="V112" s="118">
        <f t="shared" si="5"/>
        <v>4.1180600561676391E-2</v>
      </c>
      <c r="W112" s="114" t="str">
        <f>IFERROR(I112-AVERAGEIFS(I$6:I111,J$6:J111,"ICIS / Platts",B$6:B111,B112),"")</f>
        <v/>
      </c>
      <c r="X112" s="110" t="s">
        <v>137</v>
      </c>
      <c r="Y112" s="117" t="str">
        <f t="shared" si="4"/>
        <v>OK</v>
      </c>
      <c r="Z112" s="111" t="s">
        <v>115</v>
      </c>
      <c r="AA112" s="111" t="s">
        <v>115</v>
      </c>
      <c r="AB112" s="111" t="s">
        <v>115</v>
      </c>
      <c r="AC112" s="111" t="s">
        <v>115</v>
      </c>
      <c r="AD112" s="111"/>
    </row>
    <row r="113" spans="2:30" ht="24.75" customHeight="1" x14ac:dyDescent="0.25">
      <c r="B113" s="115">
        <v>45114</v>
      </c>
      <c r="C113" s="116" t="s">
        <v>138</v>
      </c>
      <c r="D113" s="116">
        <v>27</v>
      </c>
      <c r="E113" s="110" t="str">
        <f t="shared" si="3"/>
        <v>20230707-108</v>
      </c>
      <c r="F113" s="111" t="s">
        <v>98</v>
      </c>
      <c r="G113" s="111" t="s">
        <v>99</v>
      </c>
      <c r="H113" s="112" t="s">
        <v>934</v>
      </c>
      <c r="I113" s="113">
        <v>1493.8</v>
      </c>
      <c r="J113" s="111" t="s">
        <v>139</v>
      </c>
      <c r="K113" s="111" t="s">
        <v>937</v>
      </c>
      <c r="L113" s="111" t="s">
        <v>103</v>
      </c>
      <c r="M113" s="111" t="s">
        <v>104</v>
      </c>
      <c r="N113" s="111" t="s">
        <v>824</v>
      </c>
      <c r="O113" s="111" t="s">
        <v>106</v>
      </c>
      <c r="P113" s="111" t="s">
        <v>141</v>
      </c>
      <c r="Q113" s="110" t="s">
        <v>133</v>
      </c>
      <c r="R113" s="110" t="s">
        <v>142</v>
      </c>
      <c r="S113" s="111" t="s">
        <v>825</v>
      </c>
      <c r="T113" s="111" t="s">
        <v>111</v>
      </c>
      <c r="U113" s="111" t="s">
        <v>103</v>
      </c>
      <c r="V113" s="118">
        <f t="shared" si="5"/>
        <v>-2.4425287356321899E-2</v>
      </c>
      <c r="W113" s="114" t="str">
        <f>IFERROR(I113-AVERAGEIFS(I$6:I112,J$6:J112,"ICIS / Platts",B$6:B112,B113),"")</f>
        <v/>
      </c>
      <c r="X113" s="110" t="s">
        <v>125</v>
      </c>
      <c r="Y113" s="117" t="str">
        <f t="shared" si="4"/>
        <v>OK</v>
      </c>
      <c r="Z113" s="111" t="s">
        <v>115</v>
      </c>
      <c r="AA113" s="111" t="s">
        <v>115</v>
      </c>
      <c r="AB113" s="111" t="s">
        <v>115</v>
      </c>
      <c r="AC113" s="111" t="s">
        <v>115</v>
      </c>
      <c r="AD113" s="111"/>
    </row>
    <row r="114" spans="2:30" ht="24.75" customHeight="1" x14ac:dyDescent="0.25">
      <c r="B114" s="108">
        <v>45117</v>
      </c>
      <c r="C114" s="109" t="s">
        <v>97</v>
      </c>
      <c r="D114" s="109">
        <v>28</v>
      </c>
      <c r="E114" s="110" t="str">
        <f t="shared" si="3"/>
        <v>20230710-109</v>
      </c>
      <c r="F114" s="111" t="s">
        <v>98</v>
      </c>
      <c r="G114" s="111" t="s">
        <v>99</v>
      </c>
      <c r="H114" s="112" t="s">
        <v>938</v>
      </c>
      <c r="I114" s="113">
        <v>1518</v>
      </c>
      <c r="J114" s="111" t="s">
        <v>101</v>
      </c>
      <c r="K114" s="111" t="s">
        <v>274</v>
      </c>
      <c r="L114" s="111" t="s">
        <v>103</v>
      </c>
      <c r="M114" s="111" t="s">
        <v>104</v>
      </c>
      <c r="N114" s="111" t="s">
        <v>824</v>
      </c>
      <c r="O114" s="111" t="s">
        <v>106</v>
      </c>
      <c r="P114" s="111" t="s">
        <v>107</v>
      </c>
      <c r="Q114" s="110" t="s">
        <v>108</v>
      </c>
      <c r="R114" s="110" t="s">
        <v>109</v>
      </c>
      <c r="S114" s="111" t="s">
        <v>825</v>
      </c>
      <c r="T114" s="111" t="s">
        <v>111</v>
      </c>
      <c r="U114" s="111" t="s">
        <v>103</v>
      </c>
      <c r="V114" s="118">
        <f t="shared" si="5"/>
        <v>3.968253968253968E-3</v>
      </c>
      <c r="W114" s="114" t="str">
        <f>IFERROR(I114-AVERAGEIFS(I$6:I113,J$6:J113,"ICIS / Platts",B$6:B113,B114),"")</f>
        <v/>
      </c>
      <c r="X114" s="110" t="s">
        <v>113</v>
      </c>
      <c r="Y114" s="117" t="str">
        <f t="shared" si="4"/>
        <v>OK</v>
      </c>
      <c r="Z114" s="111" t="s">
        <v>116</v>
      </c>
      <c r="AA114" s="111" t="s">
        <v>115</v>
      </c>
      <c r="AB114" s="111" t="s">
        <v>115</v>
      </c>
      <c r="AC114" s="111" t="s">
        <v>115</v>
      </c>
      <c r="AD114" s="111"/>
    </row>
    <row r="115" spans="2:30" ht="24.75" customHeight="1" x14ac:dyDescent="0.25">
      <c r="B115" s="115">
        <v>45118</v>
      </c>
      <c r="C115" s="116" t="s">
        <v>117</v>
      </c>
      <c r="D115" s="116">
        <v>28</v>
      </c>
      <c r="E115" s="110" t="str">
        <f t="shared" si="3"/>
        <v>20230711-110</v>
      </c>
      <c r="F115" s="111" t="s">
        <v>98</v>
      </c>
      <c r="G115" s="111" t="s">
        <v>99</v>
      </c>
      <c r="H115" s="112" t="s">
        <v>938</v>
      </c>
      <c r="I115" s="113">
        <v>1564.92</v>
      </c>
      <c r="J115" s="111" t="s">
        <v>118</v>
      </c>
      <c r="K115" s="111" t="s">
        <v>939</v>
      </c>
      <c r="L115" s="111" t="s">
        <v>103</v>
      </c>
      <c r="M115" s="111" t="s">
        <v>104</v>
      </c>
      <c r="N115" s="111" t="s">
        <v>827</v>
      </c>
      <c r="O115" s="111" t="s">
        <v>121</v>
      </c>
      <c r="P115" s="111" t="s">
        <v>132</v>
      </c>
      <c r="Q115" s="110" t="s">
        <v>123</v>
      </c>
      <c r="R115" s="110" t="s">
        <v>134</v>
      </c>
      <c r="S115" s="111" t="s">
        <v>825</v>
      </c>
      <c r="T115" s="111" t="s">
        <v>111</v>
      </c>
      <c r="U115" s="111" t="s">
        <v>103</v>
      </c>
      <c r="V115" s="118">
        <f t="shared" si="5"/>
        <v>9.3002257336343586E-3</v>
      </c>
      <c r="W115" s="114" t="str">
        <f>IFERROR(I115-AVERAGEIFS(I$6:I114,J$6:J114,"ICIS / Platts",B$6:B114,B115),"")</f>
        <v/>
      </c>
      <c r="X115" s="110" t="s">
        <v>125</v>
      </c>
      <c r="Y115" s="117" t="str">
        <f t="shared" si="4"/>
        <v>OK</v>
      </c>
      <c r="Z115" s="111" t="s">
        <v>116</v>
      </c>
      <c r="AA115" s="111" t="s">
        <v>115</v>
      </c>
      <c r="AB115" s="111" t="s">
        <v>115</v>
      </c>
      <c r="AC115" s="111" t="s">
        <v>115</v>
      </c>
      <c r="AD115" s="111"/>
    </row>
    <row r="116" spans="2:30" ht="24.75" customHeight="1" x14ac:dyDescent="0.25">
      <c r="B116" s="108">
        <v>45119</v>
      </c>
      <c r="C116" s="109" t="s">
        <v>126</v>
      </c>
      <c r="D116" s="109">
        <v>28</v>
      </c>
      <c r="E116" s="110" t="str">
        <f t="shared" si="3"/>
        <v>20230712-111</v>
      </c>
      <c r="F116" s="111" t="s">
        <v>98</v>
      </c>
      <c r="G116" s="111" t="s">
        <v>99</v>
      </c>
      <c r="H116" s="112" t="s">
        <v>938</v>
      </c>
      <c r="I116" s="113">
        <v>1531.09</v>
      </c>
      <c r="J116" s="111" t="s">
        <v>127</v>
      </c>
      <c r="K116" s="111" t="s">
        <v>940</v>
      </c>
      <c r="L116" s="111" t="s">
        <v>129</v>
      </c>
      <c r="M116" s="111" t="s">
        <v>104</v>
      </c>
      <c r="N116" s="111" t="s">
        <v>829</v>
      </c>
      <c r="O116" s="111" t="s">
        <v>131</v>
      </c>
      <c r="P116" s="111" t="s">
        <v>830</v>
      </c>
      <c r="Q116" s="110" t="s">
        <v>133</v>
      </c>
      <c r="R116" s="110" t="s">
        <v>831</v>
      </c>
      <c r="S116" s="111" t="s">
        <v>832</v>
      </c>
      <c r="T116" s="111" t="s">
        <v>136</v>
      </c>
      <c r="U116" s="111" t="s">
        <v>129</v>
      </c>
      <c r="V116" s="118">
        <f t="shared" si="5"/>
        <v>-7.2554918691807293E-3</v>
      </c>
      <c r="W116" s="114" t="str">
        <f>IFERROR(I116-AVERAGEIFS(I$6:I115,J$6:J115,"ICIS / Platts",B$6:B115,B116),"")</f>
        <v/>
      </c>
      <c r="X116" s="110" t="s">
        <v>137</v>
      </c>
      <c r="Y116" s="117" t="str">
        <f t="shared" si="4"/>
        <v>OK</v>
      </c>
      <c r="Z116" s="111" t="s">
        <v>116</v>
      </c>
      <c r="AA116" s="111" t="s">
        <v>115</v>
      </c>
      <c r="AB116" s="111" t="s">
        <v>115</v>
      </c>
      <c r="AC116" s="111" t="s">
        <v>115</v>
      </c>
      <c r="AD116" s="111"/>
    </row>
    <row r="117" spans="2:30" ht="24.75" customHeight="1" x14ac:dyDescent="0.25">
      <c r="B117" s="115">
        <v>45121</v>
      </c>
      <c r="C117" s="116" t="s">
        <v>138</v>
      </c>
      <c r="D117" s="116">
        <v>28</v>
      </c>
      <c r="E117" s="110" t="str">
        <f t="shared" si="3"/>
        <v>20230714-112</v>
      </c>
      <c r="F117" s="111" t="s">
        <v>98</v>
      </c>
      <c r="G117" s="111" t="s">
        <v>99</v>
      </c>
      <c r="H117" s="112" t="s">
        <v>938</v>
      </c>
      <c r="I117" s="113">
        <v>1543.32</v>
      </c>
      <c r="J117" s="111" t="s">
        <v>139</v>
      </c>
      <c r="K117" s="111" t="s">
        <v>941</v>
      </c>
      <c r="L117" s="111" t="s">
        <v>103</v>
      </c>
      <c r="M117" s="111" t="s">
        <v>104</v>
      </c>
      <c r="N117" s="111" t="s">
        <v>824</v>
      </c>
      <c r="O117" s="111" t="s">
        <v>106</v>
      </c>
      <c r="P117" s="111" t="s">
        <v>141</v>
      </c>
      <c r="Q117" s="110" t="s">
        <v>133</v>
      </c>
      <c r="R117" s="110" t="s">
        <v>142</v>
      </c>
      <c r="S117" s="111" t="s">
        <v>825</v>
      </c>
      <c r="T117" s="111" t="s">
        <v>111</v>
      </c>
      <c r="U117" s="111" t="s">
        <v>103</v>
      </c>
      <c r="V117" s="118">
        <f t="shared" si="5"/>
        <v>3.3150354799839327E-2</v>
      </c>
      <c r="W117" s="114" t="str">
        <f>IFERROR(I117-AVERAGEIFS(I$6:I116,J$6:J116,"ICIS / Platts",B$6:B116,B117),"")</f>
        <v/>
      </c>
      <c r="X117" s="110" t="s">
        <v>125</v>
      </c>
      <c r="Y117" s="117" t="str">
        <f t="shared" si="4"/>
        <v>OK</v>
      </c>
      <c r="Z117" s="111" t="s">
        <v>116</v>
      </c>
      <c r="AA117" s="111" t="s">
        <v>115</v>
      </c>
      <c r="AB117" s="111" t="s">
        <v>115</v>
      </c>
      <c r="AC117" s="111" t="s">
        <v>115</v>
      </c>
      <c r="AD117" s="111"/>
    </row>
    <row r="118" spans="2:30" ht="24.75" customHeight="1" x14ac:dyDescent="0.25">
      <c r="B118" s="108">
        <v>45124</v>
      </c>
      <c r="C118" s="109" t="s">
        <v>97</v>
      </c>
      <c r="D118" s="109">
        <v>29</v>
      </c>
      <c r="E118" s="110" t="str">
        <f t="shared" si="3"/>
        <v>20230717-113</v>
      </c>
      <c r="F118" s="111" t="s">
        <v>98</v>
      </c>
      <c r="G118" s="111" t="s">
        <v>99</v>
      </c>
      <c r="H118" s="112" t="s">
        <v>942</v>
      </c>
      <c r="I118" s="113">
        <v>1525</v>
      </c>
      <c r="J118" s="111" t="s">
        <v>101</v>
      </c>
      <c r="K118" s="111" t="s">
        <v>279</v>
      </c>
      <c r="L118" s="111" t="s">
        <v>103</v>
      </c>
      <c r="M118" s="111" t="s">
        <v>104</v>
      </c>
      <c r="N118" s="111" t="s">
        <v>824</v>
      </c>
      <c r="O118" s="111" t="s">
        <v>106</v>
      </c>
      <c r="P118" s="111" t="s">
        <v>107</v>
      </c>
      <c r="Q118" s="110" t="s">
        <v>108</v>
      </c>
      <c r="R118" s="110" t="s">
        <v>109</v>
      </c>
      <c r="S118" s="111" t="s">
        <v>825</v>
      </c>
      <c r="T118" s="111" t="s">
        <v>111</v>
      </c>
      <c r="U118" s="111" t="s">
        <v>103</v>
      </c>
      <c r="V118" s="118">
        <f t="shared" si="5"/>
        <v>4.61133069828722E-3</v>
      </c>
      <c r="W118" s="114" t="str">
        <f>IFERROR(I118-AVERAGEIFS(I$6:I117,J$6:J117,"ICIS / Platts",B$6:B117,B118),"")</f>
        <v/>
      </c>
      <c r="X118" s="110" t="s">
        <v>113</v>
      </c>
      <c r="Y118" s="117" t="str">
        <f t="shared" si="4"/>
        <v>OK</v>
      </c>
      <c r="Z118" s="111" t="s">
        <v>116</v>
      </c>
      <c r="AA118" s="111" t="s">
        <v>115</v>
      </c>
      <c r="AB118" s="111" t="s">
        <v>115</v>
      </c>
      <c r="AC118" s="111" t="s">
        <v>116</v>
      </c>
      <c r="AD118" s="111"/>
    </row>
    <row r="119" spans="2:30" ht="24.75" customHeight="1" x14ac:dyDescent="0.25">
      <c r="B119" s="115">
        <v>45125</v>
      </c>
      <c r="C119" s="116" t="s">
        <v>117</v>
      </c>
      <c r="D119" s="116">
        <v>29</v>
      </c>
      <c r="E119" s="110" t="str">
        <f t="shared" si="3"/>
        <v>20230718-114</v>
      </c>
      <c r="F119" s="111" t="s">
        <v>98</v>
      </c>
      <c r="G119" s="111" t="s">
        <v>99</v>
      </c>
      <c r="H119" s="112" t="s">
        <v>942</v>
      </c>
      <c r="I119" s="113">
        <v>1521.88</v>
      </c>
      <c r="J119" s="111" t="s">
        <v>118</v>
      </c>
      <c r="K119" s="111" t="s">
        <v>943</v>
      </c>
      <c r="L119" s="111" t="s">
        <v>103</v>
      </c>
      <c r="M119" s="111" t="s">
        <v>104</v>
      </c>
      <c r="N119" s="111" t="s">
        <v>827</v>
      </c>
      <c r="O119" s="111" t="s">
        <v>121</v>
      </c>
      <c r="P119" s="111" t="s">
        <v>132</v>
      </c>
      <c r="Q119" s="110" t="s">
        <v>123</v>
      </c>
      <c r="R119" s="110" t="s">
        <v>134</v>
      </c>
      <c r="S119" s="111" t="s">
        <v>825</v>
      </c>
      <c r="T119" s="111" t="s">
        <v>111</v>
      </c>
      <c r="U119" s="111" t="s">
        <v>103</v>
      </c>
      <c r="V119" s="118">
        <f t="shared" si="5"/>
        <v>-2.7503003348413952E-2</v>
      </c>
      <c r="W119" s="114" t="str">
        <f>IFERROR(I119-AVERAGEIFS(I$6:I118,J$6:J118,"ICIS / Platts",B$6:B118,B119),"")</f>
        <v/>
      </c>
      <c r="X119" s="110" t="s">
        <v>125</v>
      </c>
      <c r="Y119" s="117" t="str">
        <f t="shared" si="4"/>
        <v>OK</v>
      </c>
      <c r="Z119" s="111" t="s">
        <v>116</v>
      </c>
      <c r="AA119" s="111" t="s">
        <v>115</v>
      </c>
      <c r="AB119" s="111" t="s">
        <v>115</v>
      </c>
      <c r="AC119" s="111" t="s">
        <v>116</v>
      </c>
      <c r="AD119" s="111"/>
    </row>
    <row r="120" spans="2:30" ht="24.75" customHeight="1" x14ac:dyDescent="0.25">
      <c r="B120" s="108">
        <v>45126</v>
      </c>
      <c r="C120" s="109" t="s">
        <v>126</v>
      </c>
      <c r="D120" s="109">
        <v>29</v>
      </c>
      <c r="E120" s="110" t="str">
        <f t="shared" si="3"/>
        <v>20230719-115</v>
      </c>
      <c r="F120" s="111" t="s">
        <v>98</v>
      </c>
      <c r="G120" s="111" t="s">
        <v>99</v>
      </c>
      <c r="H120" s="112" t="s">
        <v>942</v>
      </c>
      <c r="I120" s="113">
        <v>1539.96</v>
      </c>
      <c r="J120" s="111" t="s">
        <v>127</v>
      </c>
      <c r="K120" s="111" t="s">
        <v>944</v>
      </c>
      <c r="L120" s="111" t="s">
        <v>129</v>
      </c>
      <c r="M120" s="111" t="s">
        <v>104</v>
      </c>
      <c r="N120" s="111" t="s">
        <v>829</v>
      </c>
      <c r="O120" s="111" t="s">
        <v>131</v>
      </c>
      <c r="P120" s="111" t="s">
        <v>830</v>
      </c>
      <c r="Q120" s="110" t="s">
        <v>133</v>
      </c>
      <c r="R120" s="110" t="s">
        <v>831</v>
      </c>
      <c r="S120" s="111" t="s">
        <v>832</v>
      </c>
      <c r="T120" s="111" t="s">
        <v>136</v>
      </c>
      <c r="U120" s="111" t="s">
        <v>129</v>
      </c>
      <c r="V120" s="118">
        <f t="shared" si="5"/>
        <v>5.7932583976122365E-3</v>
      </c>
      <c r="W120" s="114" t="str">
        <f>IFERROR(I120-AVERAGEIFS(I$6:I119,J$6:J119,"ICIS / Platts",B$6:B119,B120),"")</f>
        <v/>
      </c>
      <c r="X120" s="110" t="s">
        <v>137</v>
      </c>
      <c r="Y120" s="117" t="str">
        <f t="shared" si="4"/>
        <v>OK</v>
      </c>
      <c r="Z120" s="111" t="s">
        <v>116</v>
      </c>
      <c r="AA120" s="111" t="s">
        <v>115</v>
      </c>
      <c r="AB120" s="111" t="s">
        <v>115</v>
      </c>
      <c r="AC120" s="111" t="s">
        <v>116</v>
      </c>
      <c r="AD120" s="111"/>
    </row>
    <row r="121" spans="2:30" ht="24.75" customHeight="1" x14ac:dyDescent="0.25">
      <c r="B121" s="115">
        <v>45128</v>
      </c>
      <c r="C121" s="116" t="s">
        <v>138</v>
      </c>
      <c r="D121" s="116">
        <v>29</v>
      </c>
      <c r="E121" s="110" t="str">
        <f t="shared" si="3"/>
        <v>20230721-116</v>
      </c>
      <c r="F121" s="111" t="s">
        <v>98</v>
      </c>
      <c r="G121" s="111" t="s">
        <v>99</v>
      </c>
      <c r="H121" s="112" t="s">
        <v>942</v>
      </c>
      <c r="I121" s="113">
        <v>1524.46</v>
      </c>
      <c r="J121" s="111" t="s">
        <v>139</v>
      </c>
      <c r="K121" s="111" t="s">
        <v>945</v>
      </c>
      <c r="L121" s="111" t="s">
        <v>103</v>
      </c>
      <c r="M121" s="111" t="s">
        <v>104</v>
      </c>
      <c r="N121" s="111" t="s">
        <v>824</v>
      </c>
      <c r="O121" s="111" t="s">
        <v>106</v>
      </c>
      <c r="P121" s="111" t="s">
        <v>141</v>
      </c>
      <c r="Q121" s="110" t="s">
        <v>133</v>
      </c>
      <c r="R121" s="110" t="s">
        <v>142</v>
      </c>
      <c r="S121" s="111" t="s">
        <v>825</v>
      </c>
      <c r="T121" s="111" t="s">
        <v>111</v>
      </c>
      <c r="U121" s="111" t="s">
        <v>103</v>
      </c>
      <c r="V121" s="118">
        <f t="shared" si="5"/>
        <v>-1.2220407951688503E-2</v>
      </c>
      <c r="W121" s="114" t="str">
        <f>IFERROR(I121-AVERAGEIFS(I$6:I120,J$6:J120,"ICIS / Platts",B$6:B120,B121),"")</f>
        <v/>
      </c>
      <c r="X121" s="110" t="s">
        <v>125</v>
      </c>
      <c r="Y121" s="117" t="str">
        <f t="shared" si="4"/>
        <v>OK</v>
      </c>
      <c r="Z121" s="111" t="s">
        <v>116</v>
      </c>
      <c r="AA121" s="111" t="s">
        <v>115</v>
      </c>
      <c r="AB121" s="111" t="s">
        <v>115</v>
      </c>
      <c r="AC121" s="111" t="s">
        <v>116</v>
      </c>
      <c r="AD121" s="111"/>
    </row>
    <row r="122" spans="2:30" ht="24.75" customHeight="1" x14ac:dyDescent="0.25">
      <c r="B122" s="108">
        <v>45131</v>
      </c>
      <c r="C122" s="109" t="s">
        <v>97</v>
      </c>
      <c r="D122" s="109">
        <v>30</v>
      </c>
      <c r="E122" s="110" t="str">
        <f t="shared" si="3"/>
        <v>20230724-117</v>
      </c>
      <c r="F122" s="111" t="s">
        <v>98</v>
      </c>
      <c r="G122" s="111" t="s">
        <v>99</v>
      </c>
      <c r="H122" s="112" t="s">
        <v>946</v>
      </c>
      <c r="I122" s="113">
        <v>1532</v>
      </c>
      <c r="J122" s="111" t="s">
        <v>101</v>
      </c>
      <c r="K122" s="111" t="s">
        <v>284</v>
      </c>
      <c r="L122" s="111" t="s">
        <v>103</v>
      </c>
      <c r="M122" s="111" t="s">
        <v>104</v>
      </c>
      <c r="N122" s="111" t="s">
        <v>824</v>
      </c>
      <c r="O122" s="111" t="s">
        <v>106</v>
      </c>
      <c r="P122" s="111" t="s">
        <v>107</v>
      </c>
      <c r="Q122" s="110" t="s">
        <v>108</v>
      </c>
      <c r="R122" s="110" t="s">
        <v>109</v>
      </c>
      <c r="S122" s="111" t="s">
        <v>825</v>
      </c>
      <c r="T122" s="111" t="s">
        <v>111</v>
      </c>
      <c r="U122" s="111" t="s">
        <v>103</v>
      </c>
      <c r="V122" s="118">
        <f t="shared" si="5"/>
        <v>4.5901639344262295E-3</v>
      </c>
      <c r="W122" s="114" t="str">
        <f>IFERROR(I122-AVERAGEIFS(I$6:I121,J$6:J121,"ICIS / Platts",B$6:B121,B122),"")</f>
        <v/>
      </c>
      <c r="X122" s="110" t="s">
        <v>113</v>
      </c>
      <c r="Y122" s="117" t="str">
        <f t="shared" si="4"/>
        <v>OK</v>
      </c>
      <c r="Z122" s="111" t="s">
        <v>116</v>
      </c>
      <c r="AA122" s="111" t="s">
        <v>115</v>
      </c>
      <c r="AB122" s="111" t="s">
        <v>116</v>
      </c>
      <c r="AC122" s="111" t="s">
        <v>116</v>
      </c>
      <c r="AD122" s="111"/>
    </row>
    <row r="123" spans="2:30" ht="24.75" customHeight="1" x14ac:dyDescent="0.25">
      <c r="B123" s="115">
        <v>45132</v>
      </c>
      <c r="C123" s="116" t="s">
        <v>117</v>
      </c>
      <c r="D123" s="116">
        <v>30</v>
      </c>
      <c r="E123" s="110" t="str">
        <f t="shared" si="3"/>
        <v>20230725-118</v>
      </c>
      <c r="F123" s="111" t="s">
        <v>98</v>
      </c>
      <c r="G123" s="111" t="s">
        <v>99</v>
      </c>
      <c r="H123" s="112" t="s">
        <v>946</v>
      </c>
      <c r="I123" s="113">
        <v>1542.47</v>
      </c>
      <c r="J123" s="111" t="s">
        <v>118</v>
      </c>
      <c r="K123" s="111" t="s">
        <v>947</v>
      </c>
      <c r="L123" s="111" t="s">
        <v>103</v>
      </c>
      <c r="M123" s="111" t="s">
        <v>104</v>
      </c>
      <c r="N123" s="111" t="s">
        <v>827</v>
      </c>
      <c r="O123" s="111" t="s">
        <v>121</v>
      </c>
      <c r="P123" s="111" t="s">
        <v>132</v>
      </c>
      <c r="Q123" s="110" t="s">
        <v>123</v>
      </c>
      <c r="R123" s="110" t="s">
        <v>134</v>
      </c>
      <c r="S123" s="111" t="s">
        <v>825</v>
      </c>
      <c r="T123" s="111" t="s">
        <v>111</v>
      </c>
      <c r="U123" s="111" t="s">
        <v>103</v>
      </c>
      <c r="V123" s="118">
        <f t="shared" si="5"/>
        <v>1.3529319000183929E-2</v>
      </c>
      <c r="W123" s="114" t="str">
        <f>IFERROR(I123-AVERAGEIFS(I$6:I122,J$6:J122,"ICIS / Platts",B$6:B122,B123),"")</f>
        <v/>
      </c>
      <c r="X123" s="110" t="s">
        <v>125</v>
      </c>
      <c r="Y123" s="117" t="str">
        <f t="shared" si="4"/>
        <v>OK</v>
      </c>
      <c r="Z123" s="111" t="s">
        <v>116</v>
      </c>
      <c r="AA123" s="111" t="s">
        <v>115</v>
      </c>
      <c r="AB123" s="111" t="s">
        <v>116</v>
      </c>
      <c r="AC123" s="111" t="s">
        <v>116</v>
      </c>
      <c r="AD123" s="111"/>
    </row>
    <row r="124" spans="2:30" ht="24.75" customHeight="1" x14ac:dyDescent="0.25">
      <c r="B124" s="108">
        <v>45133</v>
      </c>
      <c r="C124" s="109" t="s">
        <v>126</v>
      </c>
      <c r="D124" s="109">
        <v>30</v>
      </c>
      <c r="E124" s="110" t="str">
        <f t="shared" si="3"/>
        <v>20230726-119</v>
      </c>
      <c r="F124" s="111" t="s">
        <v>98</v>
      </c>
      <c r="G124" s="111" t="s">
        <v>99</v>
      </c>
      <c r="H124" s="112" t="s">
        <v>946</v>
      </c>
      <c r="I124" s="113">
        <v>1508.76</v>
      </c>
      <c r="J124" s="111" t="s">
        <v>127</v>
      </c>
      <c r="K124" s="111" t="s">
        <v>948</v>
      </c>
      <c r="L124" s="111" t="s">
        <v>129</v>
      </c>
      <c r="M124" s="111" t="s">
        <v>104</v>
      </c>
      <c r="N124" s="111" t="s">
        <v>829</v>
      </c>
      <c r="O124" s="111" t="s">
        <v>131</v>
      </c>
      <c r="P124" s="111" t="s">
        <v>830</v>
      </c>
      <c r="Q124" s="110" t="s">
        <v>133</v>
      </c>
      <c r="R124" s="110" t="s">
        <v>831</v>
      </c>
      <c r="S124" s="111" t="s">
        <v>832</v>
      </c>
      <c r="T124" s="111" t="s">
        <v>136</v>
      </c>
      <c r="U124" s="111" t="s">
        <v>129</v>
      </c>
      <c r="V124" s="118">
        <f t="shared" si="5"/>
        <v>-2.0260266500428611E-2</v>
      </c>
      <c r="W124" s="114" t="str">
        <f>IFERROR(I124-AVERAGEIFS(I$6:I123,J$6:J123,"ICIS / Platts",B$6:B123,B124),"")</f>
        <v/>
      </c>
      <c r="X124" s="110" t="s">
        <v>137</v>
      </c>
      <c r="Y124" s="117" t="str">
        <f t="shared" si="4"/>
        <v>OK</v>
      </c>
      <c r="Z124" s="111" t="s">
        <v>116</v>
      </c>
      <c r="AA124" s="111" t="s">
        <v>115</v>
      </c>
      <c r="AB124" s="111" t="s">
        <v>116</v>
      </c>
      <c r="AC124" s="111" t="s">
        <v>116</v>
      </c>
      <c r="AD124" s="111"/>
    </row>
    <row r="125" spans="2:30" ht="24.75" customHeight="1" x14ac:dyDescent="0.25">
      <c r="B125" s="115">
        <v>45135</v>
      </c>
      <c r="C125" s="116" t="s">
        <v>138</v>
      </c>
      <c r="D125" s="116">
        <v>30</v>
      </c>
      <c r="E125" s="110" t="str">
        <f t="shared" si="3"/>
        <v>20230728-120</v>
      </c>
      <c r="F125" s="111" t="s">
        <v>98</v>
      </c>
      <c r="G125" s="111" t="s">
        <v>99</v>
      </c>
      <c r="H125" s="112" t="s">
        <v>946</v>
      </c>
      <c r="I125" s="113">
        <v>1559.99</v>
      </c>
      <c r="J125" s="111" t="s">
        <v>139</v>
      </c>
      <c r="K125" s="111" t="s">
        <v>949</v>
      </c>
      <c r="L125" s="111" t="s">
        <v>103</v>
      </c>
      <c r="M125" s="111" t="s">
        <v>104</v>
      </c>
      <c r="N125" s="111" t="s">
        <v>824</v>
      </c>
      <c r="O125" s="111" t="s">
        <v>106</v>
      </c>
      <c r="P125" s="111" t="s">
        <v>141</v>
      </c>
      <c r="Q125" s="110" t="s">
        <v>133</v>
      </c>
      <c r="R125" s="110" t="s">
        <v>142</v>
      </c>
      <c r="S125" s="111" t="s">
        <v>825</v>
      </c>
      <c r="T125" s="111" t="s">
        <v>111</v>
      </c>
      <c r="U125" s="111" t="s">
        <v>103</v>
      </c>
      <c r="V125" s="118">
        <f t="shared" si="5"/>
        <v>2.3306613489366707E-2</v>
      </c>
      <c r="W125" s="114" t="str">
        <f>IFERROR(I125-AVERAGEIFS(I$6:I124,J$6:J124,"ICIS / Platts",B$6:B124,B125),"")</f>
        <v/>
      </c>
      <c r="X125" s="110" t="s">
        <v>125</v>
      </c>
      <c r="Y125" s="117" t="str">
        <f t="shared" si="4"/>
        <v>OK</v>
      </c>
      <c r="Z125" s="111" t="s">
        <v>116</v>
      </c>
      <c r="AA125" s="111" t="s">
        <v>115</v>
      </c>
      <c r="AB125" s="111" t="s">
        <v>116</v>
      </c>
      <c r="AC125" s="111" t="s">
        <v>116</v>
      </c>
      <c r="AD125" s="111"/>
    </row>
    <row r="126" spans="2:30" ht="24.75" customHeight="1" x14ac:dyDescent="0.25">
      <c r="B126" s="108">
        <v>45138</v>
      </c>
      <c r="C126" s="109" t="s">
        <v>97</v>
      </c>
      <c r="D126" s="109">
        <v>31</v>
      </c>
      <c r="E126" s="110" t="str">
        <f t="shared" si="3"/>
        <v>20230731-121</v>
      </c>
      <c r="F126" s="111" t="s">
        <v>98</v>
      </c>
      <c r="G126" s="111" t="s">
        <v>99</v>
      </c>
      <c r="H126" s="112" t="s">
        <v>950</v>
      </c>
      <c r="I126" s="113">
        <v>1540</v>
      </c>
      <c r="J126" s="111" t="s">
        <v>101</v>
      </c>
      <c r="K126" s="111" t="s">
        <v>289</v>
      </c>
      <c r="L126" s="111" t="s">
        <v>103</v>
      </c>
      <c r="M126" s="111" t="s">
        <v>104</v>
      </c>
      <c r="N126" s="111" t="s">
        <v>824</v>
      </c>
      <c r="O126" s="111" t="s">
        <v>106</v>
      </c>
      <c r="P126" s="111" t="s">
        <v>107</v>
      </c>
      <c r="Q126" s="110" t="s">
        <v>108</v>
      </c>
      <c r="R126" s="110" t="s">
        <v>109</v>
      </c>
      <c r="S126" s="111" t="s">
        <v>825</v>
      </c>
      <c r="T126" s="111" t="s">
        <v>111</v>
      </c>
      <c r="U126" s="111" t="s">
        <v>103</v>
      </c>
      <c r="V126" s="118">
        <f t="shared" si="5"/>
        <v>5.2219321148825066E-3</v>
      </c>
      <c r="W126" s="114" t="str">
        <f>IFERROR(I126-AVERAGEIFS(I$6:I125,J$6:J125,"ICIS / Platts",B$6:B125,B126),"")</f>
        <v/>
      </c>
      <c r="X126" s="110" t="s">
        <v>113</v>
      </c>
      <c r="Y126" s="117" t="str">
        <f t="shared" si="4"/>
        <v>OK</v>
      </c>
      <c r="Z126" s="111" t="s">
        <v>116</v>
      </c>
      <c r="AA126" s="111" t="s">
        <v>115</v>
      </c>
      <c r="AB126" s="111" t="s">
        <v>116</v>
      </c>
      <c r="AC126" s="111" t="s">
        <v>116</v>
      </c>
      <c r="AD126" s="111"/>
    </row>
    <row r="127" spans="2:30" ht="24.75" customHeight="1" x14ac:dyDescent="0.25">
      <c r="B127" s="115">
        <v>45139</v>
      </c>
      <c r="C127" s="116" t="s">
        <v>117</v>
      </c>
      <c r="D127" s="116">
        <v>31</v>
      </c>
      <c r="E127" s="110" t="str">
        <f t="shared" si="3"/>
        <v>20230801-122</v>
      </c>
      <c r="F127" s="111" t="s">
        <v>98</v>
      </c>
      <c r="G127" s="111" t="s">
        <v>99</v>
      </c>
      <c r="H127" s="112" t="s">
        <v>950</v>
      </c>
      <c r="I127" s="113">
        <v>1586.69</v>
      </c>
      <c r="J127" s="111" t="s">
        <v>118</v>
      </c>
      <c r="K127" s="111" t="s">
        <v>951</v>
      </c>
      <c r="L127" s="111" t="s">
        <v>103</v>
      </c>
      <c r="M127" s="111" t="s">
        <v>104</v>
      </c>
      <c r="N127" s="111" t="s">
        <v>827</v>
      </c>
      <c r="O127" s="111" t="s">
        <v>121</v>
      </c>
      <c r="P127" s="111" t="s">
        <v>132</v>
      </c>
      <c r="Q127" s="110" t="s">
        <v>123</v>
      </c>
      <c r="R127" s="110" t="s">
        <v>134</v>
      </c>
      <c r="S127" s="111" t="s">
        <v>825</v>
      </c>
      <c r="T127" s="111" t="s">
        <v>111</v>
      </c>
      <c r="U127" s="111" t="s">
        <v>103</v>
      </c>
      <c r="V127" s="118">
        <f t="shared" si="5"/>
        <v>2.8668304732020738E-2</v>
      </c>
      <c r="W127" s="114" t="str">
        <f>IFERROR(I127-AVERAGEIFS(I$6:I126,J$6:J126,"ICIS / Platts",B$6:B126,B127),"")</f>
        <v/>
      </c>
      <c r="X127" s="110" t="s">
        <v>125</v>
      </c>
      <c r="Y127" s="117" t="str">
        <f t="shared" si="4"/>
        <v>OK</v>
      </c>
      <c r="Z127" s="111" t="s">
        <v>116</v>
      </c>
      <c r="AA127" s="111" t="s">
        <v>115</v>
      </c>
      <c r="AB127" s="111" t="s">
        <v>116</v>
      </c>
      <c r="AC127" s="111" t="s">
        <v>116</v>
      </c>
      <c r="AD127" s="111"/>
    </row>
    <row r="128" spans="2:30" ht="24.75" customHeight="1" x14ac:dyDescent="0.25">
      <c r="B128" s="108">
        <v>45140</v>
      </c>
      <c r="C128" s="109" t="s">
        <v>126</v>
      </c>
      <c r="D128" s="109">
        <v>31</v>
      </c>
      <c r="E128" s="110" t="str">
        <f t="shared" si="3"/>
        <v>20230802-123</v>
      </c>
      <c r="F128" s="111" t="s">
        <v>98</v>
      </c>
      <c r="G128" s="111" t="s">
        <v>99</v>
      </c>
      <c r="H128" s="112" t="s">
        <v>950</v>
      </c>
      <c r="I128" s="113">
        <v>1577.45</v>
      </c>
      <c r="J128" s="111" t="s">
        <v>127</v>
      </c>
      <c r="K128" s="111" t="s">
        <v>952</v>
      </c>
      <c r="L128" s="111" t="s">
        <v>129</v>
      </c>
      <c r="M128" s="111" t="s">
        <v>104</v>
      </c>
      <c r="N128" s="111" t="s">
        <v>829</v>
      </c>
      <c r="O128" s="111" t="s">
        <v>131</v>
      </c>
      <c r="P128" s="111" t="s">
        <v>830</v>
      </c>
      <c r="Q128" s="110" t="s">
        <v>133</v>
      </c>
      <c r="R128" s="110" t="s">
        <v>831</v>
      </c>
      <c r="S128" s="111" t="s">
        <v>832</v>
      </c>
      <c r="T128" s="111" t="s">
        <v>136</v>
      </c>
      <c r="U128" s="111" t="s">
        <v>129</v>
      </c>
      <c r="V128" s="118">
        <f t="shared" si="5"/>
        <v>4.5527453007768004E-2</v>
      </c>
      <c r="W128" s="114" t="str">
        <f>IFERROR(I128-AVERAGEIFS(I$6:I127,J$6:J127,"ICIS / Platts",B$6:B127,B128),"")</f>
        <v/>
      </c>
      <c r="X128" s="110" t="s">
        <v>137</v>
      </c>
      <c r="Y128" s="117" t="str">
        <f t="shared" si="4"/>
        <v>OK</v>
      </c>
      <c r="Z128" s="111" t="s">
        <v>116</v>
      </c>
      <c r="AA128" s="111" t="s">
        <v>115</v>
      </c>
      <c r="AB128" s="111" t="s">
        <v>116</v>
      </c>
      <c r="AC128" s="111" t="s">
        <v>116</v>
      </c>
      <c r="AD128" s="111"/>
    </row>
    <row r="129" spans="2:30" ht="24.75" customHeight="1" x14ac:dyDescent="0.25">
      <c r="B129" s="115">
        <v>45142</v>
      </c>
      <c r="C129" s="116" t="s">
        <v>138</v>
      </c>
      <c r="D129" s="116">
        <v>31</v>
      </c>
      <c r="E129" s="110" t="str">
        <f t="shared" si="3"/>
        <v>20230804-124</v>
      </c>
      <c r="F129" s="111" t="s">
        <v>98</v>
      </c>
      <c r="G129" s="111" t="s">
        <v>99</v>
      </c>
      <c r="H129" s="112" t="s">
        <v>950</v>
      </c>
      <c r="I129" s="113">
        <v>1519.72</v>
      </c>
      <c r="J129" s="111" t="s">
        <v>139</v>
      </c>
      <c r="K129" s="111" t="s">
        <v>953</v>
      </c>
      <c r="L129" s="111" t="s">
        <v>103</v>
      </c>
      <c r="M129" s="111" t="s">
        <v>104</v>
      </c>
      <c r="N129" s="111" t="s">
        <v>824</v>
      </c>
      <c r="O129" s="111" t="s">
        <v>106</v>
      </c>
      <c r="P129" s="111" t="s">
        <v>141</v>
      </c>
      <c r="Q129" s="110" t="s">
        <v>133</v>
      </c>
      <c r="R129" s="110" t="s">
        <v>142</v>
      </c>
      <c r="S129" s="111" t="s">
        <v>825</v>
      </c>
      <c r="T129" s="111" t="s">
        <v>111</v>
      </c>
      <c r="U129" s="111" t="s">
        <v>103</v>
      </c>
      <c r="V129" s="118">
        <f t="shared" si="5"/>
        <v>-2.5814268040179732E-2</v>
      </c>
      <c r="W129" s="114" t="str">
        <f>IFERROR(I129-AVERAGEIFS(I$6:I128,J$6:J128,"ICIS / Platts",B$6:B128,B129),"")</f>
        <v/>
      </c>
      <c r="X129" s="110" t="s">
        <v>125</v>
      </c>
      <c r="Y129" s="117" t="str">
        <f t="shared" si="4"/>
        <v>OK</v>
      </c>
      <c r="Z129" s="111" t="s">
        <v>116</v>
      </c>
      <c r="AA129" s="111" t="s">
        <v>115</v>
      </c>
      <c r="AB129" s="111" t="s">
        <v>116</v>
      </c>
      <c r="AC129" s="111" t="s">
        <v>116</v>
      </c>
      <c r="AD129" s="111"/>
    </row>
    <row r="130" spans="2:30" ht="24.75" customHeight="1" x14ac:dyDescent="0.25">
      <c r="B130" s="108">
        <v>45145</v>
      </c>
      <c r="C130" s="109" t="s">
        <v>97</v>
      </c>
      <c r="D130" s="109">
        <v>32</v>
      </c>
      <c r="E130" s="110" t="str">
        <f t="shared" si="3"/>
        <v>20230807-125</v>
      </c>
      <c r="F130" s="111" t="s">
        <v>98</v>
      </c>
      <c r="G130" s="111" t="s">
        <v>99</v>
      </c>
      <c r="H130" s="112" t="s">
        <v>954</v>
      </c>
      <c r="I130" s="113">
        <v>1548</v>
      </c>
      <c r="J130" s="111" t="s">
        <v>101</v>
      </c>
      <c r="K130" s="111" t="s">
        <v>294</v>
      </c>
      <c r="L130" s="111" t="s">
        <v>103</v>
      </c>
      <c r="M130" s="111" t="s">
        <v>104</v>
      </c>
      <c r="N130" s="111" t="s">
        <v>824</v>
      </c>
      <c r="O130" s="111" t="s">
        <v>106</v>
      </c>
      <c r="P130" s="111" t="s">
        <v>107</v>
      </c>
      <c r="Q130" s="110" t="s">
        <v>108</v>
      </c>
      <c r="R130" s="110" t="s">
        <v>109</v>
      </c>
      <c r="S130" s="111" t="s">
        <v>825</v>
      </c>
      <c r="T130" s="111" t="s">
        <v>111</v>
      </c>
      <c r="U130" s="111" t="s">
        <v>103</v>
      </c>
      <c r="V130" s="118">
        <f t="shared" si="5"/>
        <v>5.1948051948051948E-3</v>
      </c>
      <c r="W130" s="114" t="str">
        <f>IFERROR(I130-AVERAGEIFS(I$6:I129,J$6:J129,"ICIS / Platts",B$6:B129,B130),"")</f>
        <v/>
      </c>
      <c r="X130" s="110" t="s">
        <v>113</v>
      </c>
      <c r="Y130" s="117" t="str">
        <f t="shared" si="4"/>
        <v>OK</v>
      </c>
      <c r="Z130" s="111" t="s">
        <v>116</v>
      </c>
      <c r="AA130" s="111" t="s">
        <v>115</v>
      </c>
      <c r="AB130" s="111" t="s">
        <v>116</v>
      </c>
      <c r="AC130" s="111" t="s">
        <v>116</v>
      </c>
      <c r="AD130" s="111"/>
    </row>
    <row r="131" spans="2:30" ht="24.75" customHeight="1" x14ac:dyDescent="0.25">
      <c r="B131" s="115">
        <v>45146</v>
      </c>
      <c r="C131" s="116" t="s">
        <v>117</v>
      </c>
      <c r="D131" s="116">
        <v>32</v>
      </c>
      <c r="E131" s="110" t="str">
        <f t="shared" si="3"/>
        <v>20230808-126</v>
      </c>
      <c r="F131" s="111" t="s">
        <v>98</v>
      </c>
      <c r="G131" s="111" t="s">
        <v>99</v>
      </c>
      <c r="H131" s="112" t="s">
        <v>954</v>
      </c>
      <c r="I131" s="113">
        <v>1532.89</v>
      </c>
      <c r="J131" s="111" t="s">
        <v>118</v>
      </c>
      <c r="K131" s="111" t="s">
        <v>955</v>
      </c>
      <c r="L131" s="111" t="s">
        <v>103</v>
      </c>
      <c r="M131" s="111" t="s">
        <v>104</v>
      </c>
      <c r="N131" s="111" t="s">
        <v>827</v>
      </c>
      <c r="O131" s="111" t="s">
        <v>121</v>
      </c>
      <c r="P131" s="111" t="s">
        <v>132</v>
      </c>
      <c r="Q131" s="110" t="s">
        <v>123</v>
      </c>
      <c r="R131" s="110" t="s">
        <v>134</v>
      </c>
      <c r="S131" s="111" t="s">
        <v>825</v>
      </c>
      <c r="T131" s="111" t="s">
        <v>111</v>
      </c>
      <c r="U131" s="111" t="s">
        <v>103</v>
      </c>
      <c r="V131" s="118">
        <f t="shared" si="5"/>
        <v>-3.3907064391910172E-2</v>
      </c>
      <c r="W131" s="114" t="str">
        <f>IFERROR(I131-AVERAGEIFS(I$6:I130,J$6:J130,"ICIS / Platts",B$6:B130,B131),"")</f>
        <v/>
      </c>
      <c r="X131" s="110" t="s">
        <v>125</v>
      </c>
      <c r="Y131" s="117" t="str">
        <f t="shared" si="4"/>
        <v>OK</v>
      </c>
      <c r="Z131" s="111" t="s">
        <v>116</v>
      </c>
      <c r="AA131" s="111" t="s">
        <v>115</v>
      </c>
      <c r="AB131" s="111" t="s">
        <v>116</v>
      </c>
      <c r="AC131" s="111" t="s">
        <v>116</v>
      </c>
      <c r="AD131" s="111"/>
    </row>
    <row r="132" spans="2:30" ht="24.75" customHeight="1" x14ac:dyDescent="0.25">
      <c r="B132" s="108">
        <v>45147</v>
      </c>
      <c r="C132" s="109" t="s">
        <v>126</v>
      </c>
      <c r="D132" s="109">
        <v>32</v>
      </c>
      <c r="E132" s="110" t="str">
        <f t="shared" si="3"/>
        <v>20230809-127</v>
      </c>
      <c r="F132" s="111" t="s">
        <v>98</v>
      </c>
      <c r="G132" s="111" t="s">
        <v>99</v>
      </c>
      <c r="H132" s="112" t="s">
        <v>954</v>
      </c>
      <c r="I132" s="113">
        <v>1575.75</v>
      </c>
      <c r="J132" s="111" t="s">
        <v>127</v>
      </c>
      <c r="K132" s="111" t="s">
        <v>956</v>
      </c>
      <c r="L132" s="111" t="s">
        <v>129</v>
      </c>
      <c r="M132" s="111" t="s">
        <v>104</v>
      </c>
      <c r="N132" s="111" t="s">
        <v>829</v>
      </c>
      <c r="O132" s="111" t="s">
        <v>131</v>
      </c>
      <c r="P132" s="111" t="s">
        <v>830</v>
      </c>
      <c r="Q132" s="110" t="s">
        <v>133</v>
      </c>
      <c r="R132" s="110" t="s">
        <v>831</v>
      </c>
      <c r="S132" s="111" t="s">
        <v>832</v>
      </c>
      <c r="T132" s="111" t="s">
        <v>136</v>
      </c>
      <c r="U132" s="111" t="s">
        <v>129</v>
      </c>
      <c r="V132" s="118">
        <f t="shared" si="5"/>
        <v>-1.0776886747599261E-3</v>
      </c>
      <c r="W132" s="114" t="str">
        <f>IFERROR(I132-AVERAGEIFS(I$6:I131,J$6:J131,"ICIS / Platts",B$6:B131,B132),"")</f>
        <v/>
      </c>
      <c r="X132" s="110" t="s">
        <v>137</v>
      </c>
      <c r="Y132" s="117" t="str">
        <f t="shared" si="4"/>
        <v>OK</v>
      </c>
      <c r="Z132" s="111" t="s">
        <v>116</v>
      </c>
      <c r="AA132" s="111" t="s">
        <v>115</v>
      </c>
      <c r="AB132" s="111" t="s">
        <v>116</v>
      </c>
      <c r="AC132" s="111" t="s">
        <v>116</v>
      </c>
      <c r="AD132" s="111"/>
    </row>
    <row r="133" spans="2:30" ht="24.75" customHeight="1" x14ac:dyDescent="0.25">
      <c r="B133" s="115">
        <v>45149</v>
      </c>
      <c r="C133" s="116" t="s">
        <v>138</v>
      </c>
      <c r="D133" s="116">
        <v>32</v>
      </c>
      <c r="E133" s="110" t="str">
        <f t="shared" si="3"/>
        <v>20230811-128</v>
      </c>
      <c r="F133" s="111" t="s">
        <v>98</v>
      </c>
      <c r="G133" s="111" t="s">
        <v>99</v>
      </c>
      <c r="H133" s="112" t="s">
        <v>954</v>
      </c>
      <c r="I133" s="113">
        <v>1529.51</v>
      </c>
      <c r="J133" s="111" t="s">
        <v>139</v>
      </c>
      <c r="K133" s="111" t="s">
        <v>957</v>
      </c>
      <c r="L133" s="111" t="s">
        <v>103</v>
      </c>
      <c r="M133" s="111" t="s">
        <v>104</v>
      </c>
      <c r="N133" s="111" t="s">
        <v>824</v>
      </c>
      <c r="O133" s="111" t="s">
        <v>106</v>
      </c>
      <c r="P133" s="111" t="s">
        <v>141</v>
      </c>
      <c r="Q133" s="110" t="s">
        <v>133</v>
      </c>
      <c r="R133" s="110" t="s">
        <v>142</v>
      </c>
      <c r="S133" s="111" t="s">
        <v>825</v>
      </c>
      <c r="T133" s="111" t="s">
        <v>111</v>
      </c>
      <c r="U133" s="111" t="s">
        <v>103</v>
      </c>
      <c r="V133" s="118">
        <f t="shared" si="5"/>
        <v>6.4419761535019372E-3</v>
      </c>
      <c r="W133" s="114" t="str">
        <f>IFERROR(I133-AVERAGEIFS(I$6:I132,J$6:J132,"ICIS / Platts",B$6:B132,B133),"")</f>
        <v/>
      </c>
      <c r="X133" s="110" t="s">
        <v>125</v>
      </c>
      <c r="Y133" s="117" t="str">
        <f t="shared" si="4"/>
        <v>OK</v>
      </c>
      <c r="Z133" s="111" t="s">
        <v>116</v>
      </c>
      <c r="AA133" s="111" t="s">
        <v>115</v>
      </c>
      <c r="AB133" s="111" t="s">
        <v>116</v>
      </c>
      <c r="AC133" s="111" t="s">
        <v>116</v>
      </c>
      <c r="AD133" s="111"/>
    </row>
    <row r="134" spans="2:30" ht="24.75" customHeight="1" x14ac:dyDescent="0.25">
      <c r="B134" s="108">
        <v>45152</v>
      </c>
      <c r="C134" s="109" t="s">
        <v>97</v>
      </c>
      <c r="D134" s="109">
        <v>33</v>
      </c>
      <c r="E134" s="110" t="str">
        <f t="shared" ref="E134:E197" si="6">TEXT(B134,"YYYYMMDD")&amp;"-"&amp;TEXT(ROW()-5,"000")</f>
        <v>20230814-129</v>
      </c>
      <c r="F134" s="111" t="s">
        <v>98</v>
      </c>
      <c r="G134" s="111" t="s">
        <v>99</v>
      </c>
      <c r="H134" s="112" t="s">
        <v>958</v>
      </c>
      <c r="I134" s="113">
        <v>1555</v>
      </c>
      <c r="J134" s="111" t="s">
        <v>101</v>
      </c>
      <c r="K134" s="111" t="s">
        <v>299</v>
      </c>
      <c r="L134" s="111" t="s">
        <v>103</v>
      </c>
      <c r="M134" s="111" t="s">
        <v>104</v>
      </c>
      <c r="N134" s="111" t="s">
        <v>824</v>
      </c>
      <c r="O134" s="111" t="s">
        <v>106</v>
      </c>
      <c r="P134" s="111" t="s">
        <v>107</v>
      </c>
      <c r="Q134" s="110" t="s">
        <v>108</v>
      </c>
      <c r="R134" s="110" t="s">
        <v>109</v>
      </c>
      <c r="S134" s="111" t="s">
        <v>825</v>
      </c>
      <c r="T134" s="111" t="s">
        <v>111</v>
      </c>
      <c r="U134" s="111" t="s">
        <v>103</v>
      </c>
      <c r="V134" s="118">
        <f t="shared" si="5"/>
        <v>4.5219638242894053E-3</v>
      </c>
      <c r="W134" s="114" t="str">
        <f>IFERROR(I134-AVERAGEIFS(I$6:I133,J$6:J133,"ICIS / Platts",B$6:B133,B134),"")</f>
        <v/>
      </c>
      <c r="X134" s="110" t="s">
        <v>113</v>
      </c>
      <c r="Y134" s="117" t="str">
        <f t="shared" si="4"/>
        <v>OK</v>
      </c>
      <c r="Z134" s="111" t="s">
        <v>116</v>
      </c>
      <c r="AA134" s="111" t="s">
        <v>115</v>
      </c>
      <c r="AB134" s="111" t="s">
        <v>116</v>
      </c>
      <c r="AC134" s="111" t="s">
        <v>116</v>
      </c>
      <c r="AD134" s="111"/>
    </row>
    <row r="135" spans="2:30" ht="24.75" customHeight="1" x14ac:dyDescent="0.25">
      <c r="B135" s="115">
        <v>45153</v>
      </c>
      <c r="C135" s="116" t="s">
        <v>117</v>
      </c>
      <c r="D135" s="116">
        <v>33</v>
      </c>
      <c r="E135" s="110" t="str">
        <f t="shared" si="6"/>
        <v>20230815-130</v>
      </c>
      <c r="F135" s="111" t="s">
        <v>98</v>
      </c>
      <c r="G135" s="111" t="s">
        <v>99</v>
      </c>
      <c r="H135" s="112" t="s">
        <v>958</v>
      </c>
      <c r="I135" s="113">
        <v>1575.05</v>
      </c>
      <c r="J135" s="111" t="s">
        <v>118</v>
      </c>
      <c r="K135" s="111" t="s">
        <v>959</v>
      </c>
      <c r="L135" s="111" t="s">
        <v>103</v>
      </c>
      <c r="M135" s="111" t="s">
        <v>104</v>
      </c>
      <c r="N135" s="111" t="s">
        <v>827</v>
      </c>
      <c r="O135" s="111" t="s">
        <v>121</v>
      </c>
      <c r="P135" s="111" t="s">
        <v>132</v>
      </c>
      <c r="Q135" s="110" t="s">
        <v>123</v>
      </c>
      <c r="R135" s="110" t="s">
        <v>134</v>
      </c>
      <c r="S135" s="111" t="s">
        <v>825</v>
      </c>
      <c r="T135" s="111" t="s">
        <v>111</v>
      </c>
      <c r="U135" s="111" t="s">
        <v>103</v>
      </c>
      <c r="V135" s="118">
        <f t="shared" si="5"/>
        <v>2.7503604302983157E-2</v>
      </c>
      <c r="W135" s="114" t="str">
        <f>IFERROR(I135-AVERAGEIFS(I$6:I134,J$6:J134,"ICIS / Platts",B$6:B134,B135),"")</f>
        <v/>
      </c>
      <c r="X135" s="110" t="s">
        <v>125</v>
      </c>
      <c r="Y135" s="117" t="str">
        <f t="shared" si="4"/>
        <v>OK</v>
      </c>
      <c r="Z135" s="111" t="s">
        <v>116</v>
      </c>
      <c r="AA135" s="111" t="s">
        <v>115</v>
      </c>
      <c r="AB135" s="111" t="s">
        <v>116</v>
      </c>
      <c r="AC135" s="111" t="s">
        <v>116</v>
      </c>
      <c r="AD135" s="111"/>
    </row>
    <row r="136" spans="2:30" ht="24.75" customHeight="1" x14ac:dyDescent="0.25">
      <c r="B136" s="108">
        <v>45154</v>
      </c>
      <c r="C136" s="109" t="s">
        <v>126</v>
      </c>
      <c r="D136" s="109">
        <v>33</v>
      </c>
      <c r="E136" s="110" t="str">
        <f t="shared" si="6"/>
        <v>20230816-131</v>
      </c>
      <c r="F136" s="111" t="s">
        <v>98</v>
      </c>
      <c r="G136" s="111" t="s">
        <v>99</v>
      </c>
      <c r="H136" s="112" t="s">
        <v>958</v>
      </c>
      <c r="I136" s="113">
        <v>1586.21</v>
      </c>
      <c r="J136" s="111" t="s">
        <v>127</v>
      </c>
      <c r="K136" s="111" t="s">
        <v>960</v>
      </c>
      <c r="L136" s="111" t="s">
        <v>129</v>
      </c>
      <c r="M136" s="111" t="s">
        <v>104</v>
      </c>
      <c r="N136" s="111" t="s">
        <v>829</v>
      </c>
      <c r="O136" s="111" t="s">
        <v>131</v>
      </c>
      <c r="P136" s="111" t="s">
        <v>830</v>
      </c>
      <c r="Q136" s="110" t="s">
        <v>133</v>
      </c>
      <c r="R136" s="110" t="s">
        <v>831</v>
      </c>
      <c r="S136" s="111" t="s">
        <v>832</v>
      </c>
      <c r="T136" s="111" t="s">
        <v>136</v>
      </c>
      <c r="U136" s="111" t="s">
        <v>129</v>
      </c>
      <c r="V136" s="118">
        <f t="shared" si="5"/>
        <v>6.6381088370617396E-3</v>
      </c>
      <c r="W136" s="114" t="str">
        <f>IFERROR(I136-AVERAGEIFS(I$6:I135,J$6:J135,"ICIS / Platts",B$6:B135,B136),"")</f>
        <v/>
      </c>
      <c r="X136" s="110" t="s">
        <v>137</v>
      </c>
      <c r="Y136" s="117" t="str">
        <f t="shared" si="4"/>
        <v>OK</v>
      </c>
      <c r="Z136" s="111" t="s">
        <v>116</v>
      </c>
      <c r="AA136" s="111" t="s">
        <v>115</v>
      </c>
      <c r="AB136" s="111" t="s">
        <v>116</v>
      </c>
      <c r="AC136" s="111" t="s">
        <v>116</v>
      </c>
      <c r="AD136" s="111"/>
    </row>
    <row r="137" spans="2:30" ht="24.75" customHeight="1" x14ac:dyDescent="0.25">
      <c r="B137" s="115">
        <v>45156</v>
      </c>
      <c r="C137" s="116" t="s">
        <v>138</v>
      </c>
      <c r="D137" s="116">
        <v>33</v>
      </c>
      <c r="E137" s="110" t="str">
        <f t="shared" si="6"/>
        <v>20230818-132</v>
      </c>
      <c r="F137" s="111" t="s">
        <v>98</v>
      </c>
      <c r="G137" s="111" t="s">
        <v>99</v>
      </c>
      <c r="H137" s="112" t="s">
        <v>958</v>
      </c>
      <c r="I137" s="113">
        <v>1532.96</v>
      </c>
      <c r="J137" s="111" t="s">
        <v>139</v>
      </c>
      <c r="K137" s="111" t="s">
        <v>961</v>
      </c>
      <c r="L137" s="111" t="s">
        <v>103</v>
      </c>
      <c r="M137" s="111" t="s">
        <v>104</v>
      </c>
      <c r="N137" s="111" t="s">
        <v>824</v>
      </c>
      <c r="O137" s="111" t="s">
        <v>106</v>
      </c>
      <c r="P137" s="111" t="s">
        <v>141</v>
      </c>
      <c r="Q137" s="110" t="s">
        <v>133</v>
      </c>
      <c r="R137" s="110" t="s">
        <v>142</v>
      </c>
      <c r="S137" s="111" t="s">
        <v>825</v>
      </c>
      <c r="T137" s="111" t="s">
        <v>111</v>
      </c>
      <c r="U137" s="111" t="s">
        <v>103</v>
      </c>
      <c r="V137" s="118">
        <f t="shared" si="5"/>
        <v>2.2556243502821461E-3</v>
      </c>
      <c r="W137" s="114" t="str">
        <f>IFERROR(I137-AVERAGEIFS(I$6:I136,J$6:J136,"ICIS / Platts",B$6:B136,B137),"")</f>
        <v/>
      </c>
      <c r="X137" s="110" t="s">
        <v>125</v>
      </c>
      <c r="Y137" s="117" t="str">
        <f t="shared" si="4"/>
        <v>OK</v>
      </c>
      <c r="Z137" s="111" t="s">
        <v>116</v>
      </c>
      <c r="AA137" s="111" t="s">
        <v>115</v>
      </c>
      <c r="AB137" s="111" t="s">
        <v>116</v>
      </c>
      <c r="AC137" s="111" t="s">
        <v>116</v>
      </c>
      <c r="AD137" s="111"/>
    </row>
    <row r="138" spans="2:30" ht="24.75" customHeight="1" x14ac:dyDescent="0.25">
      <c r="B138" s="108">
        <v>45159</v>
      </c>
      <c r="C138" s="109" t="s">
        <v>97</v>
      </c>
      <c r="D138" s="109">
        <v>34</v>
      </c>
      <c r="E138" s="110" t="str">
        <f t="shared" si="6"/>
        <v>20230821-133</v>
      </c>
      <c r="F138" s="111" t="s">
        <v>98</v>
      </c>
      <c r="G138" s="111" t="s">
        <v>99</v>
      </c>
      <c r="H138" s="112" t="s">
        <v>962</v>
      </c>
      <c r="I138" s="113">
        <v>1562</v>
      </c>
      <c r="J138" s="111" t="s">
        <v>101</v>
      </c>
      <c r="K138" s="111" t="s">
        <v>304</v>
      </c>
      <c r="L138" s="111" t="s">
        <v>103</v>
      </c>
      <c r="M138" s="111" t="s">
        <v>104</v>
      </c>
      <c r="N138" s="111" t="s">
        <v>824</v>
      </c>
      <c r="O138" s="111" t="s">
        <v>106</v>
      </c>
      <c r="P138" s="111" t="s">
        <v>107</v>
      </c>
      <c r="Q138" s="110" t="s">
        <v>108</v>
      </c>
      <c r="R138" s="110" t="s">
        <v>109</v>
      </c>
      <c r="S138" s="111" t="s">
        <v>825</v>
      </c>
      <c r="T138" s="111" t="s">
        <v>111</v>
      </c>
      <c r="U138" s="111" t="s">
        <v>103</v>
      </c>
      <c r="V138" s="118">
        <f t="shared" si="5"/>
        <v>4.5016077170418004E-3</v>
      </c>
      <c r="W138" s="114" t="str">
        <f>IFERROR(I138-AVERAGEIFS(I$6:I137,J$6:J137,"ICIS / Platts",B$6:B137,B138),"")</f>
        <v/>
      </c>
      <c r="X138" s="110" t="s">
        <v>113</v>
      </c>
      <c r="Y138" s="117" t="str">
        <f t="shared" si="4"/>
        <v>OK</v>
      </c>
      <c r="Z138" s="111" t="s">
        <v>116</v>
      </c>
      <c r="AA138" s="111" t="s">
        <v>115</v>
      </c>
      <c r="AB138" s="111" t="s">
        <v>116</v>
      </c>
      <c r="AC138" s="111" t="s">
        <v>116</v>
      </c>
      <c r="AD138" s="111"/>
    </row>
    <row r="139" spans="2:30" ht="24.75" customHeight="1" x14ac:dyDescent="0.25">
      <c r="B139" s="115">
        <v>45160</v>
      </c>
      <c r="C139" s="116" t="s">
        <v>117</v>
      </c>
      <c r="D139" s="116">
        <v>34</v>
      </c>
      <c r="E139" s="110" t="str">
        <f t="shared" si="6"/>
        <v>20230822-134</v>
      </c>
      <c r="F139" s="111" t="s">
        <v>98</v>
      </c>
      <c r="G139" s="111" t="s">
        <v>99</v>
      </c>
      <c r="H139" s="112" t="s">
        <v>962</v>
      </c>
      <c r="I139" s="113">
        <v>1551.33</v>
      </c>
      <c r="J139" s="111" t="s">
        <v>118</v>
      </c>
      <c r="K139" s="111" t="s">
        <v>963</v>
      </c>
      <c r="L139" s="111" t="s">
        <v>103</v>
      </c>
      <c r="M139" s="111" t="s">
        <v>104</v>
      </c>
      <c r="N139" s="111" t="s">
        <v>827</v>
      </c>
      <c r="O139" s="111" t="s">
        <v>121</v>
      </c>
      <c r="P139" s="111" t="s">
        <v>132</v>
      </c>
      <c r="Q139" s="110" t="s">
        <v>123</v>
      </c>
      <c r="R139" s="110" t="s">
        <v>134</v>
      </c>
      <c r="S139" s="111" t="s">
        <v>825</v>
      </c>
      <c r="T139" s="111" t="s">
        <v>111</v>
      </c>
      <c r="U139" s="111" t="s">
        <v>103</v>
      </c>
      <c r="V139" s="118">
        <f t="shared" si="5"/>
        <v>-1.5059839370178742E-2</v>
      </c>
      <c r="W139" s="114" t="str">
        <f>IFERROR(I139-AVERAGEIFS(I$6:I138,J$6:J138,"ICIS / Platts",B$6:B138,B139),"")</f>
        <v/>
      </c>
      <c r="X139" s="110" t="s">
        <v>125</v>
      </c>
      <c r="Y139" s="117" t="str">
        <f t="shared" si="4"/>
        <v>OK</v>
      </c>
      <c r="Z139" s="111" t="s">
        <v>116</v>
      </c>
      <c r="AA139" s="111" t="s">
        <v>115</v>
      </c>
      <c r="AB139" s="111" t="s">
        <v>116</v>
      </c>
      <c r="AC139" s="111" t="s">
        <v>116</v>
      </c>
      <c r="AD139" s="111"/>
    </row>
    <row r="140" spans="2:30" ht="24.75" customHeight="1" x14ac:dyDescent="0.25">
      <c r="B140" s="108">
        <v>45161</v>
      </c>
      <c r="C140" s="109" t="s">
        <v>126</v>
      </c>
      <c r="D140" s="109">
        <v>34</v>
      </c>
      <c r="E140" s="110" t="str">
        <f t="shared" si="6"/>
        <v>20230823-135</v>
      </c>
      <c r="F140" s="111" t="s">
        <v>98</v>
      </c>
      <c r="G140" s="111" t="s">
        <v>99</v>
      </c>
      <c r="H140" s="112" t="s">
        <v>962</v>
      </c>
      <c r="I140" s="113">
        <v>1535.98</v>
      </c>
      <c r="J140" s="111" t="s">
        <v>127</v>
      </c>
      <c r="K140" s="111" t="s">
        <v>960</v>
      </c>
      <c r="L140" s="111" t="s">
        <v>129</v>
      </c>
      <c r="M140" s="111" t="s">
        <v>104</v>
      </c>
      <c r="N140" s="111" t="s">
        <v>829</v>
      </c>
      <c r="O140" s="111" t="s">
        <v>131</v>
      </c>
      <c r="P140" s="111" t="s">
        <v>830</v>
      </c>
      <c r="Q140" s="110" t="s">
        <v>133</v>
      </c>
      <c r="R140" s="110" t="s">
        <v>831</v>
      </c>
      <c r="S140" s="111" t="s">
        <v>832</v>
      </c>
      <c r="T140" s="111" t="s">
        <v>136</v>
      </c>
      <c r="U140" s="111" t="s">
        <v>129</v>
      </c>
      <c r="V140" s="118">
        <f t="shared" si="5"/>
        <v>-3.1666677173892495E-2</v>
      </c>
      <c r="W140" s="114" t="str">
        <f>IFERROR(I140-AVERAGEIFS(I$6:I139,J$6:J139,"ICIS / Platts",B$6:B139,B140),"")</f>
        <v/>
      </c>
      <c r="X140" s="110" t="s">
        <v>137</v>
      </c>
      <c r="Y140" s="117" t="str">
        <f t="shared" si="4"/>
        <v>OK</v>
      </c>
      <c r="Z140" s="111" t="s">
        <v>116</v>
      </c>
      <c r="AA140" s="111" t="s">
        <v>115</v>
      </c>
      <c r="AB140" s="111" t="s">
        <v>116</v>
      </c>
      <c r="AC140" s="111" t="s">
        <v>116</v>
      </c>
      <c r="AD140" s="111"/>
    </row>
    <row r="141" spans="2:30" ht="24.75" customHeight="1" x14ac:dyDescent="0.25">
      <c r="B141" s="115">
        <v>45163</v>
      </c>
      <c r="C141" s="116" t="s">
        <v>138</v>
      </c>
      <c r="D141" s="116">
        <v>34</v>
      </c>
      <c r="E141" s="110" t="str">
        <f t="shared" si="6"/>
        <v>20230825-136</v>
      </c>
      <c r="F141" s="111" t="s">
        <v>98</v>
      </c>
      <c r="G141" s="111" t="s">
        <v>99</v>
      </c>
      <c r="H141" s="112" t="s">
        <v>962</v>
      </c>
      <c r="I141" s="113">
        <v>1572.31</v>
      </c>
      <c r="J141" s="111" t="s">
        <v>139</v>
      </c>
      <c r="K141" s="111" t="s">
        <v>889</v>
      </c>
      <c r="L141" s="111" t="s">
        <v>103</v>
      </c>
      <c r="M141" s="111" t="s">
        <v>104</v>
      </c>
      <c r="N141" s="111" t="s">
        <v>824</v>
      </c>
      <c r="O141" s="111" t="s">
        <v>106</v>
      </c>
      <c r="P141" s="111" t="s">
        <v>141</v>
      </c>
      <c r="Q141" s="110" t="s">
        <v>133</v>
      </c>
      <c r="R141" s="110" t="s">
        <v>142</v>
      </c>
      <c r="S141" s="111" t="s">
        <v>825</v>
      </c>
      <c r="T141" s="111" t="s">
        <v>111</v>
      </c>
      <c r="U141" s="111" t="s">
        <v>103</v>
      </c>
      <c r="V141" s="118">
        <f t="shared" si="5"/>
        <v>2.566929339317393E-2</v>
      </c>
      <c r="W141" s="114" t="str">
        <f>IFERROR(I141-AVERAGEIFS(I$6:I140,J$6:J140,"ICIS / Platts",B$6:B140,B141),"")</f>
        <v/>
      </c>
      <c r="X141" s="110" t="s">
        <v>125</v>
      </c>
      <c r="Y141" s="117" t="str">
        <f t="shared" si="4"/>
        <v>OK</v>
      </c>
      <c r="Z141" s="111" t="s">
        <v>116</v>
      </c>
      <c r="AA141" s="111" t="s">
        <v>115</v>
      </c>
      <c r="AB141" s="111" t="s">
        <v>116</v>
      </c>
      <c r="AC141" s="111" t="s">
        <v>116</v>
      </c>
      <c r="AD141" s="111"/>
    </row>
    <row r="142" spans="2:30" ht="24.75" customHeight="1" x14ac:dyDescent="0.25">
      <c r="B142" s="108">
        <v>45166</v>
      </c>
      <c r="C142" s="109" t="s">
        <v>97</v>
      </c>
      <c r="D142" s="109">
        <v>35</v>
      </c>
      <c r="E142" s="110" t="str">
        <f t="shared" si="6"/>
        <v>20230828-137</v>
      </c>
      <c r="F142" s="111" t="s">
        <v>98</v>
      </c>
      <c r="G142" s="111" t="s">
        <v>99</v>
      </c>
      <c r="H142" s="112" t="s">
        <v>964</v>
      </c>
      <c r="I142" s="113">
        <v>1568</v>
      </c>
      <c r="J142" s="111" t="s">
        <v>101</v>
      </c>
      <c r="K142" s="111" t="s">
        <v>309</v>
      </c>
      <c r="L142" s="111" t="s">
        <v>103</v>
      </c>
      <c r="M142" s="111" t="s">
        <v>104</v>
      </c>
      <c r="N142" s="111" t="s">
        <v>824</v>
      </c>
      <c r="O142" s="111" t="s">
        <v>106</v>
      </c>
      <c r="P142" s="111" t="s">
        <v>107</v>
      </c>
      <c r="Q142" s="110" t="s">
        <v>108</v>
      </c>
      <c r="R142" s="110" t="s">
        <v>109</v>
      </c>
      <c r="S142" s="111" t="s">
        <v>825</v>
      </c>
      <c r="T142" s="111" t="s">
        <v>111</v>
      </c>
      <c r="U142" s="111" t="s">
        <v>103</v>
      </c>
      <c r="V142" s="118">
        <f t="shared" si="5"/>
        <v>3.8412291933418692E-3</v>
      </c>
      <c r="W142" s="114" t="str">
        <f>IFERROR(I142-AVERAGEIFS(I$6:I141,J$6:J141,"ICIS / Platts",B$6:B141,B142),"")</f>
        <v/>
      </c>
      <c r="X142" s="110" t="s">
        <v>113</v>
      </c>
      <c r="Y142" s="117" t="str">
        <f t="shared" si="4"/>
        <v>OK</v>
      </c>
      <c r="Z142" s="111" t="s">
        <v>116</v>
      </c>
      <c r="AA142" s="111" t="s">
        <v>115</v>
      </c>
      <c r="AB142" s="111" t="s">
        <v>116</v>
      </c>
      <c r="AC142" s="111" t="s">
        <v>116</v>
      </c>
      <c r="AD142" s="111"/>
    </row>
    <row r="143" spans="2:30" ht="24.75" customHeight="1" x14ac:dyDescent="0.25">
      <c r="B143" s="115">
        <v>45167</v>
      </c>
      <c r="C143" s="116" t="s">
        <v>117</v>
      </c>
      <c r="D143" s="116">
        <v>35</v>
      </c>
      <c r="E143" s="110" t="str">
        <f t="shared" si="6"/>
        <v>20230829-138</v>
      </c>
      <c r="F143" s="111" t="s">
        <v>98</v>
      </c>
      <c r="G143" s="111" t="s">
        <v>99</v>
      </c>
      <c r="H143" s="112" t="s">
        <v>964</v>
      </c>
      <c r="I143" s="113">
        <v>1575.96</v>
      </c>
      <c r="J143" s="111" t="s">
        <v>118</v>
      </c>
      <c r="K143" s="111" t="s">
        <v>965</v>
      </c>
      <c r="L143" s="111" t="s">
        <v>103</v>
      </c>
      <c r="M143" s="111" t="s">
        <v>104</v>
      </c>
      <c r="N143" s="111" t="s">
        <v>827</v>
      </c>
      <c r="O143" s="111" t="s">
        <v>121</v>
      </c>
      <c r="P143" s="111" t="s">
        <v>132</v>
      </c>
      <c r="Q143" s="110" t="s">
        <v>123</v>
      </c>
      <c r="R143" s="110" t="s">
        <v>134</v>
      </c>
      <c r="S143" s="111" t="s">
        <v>825</v>
      </c>
      <c r="T143" s="111" t="s">
        <v>111</v>
      </c>
      <c r="U143" s="111" t="s">
        <v>103</v>
      </c>
      <c r="V143" s="118">
        <f t="shared" si="5"/>
        <v>1.5876699348301205E-2</v>
      </c>
      <c r="W143" s="114" t="str">
        <f>IFERROR(I143-AVERAGEIFS(I$6:I142,J$6:J142,"ICIS / Platts",B$6:B142,B143),"")</f>
        <v/>
      </c>
      <c r="X143" s="110" t="s">
        <v>125</v>
      </c>
      <c r="Y143" s="117" t="str">
        <f t="shared" si="4"/>
        <v>OK</v>
      </c>
      <c r="Z143" s="111" t="s">
        <v>116</v>
      </c>
      <c r="AA143" s="111" t="s">
        <v>115</v>
      </c>
      <c r="AB143" s="111" t="s">
        <v>116</v>
      </c>
      <c r="AC143" s="111" t="s">
        <v>116</v>
      </c>
      <c r="AD143" s="111"/>
    </row>
    <row r="144" spans="2:30" ht="24.75" customHeight="1" x14ac:dyDescent="0.25">
      <c r="B144" s="108">
        <v>45168</v>
      </c>
      <c r="C144" s="109" t="s">
        <v>126</v>
      </c>
      <c r="D144" s="109">
        <v>35</v>
      </c>
      <c r="E144" s="110" t="str">
        <f t="shared" si="6"/>
        <v>20230830-139</v>
      </c>
      <c r="F144" s="111" t="s">
        <v>98</v>
      </c>
      <c r="G144" s="111" t="s">
        <v>99</v>
      </c>
      <c r="H144" s="112" t="s">
        <v>964</v>
      </c>
      <c r="I144" s="113">
        <v>1550.6</v>
      </c>
      <c r="J144" s="111" t="s">
        <v>127</v>
      </c>
      <c r="K144" s="111" t="s">
        <v>966</v>
      </c>
      <c r="L144" s="111" t="s">
        <v>129</v>
      </c>
      <c r="M144" s="111" t="s">
        <v>104</v>
      </c>
      <c r="N144" s="111" t="s">
        <v>829</v>
      </c>
      <c r="O144" s="111" t="s">
        <v>131</v>
      </c>
      <c r="P144" s="111" t="s">
        <v>830</v>
      </c>
      <c r="Q144" s="110" t="s">
        <v>133</v>
      </c>
      <c r="R144" s="110" t="s">
        <v>831</v>
      </c>
      <c r="S144" s="111" t="s">
        <v>832</v>
      </c>
      <c r="T144" s="111" t="s">
        <v>136</v>
      </c>
      <c r="U144" s="111" t="s">
        <v>129</v>
      </c>
      <c r="V144" s="118">
        <f t="shared" si="5"/>
        <v>9.5183531035559644E-3</v>
      </c>
      <c r="W144" s="114" t="str">
        <f>IFERROR(I144-AVERAGEIFS(I$6:I143,J$6:J143,"ICIS / Platts",B$6:B143,B144),"")</f>
        <v/>
      </c>
      <c r="X144" s="110" t="s">
        <v>137</v>
      </c>
      <c r="Y144" s="117" t="str">
        <f t="shared" si="4"/>
        <v>OK</v>
      </c>
      <c r="Z144" s="111" t="s">
        <v>116</v>
      </c>
      <c r="AA144" s="111" t="s">
        <v>115</v>
      </c>
      <c r="AB144" s="111" t="s">
        <v>116</v>
      </c>
      <c r="AC144" s="111" t="s">
        <v>116</v>
      </c>
      <c r="AD144" s="111"/>
    </row>
    <row r="145" spans="2:30" ht="24.75" customHeight="1" x14ac:dyDescent="0.25">
      <c r="B145" s="115">
        <v>45170</v>
      </c>
      <c r="C145" s="116" t="s">
        <v>138</v>
      </c>
      <c r="D145" s="116">
        <v>35</v>
      </c>
      <c r="E145" s="110" t="str">
        <f t="shared" si="6"/>
        <v>20230901-140</v>
      </c>
      <c r="F145" s="111" t="s">
        <v>98</v>
      </c>
      <c r="G145" s="111" t="s">
        <v>99</v>
      </c>
      <c r="H145" s="112" t="s">
        <v>964</v>
      </c>
      <c r="I145" s="113">
        <v>1582.15</v>
      </c>
      <c r="J145" s="111" t="s">
        <v>139</v>
      </c>
      <c r="K145" s="111" t="s">
        <v>967</v>
      </c>
      <c r="L145" s="111" t="s">
        <v>103</v>
      </c>
      <c r="M145" s="111" t="s">
        <v>104</v>
      </c>
      <c r="N145" s="111" t="s">
        <v>824</v>
      </c>
      <c r="O145" s="111" t="s">
        <v>106</v>
      </c>
      <c r="P145" s="111" t="s">
        <v>141</v>
      </c>
      <c r="Q145" s="110" t="s">
        <v>133</v>
      </c>
      <c r="R145" s="110" t="s">
        <v>142</v>
      </c>
      <c r="S145" s="111" t="s">
        <v>825</v>
      </c>
      <c r="T145" s="111" t="s">
        <v>111</v>
      </c>
      <c r="U145" s="111" t="s">
        <v>103</v>
      </c>
      <c r="V145" s="118">
        <f t="shared" si="5"/>
        <v>6.2583078400570789E-3</v>
      </c>
      <c r="W145" s="114" t="str">
        <f>IFERROR(I145-AVERAGEIFS(I$6:I144,J$6:J144,"ICIS / Platts",B$6:B144,B145),"")</f>
        <v/>
      </c>
      <c r="X145" s="110" t="s">
        <v>125</v>
      </c>
      <c r="Y145" s="117" t="str">
        <f t="shared" si="4"/>
        <v>OK</v>
      </c>
      <c r="Z145" s="111" t="s">
        <v>116</v>
      </c>
      <c r="AA145" s="111" t="s">
        <v>115</v>
      </c>
      <c r="AB145" s="111" t="s">
        <v>116</v>
      </c>
      <c r="AC145" s="111" t="s">
        <v>116</v>
      </c>
      <c r="AD145" s="111"/>
    </row>
    <row r="146" spans="2:30" ht="24.75" customHeight="1" x14ac:dyDescent="0.25">
      <c r="B146" s="108">
        <v>45173</v>
      </c>
      <c r="C146" s="109" t="s">
        <v>97</v>
      </c>
      <c r="D146" s="109">
        <v>36</v>
      </c>
      <c r="E146" s="110" t="str">
        <f t="shared" si="6"/>
        <v>20230904-141</v>
      </c>
      <c r="F146" s="111" t="s">
        <v>98</v>
      </c>
      <c r="G146" s="111" t="s">
        <v>99</v>
      </c>
      <c r="H146" s="112" t="s">
        <v>968</v>
      </c>
      <c r="I146" s="113">
        <v>1572</v>
      </c>
      <c r="J146" s="111" t="s">
        <v>101</v>
      </c>
      <c r="K146" s="111" t="s">
        <v>314</v>
      </c>
      <c r="L146" s="111" t="s">
        <v>103</v>
      </c>
      <c r="M146" s="111" t="s">
        <v>104</v>
      </c>
      <c r="N146" s="111" t="s">
        <v>824</v>
      </c>
      <c r="O146" s="111" t="s">
        <v>106</v>
      </c>
      <c r="P146" s="111" t="s">
        <v>107</v>
      </c>
      <c r="Q146" s="110" t="s">
        <v>108</v>
      </c>
      <c r="R146" s="110" t="s">
        <v>109</v>
      </c>
      <c r="S146" s="111" t="s">
        <v>825</v>
      </c>
      <c r="T146" s="111" t="s">
        <v>111</v>
      </c>
      <c r="U146" s="111" t="s">
        <v>103</v>
      </c>
      <c r="V146" s="118">
        <f t="shared" si="5"/>
        <v>2.5510204081632651E-3</v>
      </c>
      <c r="W146" s="114" t="str">
        <f>IFERROR(I146-AVERAGEIFS(I$6:I145,J$6:J145,"ICIS / Platts",B$6:B145,B146),"")</f>
        <v/>
      </c>
      <c r="X146" s="110" t="s">
        <v>113</v>
      </c>
      <c r="Y146" s="117" t="str">
        <f t="shared" si="4"/>
        <v>OK</v>
      </c>
      <c r="Z146" s="111" t="s">
        <v>116</v>
      </c>
      <c r="AA146" s="111" t="s">
        <v>115</v>
      </c>
      <c r="AB146" s="111" t="s">
        <v>116</v>
      </c>
      <c r="AC146" s="111" t="s">
        <v>115</v>
      </c>
      <c r="AD146" s="111"/>
    </row>
    <row r="147" spans="2:30" ht="24.75" customHeight="1" x14ac:dyDescent="0.25">
      <c r="B147" s="115">
        <v>45174</v>
      </c>
      <c r="C147" s="116" t="s">
        <v>117</v>
      </c>
      <c r="D147" s="116">
        <v>36</v>
      </c>
      <c r="E147" s="110" t="str">
        <f t="shared" si="6"/>
        <v>20230905-142</v>
      </c>
      <c r="F147" s="111" t="s">
        <v>98</v>
      </c>
      <c r="G147" s="111" t="s">
        <v>99</v>
      </c>
      <c r="H147" s="112" t="s">
        <v>968</v>
      </c>
      <c r="I147" s="113">
        <v>1618.08</v>
      </c>
      <c r="J147" s="111" t="s">
        <v>118</v>
      </c>
      <c r="K147" s="111" t="s">
        <v>969</v>
      </c>
      <c r="L147" s="111" t="s">
        <v>103</v>
      </c>
      <c r="M147" s="111" t="s">
        <v>104</v>
      </c>
      <c r="N147" s="111" t="s">
        <v>827</v>
      </c>
      <c r="O147" s="111" t="s">
        <v>121</v>
      </c>
      <c r="P147" s="111" t="s">
        <v>132</v>
      </c>
      <c r="Q147" s="110" t="s">
        <v>123</v>
      </c>
      <c r="R147" s="110" t="s">
        <v>134</v>
      </c>
      <c r="S147" s="111" t="s">
        <v>825</v>
      </c>
      <c r="T147" s="111" t="s">
        <v>111</v>
      </c>
      <c r="U147" s="111" t="s">
        <v>103</v>
      </c>
      <c r="V147" s="118">
        <f t="shared" si="5"/>
        <v>2.6726566664128461E-2</v>
      </c>
      <c r="W147" s="114" t="str">
        <f>IFERROR(I147-AVERAGEIFS(I$6:I146,J$6:J146,"ICIS / Platts",B$6:B146,B147),"")</f>
        <v/>
      </c>
      <c r="X147" s="110" t="s">
        <v>125</v>
      </c>
      <c r="Y147" s="117" t="str">
        <f t="shared" si="4"/>
        <v>OK</v>
      </c>
      <c r="Z147" s="111" t="s">
        <v>116</v>
      </c>
      <c r="AA147" s="111" t="s">
        <v>115</v>
      </c>
      <c r="AB147" s="111" t="s">
        <v>116</v>
      </c>
      <c r="AC147" s="111" t="s">
        <v>115</v>
      </c>
      <c r="AD147" s="111"/>
    </row>
    <row r="148" spans="2:30" ht="24.75" customHeight="1" x14ac:dyDescent="0.25">
      <c r="B148" s="108">
        <v>45175</v>
      </c>
      <c r="C148" s="109" t="s">
        <v>126</v>
      </c>
      <c r="D148" s="109">
        <v>36</v>
      </c>
      <c r="E148" s="110" t="str">
        <f t="shared" si="6"/>
        <v>20230906-143</v>
      </c>
      <c r="F148" s="111" t="s">
        <v>98</v>
      </c>
      <c r="G148" s="111" t="s">
        <v>99</v>
      </c>
      <c r="H148" s="112" t="s">
        <v>968</v>
      </c>
      <c r="I148" s="113">
        <v>1547.48</v>
      </c>
      <c r="J148" s="111" t="s">
        <v>127</v>
      </c>
      <c r="K148" s="111" t="s">
        <v>970</v>
      </c>
      <c r="L148" s="111" t="s">
        <v>129</v>
      </c>
      <c r="M148" s="111" t="s">
        <v>104</v>
      </c>
      <c r="N148" s="111" t="s">
        <v>829</v>
      </c>
      <c r="O148" s="111" t="s">
        <v>131</v>
      </c>
      <c r="P148" s="111" t="s">
        <v>830</v>
      </c>
      <c r="Q148" s="110" t="s">
        <v>133</v>
      </c>
      <c r="R148" s="110" t="s">
        <v>831</v>
      </c>
      <c r="S148" s="111" t="s">
        <v>832</v>
      </c>
      <c r="T148" s="111" t="s">
        <v>136</v>
      </c>
      <c r="U148" s="111" t="s">
        <v>129</v>
      </c>
      <c r="V148" s="118">
        <f t="shared" si="5"/>
        <v>-2.0121243389654916E-3</v>
      </c>
      <c r="W148" s="114" t="str">
        <f>IFERROR(I148-AVERAGEIFS(I$6:I147,J$6:J147,"ICIS / Platts",B$6:B147,B148),"")</f>
        <v/>
      </c>
      <c r="X148" s="110" t="s">
        <v>137</v>
      </c>
      <c r="Y148" s="117" t="str">
        <f t="shared" si="4"/>
        <v>OK</v>
      </c>
      <c r="Z148" s="111" t="s">
        <v>116</v>
      </c>
      <c r="AA148" s="111" t="s">
        <v>115</v>
      </c>
      <c r="AB148" s="111" t="s">
        <v>116</v>
      </c>
      <c r="AC148" s="111" t="s">
        <v>115</v>
      </c>
      <c r="AD148" s="111"/>
    </row>
    <row r="149" spans="2:30" ht="24.75" customHeight="1" x14ac:dyDescent="0.25">
      <c r="B149" s="115">
        <v>45177</v>
      </c>
      <c r="C149" s="116" t="s">
        <v>138</v>
      </c>
      <c r="D149" s="116">
        <v>36</v>
      </c>
      <c r="E149" s="110" t="str">
        <f t="shared" si="6"/>
        <v>20230908-144</v>
      </c>
      <c r="F149" s="111" t="s">
        <v>98</v>
      </c>
      <c r="G149" s="111" t="s">
        <v>99</v>
      </c>
      <c r="H149" s="112" t="s">
        <v>968</v>
      </c>
      <c r="I149" s="113">
        <v>1601</v>
      </c>
      <c r="J149" s="111" t="s">
        <v>139</v>
      </c>
      <c r="K149" s="111" t="s">
        <v>971</v>
      </c>
      <c r="L149" s="111" t="s">
        <v>103</v>
      </c>
      <c r="M149" s="111" t="s">
        <v>104</v>
      </c>
      <c r="N149" s="111" t="s">
        <v>824</v>
      </c>
      <c r="O149" s="111" t="s">
        <v>106</v>
      </c>
      <c r="P149" s="111" t="s">
        <v>141</v>
      </c>
      <c r="Q149" s="110" t="s">
        <v>133</v>
      </c>
      <c r="R149" s="110" t="s">
        <v>142</v>
      </c>
      <c r="S149" s="111" t="s">
        <v>825</v>
      </c>
      <c r="T149" s="111" t="s">
        <v>111</v>
      </c>
      <c r="U149" s="111" t="s">
        <v>103</v>
      </c>
      <c r="V149" s="118">
        <f t="shared" si="5"/>
        <v>1.191416743039529E-2</v>
      </c>
      <c r="W149" s="114" t="str">
        <f>IFERROR(I149-AVERAGEIFS(I$6:I148,J$6:J148,"ICIS / Platts",B$6:B148,B149),"")</f>
        <v/>
      </c>
      <c r="X149" s="110" t="s">
        <v>125</v>
      </c>
      <c r="Y149" s="117" t="str">
        <f t="shared" ref="Y149:Y212" si="7">IFERROR(IF(ABS(I149-AVERAGE(I141:I148))/AVERAGE(I141:I148)&gt;0.1,"⚠ CHECK","OK"),"OK")</f>
        <v>OK</v>
      </c>
      <c r="Z149" s="111" t="s">
        <v>116</v>
      </c>
      <c r="AA149" s="111" t="s">
        <v>115</v>
      </c>
      <c r="AB149" s="111" t="s">
        <v>116</v>
      </c>
      <c r="AC149" s="111" t="s">
        <v>115</v>
      </c>
      <c r="AD149" s="111"/>
    </row>
    <row r="150" spans="2:30" ht="24.75" customHeight="1" x14ac:dyDescent="0.25">
      <c r="B150" s="108">
        <v>45180</v>
      </c>
      <c r="C150" s="109" t="s">
        <v>97</v>
      </c>
      <c r="D150" s="109">
        <v>37</v>
      </c>
      <c r="E150" s="110" t="str">
        <f t="shared" si="6"/>
        <v>20230911-145</v>
      </c>
      <c r="F150" s="111" t="s">
        <v>98</v>
      </c>
      <c r="G150" s="111" t="s">
        <v>99</v>
      </c>
      <c r="H150" s="112" t="s">
        <v>972</v>
      </c>
      <c r="I150" s="113">
        <v>1578</v>
      </c>
      <c r="J150" s="111" t="s">
        <v>101</v>
      </c>
      <c r="K150" s="111" t="s">
        <v>319</v>
      </c>
      <c r="L150" s="111" t="s">
        <v>103</v>
      </c>
      <c r="M150" s="111" t="s">
        <v>104</v>
      </c>
      <c r="N150" s="111" t="s">
        <v>824</v>
      </c>
      <c r="O150" s="111" t="s">
        <v>106</v>
      </c>
      <c r="P150" s="111" t="s">
        <v>107</v>
      </c>
      <c r="Q150" s="110" t="s">
        <v>108</v>
      </c>
      <c r="R150" s="110" t="s">
        <v>109</v>
      </c>
      <c r="S150" s="111" t="s">
        <v>825</v>
      </c>
      <c r="T150" s="111" t="s">
        <v>111</v>
      </c>
      <c r="U150" s="111" t="s">
        <v>103</v>
      </c>
      <c r="V150" s="118">
        <f t="shared" si="5"/>
        <v>3.8167938931297708E-3</v>
      </c>
      <c r="W150" s="114" t="str">
        <f>IFERROR(I150-AVERAGEIFS(I$6:I149,J$6:J149,"ICIS / Platts",B$6:B149,B150),"")</f>
        <v/>
      </c>
      <c r="X150" s="110" t="s">
        <v>113</v>
      </c>
      <c r="Y150" s="117" t="str">
        <f t="shared" si="7"/>
        <v>OK</v>
      </c>
      <c r="Z150" s="111" t="s">
        <v>116</v>
      </c>
      <c r="AA150" s="111" t="s">
        <v>115</v>
      </c>
      <c r="AB150" s="111" t="s">
        <v>116</v>
      </c>
      <c r="AC150" s="111" t="s">
        <v>116</v>
      </c>
      <c r="AD150" s="111"/>
    </row>
    <row r="151" spans="2:30" ht="24.75" customHeight="1" x14ac:dyDescent="0.25">
      <c r="B151" s="115">
        <v>45181</v>
      </c>
      <c r="C151" s="116" t="s">
        <v>117</v>
      </c>
      <c r="D151" s="116">
        <v>37</v>
      </c>
      <c r="E151" s="110" t="str">
        <f t="shared" si="6"/>
        <v>20230912-146</v>
      </c>
      <c r="F151" s="111" t="s">
        <v>98</v>
      </c>
      <c r="G151" s="111" t="s">
        <v>99</v>
      </c>
      <c r="H151" s="112" t="s">
        <v>972</v>
      </c>
      <c r="I151" s="113">
        <v>1596.93</v>
      </c>
      <c r="J151" s="111" t="s">
        <v>118</v>
      </c>
      <c r="K151" s="111" t="s">
        <v>973</v>
      </c>
      <c r="L151" s="111" t="s">
        <v>103</v>
      </c>
      <c r="M151" s="111" t="s">
        <v>104</v>
      </c>
      <c r="N151" s="111" t="s">
        <v>827</v>
      </c>
      <c r="O151" s="111" t="s">
        <v>121</v>
      </c>
      <c r="P151" s="111" t="s">
        <v>132</v>
      </c>
      <c r="Q151" s="110" t="s">
        <v>123</v>
      </c>
      <c r="R151" s="110" t="s">
        <v>134</v>
      </c>
      <c r="S151" s="111" t="s">
        <v>825</v>
      </c>
      <c r="T151" s="111" t="s">
        <v>111</v>
      </c>
      <c r="U151" s="111" t="s">
        <v>103</v>
      </c>
      <c r="V151" s="118">
        <f t="shared" si="5"/>
        <v>-1.3071047167012672E-2</v>
      </c>
      <c r="W151" s="114" t="str">
        <f>IFERROR(I151-AVERAGEIFS(I$6:I150,J$6:J150,"ICIS / Platts",B$6:B150,B151),"")</f>
        <v/>
      </c>
      <c r="X151" s="110" t="s">
        <v>125</v>
      </c>
      <c r="Y151" s="117" t="str">
        <f t="shared" si="7"/>
        <v>OK</v>
      </c>
      <c r="Z151" s="111" t="s">
        <v>116</v>
      </c>
      <c r="AA151" s="111" t="s">
        <v>115</v>
      </c>
      <c r="AB151" s="111" t="s">
        <v>116</v>
      </c>
      <c r="AC151" s="111" t="s">
        <v>116</v>
      </c>
      <c r="AD151" s="111"/>
    </row>
    <row r="152" spans="2:30" ht="24.75" customHeight="1" x14ac:dyDescent="0.25">
      <c r="B152" s="108">
        <v>45182</v>
      </c>
      <c r="C152" s="109" t="s">
        <v>126</v>
      </c>
      <c r="D152" s="109">
        <v>37</v>
      </c>
      <c r="E152" s="110" t="str">
        <f t="shared" si="6"/>
        <v>20230913-147</v>
      </c>
      <c r="F152" s="111" t="s">
        <v>98</v>
      </c>
      <c r="G152" s="111" t="s">
        <v>99</v>
      </c>
      <c r="H152" s="112" t="s">
        <v>972</v>
      </c>
      <c r="I152" s="113">
        <v>1588.08</v>
      </c>
      <c r="J152" s="111" t="s">
        <v>127</v>
      </c>
      <c r="K152" s="111" t="s">
        <v>974</v>
      </c>
      <c r="L152" s="111" t="s">
        <v>129</v>
      </c>
      <c r="M152" s="111" t="s">
        <v>104</v>
      </c>
      <c r="N152" s="111" t="s">
        <v>829</v>
      </c>
      <c r="O152" s="111" t="s">
        <v>131</v>
      </c>
      <c r="P152" s="111" t="s">
        <v>830</v>
      </c>
      <c r="Q152" s="110" t="s">
        <v>133</v>
      </c>
      <c r="R152" s="110" t="s">
        <v>831</v>
      </c>
      <c r="S152" s="111" t="s">
        <v>832</v>
      </c>
      <c r="T152" s="111" t="s">
        <v>136</v>
      </c>
      <c r="U152" s="111" t="s">
        <v>129</v>
      </c>
      <c r="V152" s="118">
        <f t="shared" si="5"/>
        <v>2.6236203375810938E-2</v>
      </c>
      <c r="W152" s="114" t="str">
        <f>IFERROR(I152-AVERAGEIFS(I$6:I151,J$6:J151,"ICIS / Platts",B$6:B151,B152),"")</f>
        <v/>
      </c>
      <c r="X152" s="110" t="s">
        <v>137</v>
      </c>
      <c r="Y152" s="117" t="str">
        <f t="shared" si="7"/>
        <v>OK</v>
      </c>
      <c r="Z152" s="111" t="s">
        <v>116</v>
      </c>
      <c r="AA152" s="111" t="s">
        <v>115</v>
      </c>
      <c r="AB152" s="111" t="s">
        <v>116</v>
      </c>
      <c r="AC152" s="111" t="s">
        <v>116</v>
      </c>
      <c r="AD152" s="111"/>
    </row>
    <row r="153" spans="2:30" ht="24.75" customHeight="1" x14ac:dyDescent="0.25">
      <c r="B153" s="115">
        <v>45184</v>
      </c>
      <c r="C153" s="116" t="s">
        <v>138</v>
      </c>
      <c r="D153" s="116">
        <v>37</v>
      </c>
      <c r="E153" s="110" t="str">
        <f t="shared" si="6"/>
        <v>20230915-148</v>
      </c>
      <c r="F153" s="111" t="s">
        <v>98</v>
      </c>
      <c r="G153" s="111" t="s">
        <v>99</v>
      </c>
      <c r="H153" s="112" t="s">
        <v>972</v>
      </c>
      <c r="I153" s="113">
        <v>1586.82</v>
      </c>
      <c r="J153" s="111" t="s">
        <v>139</v>
      </c>
      <c r="K153" s="111" t="s">
        <v>975</v>
      </c>
      <c r="L153" s="111" t="s">
        <v>103</v>
      </c>
      <c r="M153" s="111" t="s">
        <v>104</v>
      </c>
      <c r="N153" s="111" t="s">
        <v>824</v>
      </c>
      <c r="O153" s="111" t="s">
        <v>106</v>
      </c>
      <c r="P153" s="111" t="s">
        <v>141</v>
      </c>
      <c r="Q153" s="110" t="s">
        <v>133</v>
      </c>
      <c r="R153" s="110" t="s">
        <v>142</v>
      </c>
      <c r="S153" s="111" t="s">
        <v>825</v>
      </c>
      <c r="T153" s="111" t="s">
        <v>111</v>
      </c>
      <c r="U153" s="111" t="s">
        <v>103</v>
      </c>
      <c r="V153" s="118">
        <f t="shared" si="5"/>
        <v>-8.8569643972517577E-3</v>
      </c>
      <c r="W153" s="114" t="str">
        <f>IFERROR(I153-AVERAGEIFS(I$6:I152,J$6:J152,"ICIS / Platts",B$6:B152,B153),"")</f>
        <v/>
      </c>
      <c r="X153" s="110" t="s">
        <v>125</v>
      </c>
      <c r="Y153" s="117" t="str">
        <f t="shared" si="7"/>
        <v>OK</v>
      </c>
      <c r="Z153" s="111" t="s">
        <v>116</v>
      </c>
      <c r="AA153" s="111" t="s">
        <v>115</v>
      </c>
      <c r="AB153" s="111" t="s">
        <v>116</v>
      </c>
      <c r="AC153" s="111" t="s">
        <v>116</v>
      </c>
      <c r="AD153" s="111"/>
    </row>
    <row r="154" spans="2:30" ht="24.75" customHeight="1" x14ac:dyDescent="0.25">
      <c r="B154" s="108">
        <v>45187</v>
      </c>
      <c r="C154" s="109" t="s">
        <v>97</v>
      </c>
      <c r="D154" s="109">
        <v>38</v>
      </c>
      <c r="E154" s="110" t="str">
        <f t="shared" si="6"/>
        <v>20230918-149</v>
      </c>
      <c r="F154" s="111" t="s">
        <v>98</v>
      </c>
      <c r="G154" s="111" t="s">
        <v>99</v>
      </c>
      <c r="H154" s="112" t="s">
        <v>976</v>
      </c>
      <c r="I154" s="113">
        <v>1582</v>
      </c>
      <c r="J154" s="111" t="s">
        <v>101</v>
      </c>
      <c r="K154" s="111" t="s">
        <v>324</v>
      </c>
      <c r="L154" s="111" t="s">
        <v>103</v>
      </c>
      <c r="M154" s="111" t="s">
        <v>104</v>
      </c>
      <c r="N154" s="111" t="s">
        <v>824</v>
      </c>
      <c r="O154" s="111" t="s">
        <v>106</v>
      </c>
      <c r="P154" s="111" t="s">
        <v>107</v>
      </c>
      <c r="Q154" s="110" t="s">
        <v>108</v>
      </c>
      <c r="R154" s="110" t="s">
        <v>109</v>
      </c>
      <c r="S154" s="111" t="s">
        <v>825</v>
      </c>
      <c r="T154" s="111" t="s">
        <v>111</v>
      </c>
      <c r="U154" s="111" t="s">
        <v>103</v>
      </c>
      <c r="V154" s="118">
        <f t="shared" si="5"/>
        <v>2.5348542458808617E-3</v>
      </c>
      <c r="W154" s="114" t="str">
        <f>IFERROR(I154-AVERAGEIFS(I$6:I153,J$6:J153,"ICIS / Platts",B$6:B153,B154),"")</f>
        <v/>
      </c>
      <c r="X154" s="110" t="s">
        <v>113</v>
      </c>
      <c r="Y154" s="117" t="str">
        <f t="shared" si="7"/>
        <v>OK</v>
      </c>
      <c r="Z154" s="111" t="s">
        <v>116</v>
      </c>
      <c r="AA154" s="111" t="s">
        <v>115</v>
      </c>
      <c r="AB154" s="111" t="s">
        <v>116</v>
      </c>
      <c r="AC154" s="111" t="s">
        <v>116</v>
      </c>
      <c r="AD154" s="111"/>
    </row>
    <row r="155" spans="2:30" ht="24.75" customHeight="1" x14ac:dyDescent="0.25">
      <c r="B155" s="115">
        <v>45188</v>
      </c>
      <c r="C155" s="116" t="s">
        <v>117</v>
      </c>
      <c r="D155" s="116">
        <v>38</v>
      </c>
      <c r="E155" s="110" t="str">
        <f t="shared" si="6"/>
        <v>20230919-150</v>
      </c>
      <c r="F155" s="111" t="s">
        <v>98</v>
      </c>
      <c r="G155" s="111" t="s">
        <v>99</v>
      </c>
      <c r="H155" s="112" t="s">
        <v>976</v>
      </c>
      <c r="I155" s="113">
        <v>1619.2</v>
      </c>
      <c r="J155" s="111" t="s">
        <v>118</v>
      </c>
      <c r="K155" s="111" t="s">
        <v>977</v>
      </c>
      <c r="L155" s="111" t="s">
        <v>103</v>
      </c>
      <c r="M155" s="111" t="s">
        <v>104</v>
      </c>
      <c r="N155" s="111" t="s">
        <v>827</v>
      </c>
      <c r="O155" s="111" t="s">
        <v>121</v>
      </c>
      <c r="P155" s="111" t="s">
        <v>132</v>
      </c>
      <c r="Q155" s="110" t="s">
        <v>123</v>
      </c>
      <c r="R155" s="110" t="s">
        <v>134</v>
      </c>
      <c r="S155" s="111" t="s">
        <v>825</v>
      </c>
      <c r="T155" s="111" t="s">
        <v>111</v>
      </c>
      <c r="U155" s="111" t="s">
        <v>103</v>
      </c>
      <c r="V155" s="118">
        <f t="shared" si="5"/>
        <v>1.3945507943366322E-2</v>
      </c>
      <c r="W155" s="114" t="str">
        <f>IFERROR(I155-AVERAGEIFS(I$6:I154,J$6:J154,"ICIS / Platts",B$6:B154,B155),"")</f>
        <v/>
      </c>
      <c r="X155" s="110" t="s">
        <v>125</v>
      </c>
      <c r="Y155" s="117" t="str">
        <f t="shared" si="7"/>
        <v>OK</v>
      </c>
      <c r="Z155" s="111" t="s">
        <v>116</v>
      </c>
      <c r="AA155" s="111" t="s">
        <v>115</v>
      </c>
      <c r="AB155" s="111" t="s">
        <v>116</v>
      </c>
      <c r="AC155" s="111" t="s">
        <v>116</v>
      </c>
      <c r="AD155" s="111"/>
    </row>
    <row r="156" spans="2:30" ht="24.75" customHeight="1" x14ac:dyDescent="0.25">
      <c r="B156" s="108">
        <v>45189</v>
      </c>
      <c r="C156" s="109" t="s">
        <v>126</v>
      </c>
      <c r="D156" s="109">
        <v>38</v>
      </c>
      <c r="E156" s="110" t="str">
        <f t="shared" si="6"/>
        <v>20230920-151</v>
      </c>
      <c r="F156" s="111" t="s">
        <v>98</v>
      </c>
      <c r="G156" s="111" t="s">
        <v>99</v>
      </c>
      <c r="H156" s="112" t="s">
        <v>976</v>
      </c>
      <c r="I156" s="113">
        <v>1562.92</v>
      </c>
      <c r="J156" s="111" t="s">
        <v>127</v>
      </c>
      <c r="K156" s="111" t="s">
        <v>978</v>
      </c>
      <c r="L156" s="111" t="s">
        <v>129</v>
      </c>
      <c r="M156" s="111" t="s">
        <v>104</v>
      </c>
      <c r="N156" s="111" t="s">
        <v>829</v>
      </c>
      <c r="O156" s="111" t="s">
        <v>131</v>
      </c>
      <c r="P156" s="111" t="s">
        <v>830</v>
      </c>
      <c r="Q156" s="110" t="s">
        <v>133</v>
      </c>
      <c r="R156" s="110" t="s">
        <v>831</v>
      </c>
      <c r="S156" s="111" t="s">
        <v>832</v>
      </c>
      <c r="T156" s="111" t="s">
        <v>136</v>
      </c>
      <c r="U156" s="111" t="s">
        <v>129</v>
      </c>
      <c r="V156" s="118">
        <f t="shared" si="5"/>
        <v>-1.5843030577804555E-2</v>
      </c>
      <c r="W156" s="114" t="str">
        <f>IFERROR(I156-AVERAGEIFS(I$6:I155,J$6:J155,"ICIS / Platts",B$6:B155,B156),"")</f>
        <v/>
      </c>
      <c r="X156" s="110" t="s">
        <v>137</v>
      </c>
      <c r="Y156" s="117" t="str">
        <f t="shared" si="7"/>
        <v>OK</v>
      </c>
      <c r="Z156" s="111" t="s">
        <v>116</v>
      </c>
      <c r="AA156" s="111" t="s">
        <v>115</v>
      </c>
      <c r="AB156" s="111" t="s">
        <v>116</v>
      </c>
      <c r="AC156" s="111" t="s">
        <v>116</v>
      </c>
      <c r="AD156" s="111"/>
    </row>
    <row r="157" spans="2:30" ht="24.75" customHeight="1" x14ac:dyDescent="0.25">
      <c r="B157" s="115">
        <v>45191</v>
      </c>
      <c r="C157" s="116" t="s">
        <v>138</v>
      </c>
      <c r="D157" s="116">
        <v>38</v>
      </c>
      <c r="E157" s="110" t="str">
        <f t="shared" si="6"/>
        <v>20230922-152</v>
      </c>
      <c r="F157" s="111" t="s">
        <v>98</v>
      </c>
      <c r="G157" s="111" t="s">
        <v>99</v>
      </c>
      <c r="H157" s="112" t="s">
        <v>976</v>
      </c>
      <c r="I157" s="113">
        <v>1611.29</v>
      </c>
      <c r="J157" s="111" t="s">
        <v>139</v>
      </c>
      <c r="K157" s="111" t="s">
        <v>979</v>
      </c>
      <c r="L157" s="111" t="s">
        <v>103</v>
      </c>
      <c r="M157" s="111" t="s">
        <v>104</v>
      </c>
      <c r="N157" s="111" t="s">
        <v>824</v>
      </c>
      <c r="O157" s="111" t="s">
        <v>106</v>
      </c>
      <c r="P157" s="111" t="s">
        <v>141</v>
      </c>
      <c r="Q157" s="110" t="s">
        <v>133</v>
      </c>
      <c r="R157" s="110" t="s">
        <v>142</v>
      </c>
      <c r="S157" s="111" t="s">
        <v>825</v>
      </c>
      <c r="T157" s="111" t="s">
        <v>111</v>
      </c>
      <c r="U157" s="111" t="s">
        <v>103</v>
      </c>
      <c r="V157" s="118">
        <f t="shared" si="5"/>
        <v>1.5420778664246751E-2</v>
      </c>
      <c r="W157" s="114" t="str">
        <f>IFERROR(I157-AVERAGEIFS(I$6:I156,J$6:J156,"ICIS / Platts",B$6:B156,B157),"")</f>
        <v/>
      </c>
      <c r="X157" s="110" t="s">
        <v>125</v>
      </c>
      <c r="Y157" s="117" t="str">
        <f t="shared" si="7"/>
        <v>OK</v>
      </c>
      <c r="Z157" s="111" t="s">
        <v>116</v>
      </c>
      <c r="AA157" s="111" t="s">
        <v>115</v>
      </c>
      <c r="AB157" s="111" t="s">
        <v>116</v>
      </c>
      <c r="AC157" s="111" t="s">
        <v>116</v>
      </c>
      <c r="AD157" s="111"/>
    </row>
    <row r="158" spans="2:30" ht="24.75" customHeight="1" x14ac:dyDescent="0.25">
      <c r="B158" s="108">
        <v>45194</v>
      </c>
      <c r="C158" s="109" t="s">
        <v>97</v>
      </c>
      <c r="D158" s="109">
        <v>39</v>
      </c>
      <c r="E158" s="110" t="str">
        <f t="shared" si="6"/>
        <v>20230925-153</v>
      </c>
      <c r="F158" s="111" t="s">
        <v>98</v>
      </c>
      <c r="G158" s="111" t="s">
        <v>99</v>
      </c>
      <c r="H158" s="112" t="s">
        <v>980</v>
      </c>
      <c r="I158" s="113">
        <v>1588</v>
      </c>
      <c r="J158" s="111" t="s">
        <v>101</v>
      </c>
      <c r="K158" s="111" t="s">
        <v>329</v>
      </c>
      <c r="L158" s="111" t="s">
        <v>103</v>
      </c>
      <c r="M158" s="111" t="s">
        <v>104</v>
      </c>
      <c r="N158" s="111" t="s">
        <v>824</v>
      </c>
      <c r="O158" s="111" t="s">
        <v>106</v>
      </c>
      <c r="P158" s="111" t="s">
        <v>107</v>
      </c>
      <c r="Q158" s="110" t="s">
        <v>108</v>
      </c>
      <c r="R158" s="110" t="s">
        <v>109</v>
      </c>
      <c r="S158" s="111" t="s">
        <v>825</v>
      </c>
      <c r="T158" s="111" t="s">
        <v>111</v>
      </c>
      <c r="U158" s="111" t="s">
        <v>103</v>
      </c>
      <c r="V158" s="118">
        <f t="shared" si="5"/>
        <v>3.7926675094816687E-3</v>
      </c>
      <c r="W158" s="114" t="str">
        <f>IFERROR(I158-AVERAGEIFS(I$6:I157,J$6:J157,"ICIS / Platts",B$6:B157,B158),"")</f>
        <v/>
      </c>
      <c r="X158" s="110" t="s">
        <v>113</v>
      </c>
      <c r="Y158" s="117" t="str">
        <f t="shared" si="7"/>
        <v>OK</v>
      </c>
      <c r="Z158" s="111" t="s">
        <v>116</v>
      </c>
      <c r="AA158" s="111" t="s">
        <v>115</v>
      </c>
      <c r="AB158" s="111" t="s">
        <v>116</v>
      </c>
      <c r="AC158" s="111" t="s">
        <v>116</v>
      </c>
      <c r="AD158" s="111"/>
    </row>
    <row r="159" spans="2:30" ht="24.75" customHeight="1" x14ac:dyDescent="0.25">
      <c r="B159" s="115">
        <v>45195</v>
      </c>
      <c r="C159" s="116" t="s">
        <v>117</v>
      </c>
      <c r="D159" s="116">
        <v>39</v>
      </c>
      <c r="E159" s="110" t="str">
        <f t="shared" si="6"/>
        <v>20230926-154</v>
      </c>
      <c r="F159" s="111" t="s">
        <v>98</v>
      </c>
      <c r="G159" s="111" t="s">
        <v>99</v>
      </c>
      <c r="H159" s="112" t="s">
        <v>980</v>
      </c>
      <c r="I159" s="113">
        <v>1588.31</v>
      </c>
      <c r="J159" s="111" t="s">
        <v>118</v>
      </c>
      <c r="K159" s="111" t="s">
        <v>981</v>
      </c>
      <c r="L159" s="111" t="s">
        <v>103</v>
      </c>
      <c r="M159" s="111" t="s">
        <v>104</v>
      </c>
      <c r="N159" s="111" t="s">
        <v>827</v>
      </c>
      <c r="O159" s="111" t="s">
        <v>121</v>
      </c>
      <c r="P159" s="111" t="s">
        <v>132</v>
      </c>
      <c r="Q159" s="110" t="s">
        <v>123</v>
      </c>
      <c r="R159" s="110" t="s">
        <v>134</v>
      </c>
      <c r="S159" s="111" t="s">
        <v>825</v>
      </c>
      <c r="T159" s="111" t="s">
        <v>111</v>
      </c>
      <c r="U159" s="111" t="s">
        <v>103</v>
      </c>
      <c r="V159" s="118">
        <f t="shared" ref="V159:V222" si="8">IFERROR((I159-I155)/I155,"")</f>
        <v>-1.9077322134387412E-2</v>
      </c>
      <c r="W159" s="114" t="str">
        <f>IFERROR(I159-AVERAGEIFS(I$6:I158,J$6:J158,"ICIS / Platts",B$6:B158,B159),"")</f>
        <v/>
      </c>
      <c r="X159" s="110" t="s">
        <v>125</v>
      </c>
      <c r="Y159" s="117" t="str">
        <f t="shared" si="7"/>
        <v>OK</v>
      </c>
      <c r="Z159" s="111" t="s">
        <v>116</v>
      </c>
      <c r="AA159" s="111" t="s">
        <v>115</v>
      </c>
      <c r="AB159" s="111" t="s">
        <v>116</v>
      </c>
      <c r="AC159" s="111" t="s">
        <v>116</v>
      </c>
      <c r="AD159" s="111"/>
    </row>
    <row r="160" spans="2:30" ht="24.75" customHeight="1" x14ac:dyDescent="0.25">
      <c r="B160" s="108">
        <v>45196</v>
      </c>
      <c r="C160" s="109" t="s">
        <v>126</v>
      </c>
      <c r="D160" s="109">
        <v>39</v>
      </c>
      <c r="E160" s="110" t="str">
        <f t="shared" si="6"/>
        <v>20230927-155</v>
      </c>
      <c r="F160" s="111" t="s">
        <v>98</v>
      </c>
      <c r="G160" s="111" t="s">
        <v>99</v>
      </c>
      <c r="H160" s="112" t="s">
        <v>980</v>
      </c>
      <c r="I160" s="113">
        <v>1584.72</v>
      </c>
      <c r="J160" s="111" t="s">
        <v>127</v>
      </c>
      <c r="K160" s="111" t="s">
        <v>982</v>
      </c>
      <c r="L160" s="111" t="s">
        <v>129</v>
      </c>
      <c r="M160" s="111" t="s">
        <v>104</v>
      </c>
      <c r="N160" s="111" t="s">
        <v>829</v>
      </c>
      <c r="O160" s="111" t="s">
        <v>131</v>
      </c>
      <c r="P160" s="111" t="s">
        <v>830</v>
      </c>
      <c r="Q160" s="110" t="s">
        <v>133</v>
      </c>
      <c r="R160" s="110" t="s">
        <v>831</v>
      </c>
      <c r="S160" s="111" t="s">
        <v>832</v>
      </c>
      <c r="T160" s="111" t="s">
        <v>136</v>
      </c>
      <c r="U160" s="111" t="s">
        <v>129</v>
      </c>
      <c r="V160" s="118">
        <f t="shared" si="8"/>
        <v>1.3948250710209066E-2</v>
      </c>
      <c r="W160" s="114" t="str">
        <f>IFERROR(I160-AVERAGEIFS(I$6:I159,J$6:J159,"ICIS / Platts",B$6:B159,B160),"")</f>
        <v/>
      </c>
      <c r="X160" s="110" t="s">
        <v>137</v>
      </c>
      <c r="Y160" s="117" t="str">
        <f t="shared" si="7"/>
        <v>OK</v>
      </c>
      <c r="Z160" s="111" t="s">
        <v>116</v>
      </c>
      <c r="AA160" s="111" t="s">
        <v>115</v>
      </c>
      <c r="AB160" s="111" t="s">
        <v>116</v>
      </c>
      <c r="AC160" s="111" t="s">
        <v>116</v>
      </c>
      <c r="AD160" s="111"/>
    </row>
    <row r="161" spans="2:30" ht="24.75" customHeight="1" x14ac:dyDescent="0.25">
      <c r="B161" s="115">
        <v>45198</v>
      </c>
      <c r="C161" s="116" t="s">
        <v>138</v>
      </c>
      <c r="D161" s="116">
        <v>39</v>
      </c>
      <c r="E161" s="110" t="str">
        <f t="shared" si="6"/>
        <v>20230929-156</v>
      </c>
      <c r="F161" s="111" t="s">
        <v>98</v>
      </c>
      <c r="G161" s="111" t="s">
        <v>99</v>
      </c>
      <c r="H161" s="112" t="s">
        <v>980</v>
      </c>
      <c r="I161" s="113">
        <v>1574.8</v>
      </c>
      <c r="J161" s="111" t="s">
        <v>139</v>
      </c>
      <c r="K161" s="111" t="s">
        <v>983</v>
      </c>
      <c r="L161" s="111" t="s">
        <v>103</v>
      </c>
      <c r="M161" s="111" t="s">
        <v>104</v>
      </c>
      <c r="N161" s="111" t="s">
        <v>824</v>
      </c>
      <c r="O161" s="111" t="s">
        <v>106</v>
      </c>
      <c r="P161" s="111" t="s">
        <v>141</v>
      </c>
      <c r="Q161" s="110" t="s">
        <v>133</v>
      </c>
      <c r="R161" s="110" t="s">
        <v>142</v>
      </c>
      <c r="S161" s="111" t="s">
        <v>825</v>
      </c>
      <c r="T161" s="111" t="s">
        <v>111</v>
      </c>
      <c r="U161" s="111" t="s">
        <v>103</v>
      </c>
      <c r="V161" s="118">
        <f t="shared" si="8"/>
        <v>-2.2646450980270471E-2</v>
      </c>
      <c r="W161" s="114" t="str">
        <f>IFERROR(I161-AVERAGEIFS(I$6:I160,J$6:J160,"ICIS / Platts",B$6:B160,B161),"")</f>
        <v/>
      </c>
      <c r="X161" s="110" t="s">
        <v>125</v>
      </c>
      <c r="Y161" s="117" t="str">
        <f t="shared" si="7"/>
        <v>OK</v>
      </c>
      <c r="Z161" s="111" t="s">
        <v>116</v>
      </c>
      <c r="AA161" s="111" t="s">
        <v>115</v>
      </c>
      <c r="AB161" s="111" t="s">
        <v>116</v>
      </c>
      <c r="AC161" s="111" t="s">
        <v>116</v>
      </c>
      <c r="AD161" s="111"/>
    </row>
    <row r="162" spans="2:30" ht="24.75" customHeight="1" x14ac:dyDescent="0.25">
      <c r="B162" s="108">
        <v>45201</v>
      </c>
      <c r="C162" s="109" t="s">
        <v>97</v>
      </c>
      <c r="D162" s="109">
        <v>40</v>
      </c>
      <c r="E162" s="110" t="str">
        <f t="shared" si="6"/>
        <v>20231002-157</v>
      </c>
      <c r="F162" s="111" t="s">
        <v>98</v>
      </c>
      <c r="G162" s="111" t="s">
        <v>99</v>
      </c>
      <c r="H162" s="112" t="s">
        <v>984</v>
      </c>
      <c r="I162" s="113">
        <v>1592</v>
      </c>
      <c r="J162" s="111" t="s">
        <v>101</v>
      </c>
      <c r="K162" s="111" t="s">
        <v>334</v>
      </c>
      <c r="L162" s="111" t="s">
        <v>103</v>
      </c>
      <c r="M162" s="111" t="s">
        <v>104</v>
      </c>
      <c r="N162" s="111" t="s">
        <v>824</v>
      </c>
      <c r="O162" s="111" t="s">
        <v>106</v>
      </c>
      <c r="P162" s="111" t="s">
        <v>107</v>
      </c>
      <c r="Q162" s="110" t="s">
        <v>108</v>
      </c>
      <c r="R162" s="110" t="s">
        <v>109</v>
      </c>
      <c r="S162" s="111" t="s">
        <v>825</v>
      </c>
      <c r="T162" s="111" t="s">
        <v>111</v>
      </c>
      <c r="U162" s="111" t="s">
        <v>103</v>
      </c>
      <c r="V162" s="118">
        <f t="shared" si="8"/>
        <v>2.5188916876574307E-3</v>
      </c>
      <c r="W162" s="114" t="str">
        <f>IFERROR(I162-AVERAGEIFS(I$6:I161,J$6:J161,"ICIS / Platts",B$6:B161,B162),"")</f>
        <v/>
      </c>
      <c r="X162" s="110" t="s">
        <v>113</v>
      </c>
      <c r="Y162" s="117" t="str">
        <f t="shared" si="7"/>
        <v>OK</v>
      </c>
      <c r="Z162" s="111" t="s">
        <v>116</v>
      </c>
      <c r="AA162" s="111" t="s">
        <v>115</v>
      </c>
      <c r="AB162" s="111" t="s">
        <v>116</v>
      </c>
      <c r="AC162" s="111" t="s">
        <v>116</v>
      </c>
      <c r="AD162" s="111"/>
    </row>
    <row r="163" spans="2:30" ht="24.75" customHeight="1" x14ac:dyDescent="0.25">
      <c r="B163" s="115">
        <v>45202</v>
      </c>
      <c r="C163" s="116" t="s">
        <v>117</v>
      </c>
      <c r="D163" s="116">
        <v>40</v>
      </c>
      <c r="E163" s="110" t="str">
        <f t="shared" si="6"/>
        <v>20231003-158</v>
      </c>
      <c r="F163" s="111" t="s">
        <v>98</v>
      </c>
      <c r="G163" s="111" t="s">
        <v>99</v>
      </c>
      <c r="H163" s="112" t="s">
        <v>984</v>
      </c>
      <c r="I163" s="113">
        <v>1611.39</v>
      </c>
      <c r="J163" s="111" t="s">
        <v>118</v>
      </c>
      <c r="K163" s="111" t="s">
        <v>985</v>
      </c>
      <c r="L163" s="111" t="s">
        <v>103</v>
      </c>
      <c r="M163" s="111" t="s">
        <v>104</v>
      </c>
      <c r="N163" s="111" t="s">
        <v>827</v>
      </c>
      <c r="O163" s="111" t="s">
        <v>121</v>
      </c>
      <c r="P163" s="111" t="s">
        <v>132</v>
      </c>
      <c r="Q163" s="110" t="s">
        <v>123</v>
      </c>
      <c r="R163" s="110" t="s">
        <v>134</v>
      </c>
      <c r="S163" s="111" t="s">
        <v>825</v>
      </c>
      <c r="T163" s="111" t="s">
        <v>111</v>
      </c>
      <c r="U163" s="111" t="s">
        <v>103</v>
      </c>
      <c r="V163" s="118">
        <f t="shared" si="8"/>
        <v>1.4531168348748139E-2</v>
      </c>
      <c r="W163" s="114" t="str">
        <f>IFERROR(I163-AVERAGEIFS(I$6:I162,J$6:J162,"ICIS / Platts",B$6:B162,B163),"")</f>
        <v/>
      </c>
      <c r="X163" s="110" t="s">
        <v>125</v>
      </c>
      <c r="Y163" s="117" t="str">
        <f t="shared" si="7"/>
        <v>OK</v>
      </c>
      <c r="Z163" s="111" t="s">
        <v>116</v>
      </c>
      <c r="AA163" s="111" t="s">
        <v>115</v>
      </c>
      <c r="AB163" s="111" t="s">
        <v>116</v>
      </c>
      <c r="AC163" s="111" t="s">
        <v>116</v>
      </c>
      <c r="AD163" s="111"/>
    </row>
    <row r="164" spans="2:30" ht="24.75" customHeight="1" x14ac:dyDescent="0.25">
      <c r="B164" s="108">
        <v>45203</v>
      </c>
      <c r="C164" s="109" t="s">
        <v>126</v>
      </c>
      <c r="D164" s="109">
        <v>40</v>
      </c>
      <c r="E164" s="110" t="str">
        <f t="shared" si="6"/>
        <v>20231004-159</v>
      </c>
      <c r="F164" s="111" t="s">
        <v>98</v>
      </c>
      <c r="G164" s="111" t="s">
        <v>99</v>
      </c>
      <c r="H164" s="112" t="s">
        <v>984</v>
      </c>
      <c r="I164" s="113">
        <v>1576.84</v>
      </c>
      <c r="J164" s="111" t="s">
        <v>127</v>
      </c>
      <c r="K164" s="111" t="s">
        <v>986</v>
      </c>
      <c r="L164" s="111" t="s">
        <v>129</v>
      </c>
      <c r="M164" s="111" t="s">
        <v>104</v>
      </c>
      <c r="N164" s="111" t="s">
        <v>829</v>
      </c>
      <c r="O164" s="111" t="s">
        <v>131</v>
      </c>
      <c r="P164" s="111" t="s">
        <v>830</v>
      </c>
      <c r="Q164" s="110" t="s">
        <v>133</v>
      </c>
      <c r="R164" s="110" t="s">
        <v>831</v>
      </c>
      <c r="S164" s="111" t="s">
        <v>832</v>
      </c>
      <c r="T164" s="111" t="s">
        <v>136</v>
      </c>
      <c r="U164" s="111" t="s">
        <v>129</v>
      </c>
      <c r="V164" s="118">
        <f t="shared" si="8"/>
        <v>-4.9724872532687847E-3</v>
      </c>
      <c r="W164" s="114" t="str">
        <f>IFERROR(I164-AVERAGEIFS(I$6:I163,J$6:J163,"ICIS / Platts",B$6:B163,B164),"")</f>
        <v/>
      </c>
      <c r="X164" s="110" t="s">
        <v>137</v>
      </c>
      <c r="Y164" s="117" t="str">
        <f t="shared" si="7"/>
        <v>OK</v>
      </c>
      <c r="Z164" s="111" t="s">
        <v>116</v>
      </c>
      <c r="AA164" s="111" t="s">
        <v>115</v>
      </c>
      <c r="AB164" s="111" t="s">
        <v>116</v>
      </c>
      <c r="AC164" s="111" t="s">
        <v>116</v>
      </c>
      <c r="AD164" s="111"/>
    </row>
    <row r="165" spans="2:30" ht="24.75" customHeight="1" x14ac:dyDescent="0.25">
      <c r="B165" s="115">
        <v>45205</v>
      </c>
      <c r="C165" s="116" t="s">
        <v>138</v>
      </c>
      <c r="D165" s="116">
        <v>40</v>
      </c>
      <c r="E165" s="110" t="str">
        <f t="shared" si="6"/>
        <v>20231006-160</v>
      </c>
      <c r="F165" s="111" t="s">
        <v>98</v>
      </c>
      <c r="G165" s="111" t="s">
        <v>99</v>
      </c>
      <c r="H165" s="112" t="s">
        <v>984</v>
      </c>
      <c r="I165" s="113">
        <v>1586.3</v>
      </c>
      <c r="J165" s="111" t="s">
        <v>139</v>
      </c>
      <c r="K165" s="111" t="s">
        <v>987</v>
      </c>
      <c r="L165" s="111" t="s">
        <v>103</v>
      </c>
      <c r="M165" s="111" t="s">
        <v>104</v>
      </c>
      <c r="N165" s="111" t="s">
        <v>824</v>
      </c>
      <c r="O165" s="111" t="s">
        <v>106</v>
      </c>
      <c r="P165" s="111" t="s">
        <v>141</v>
      </c>
      <c r="Q165" s="110" t="s">
        <v>133</v>
      </c>
      <c r="R165" s="110" t="s">
        <v>142</v>
      </c>
      <c r="S165" s="111" t="s">
        <v>825</v>
      </c>
      <c r="T165" s="111" t="s">
        <v>111</v>
      </c>
      <c r="U165" s="111" t="s">
        <v>103</v>
      </c>
      <c r="V165" s="118">
        <f t="shared" si="8"/>
        <v>7.3025146050292103E-3</v>
      </c>
      <c r="W165" s="114" t="str">
        <f>IFERROR(I165-AVERAGEIFS(I$6:I164,J$6:J164,"ICIS / Platts",B$6:B164,B165),"")</f>
        <v/>
      </c>
      <c r="X165" s="110" t="s">
        <v>125</v>
      </c>
      <c r="Y165" s="117" t="str">
        <f t="shared" si="7"/>
        <v>OK</v>
      </c>
      <c r="Z165" s="111" t="s">
        <v>116</v>
      </c>
      <c r="AA165" s="111" t="s">
        <v>115</v>
      </c>
      <c r="AB165" s="111" t="s">
        <v>116</v>
      </c>
      <c r="AC165" s="111" t="s">
        <v>116</v>
      </c>
      <c r="AD165" s="111"/>
    </row>
    <row r="166" spans="2:30" ht="24.75" customHeight="1" x14ac:dyDescent="0.25">
      <c r="B166" s="108">
        <v>45208</v>
      </c>
      <c r="C166" s="109" t="s">
        <v>97</v>
      </c>
      <c r="D166" s="109">
        <v>41</v>
      </c>
      <c r="E166" s="110" t="str">
        <f t="shared" si="6"/>
        <v>20231009-161</v>
      </c>
      <c r="F166" s="111" t="s">
        <v>98</v>
      </c>
      <c r="G166" s="111" t="s">
        <v>99</v>
      </c>
      <c r="H166" s="112" t="s">
        <v>988</v>
      </c>
      <c r="I166" s="113">
        <v>1598</v>
      </c>
      <c r="J166" s="111" t="s">
        <v>101</v>
      </c>
      <c r="K166" s="111" t="s">
        <v>339</v>
      </c>
      <c r="L166" s="111" t="s">
        <v>103</v>
      </c>
      <c r="M166" s="111" t="s">
        <v>104</v>
      </c>
      <c r="N166" s="111" t="s">
        <v>824</v>
      </c>
      <c r="O166" s="111" t="s">
        <v>106</v>
      </c>
      <c r="P166" s="111" t="s">
        <v>107</v>
      </c>
      <c r="Q166" s="110" t="s">
        <v>108</v>
      </c>
      <c r="R166" s="110" t="s">
        <v>109</v>
      </c>
      <c r="S166" s="111" t="s">
        <v>825</v>
      </c>
      <c r="T166" s="111" t="s">
        <v>111</v>
      </c>
      <c r="U166" s="111" t="s">
        <v>103</v>
      </c>
      <c r="V166" s="118">
        <f t="shared" si="8"/>
        <v>3.7688442211055275E-3</v>
      </c>
      <c r="W166" s="114" t="str">
        <f>IFERROR(I166-AVERAGEIFS(I$6:I165,J$6:J165,"ICIS / Platts",B$6:B165,B166),"")</f>
        <v/>
      </c>
      <c r="X166" s="110" t="s">
        <v>113</v>
      </c>
      <c r="Y166" s="117" t="str">
        <f t="shared" si="7"/>
        <v>OK</v>
      </c>
      <c r="Z166" s="111" t="s">
        <v>116</v>
      </c>
      <c r="AA166" s="111" t="s">
        <v>115</v>
      </c>
      <c r="AB166" s="111" t="s">
        <v>116</v>
      </c>
      <c r="AC166" s="111" t="s">
        <v>116</v>
      </c>
      <c r="AD166" s="111"/>
    </row>
    <row r="167" spans="2:30" ht="24.75" customHeight="1" x14ac:dyDescent="0.25">
      <c r="B167" s="115">
        <v>45209</v>
      </c>
      <c r="C167" s="116" t="s">
        <v>117</v>
      </c>
      <c r="D167" s="116">
        <v>41</v>
      </c>
      <c r="E167" s="110" t="str">
        <f t="shared" si="6"/>
        <v>20231010-162</v>
      </c>
      <c r="F167" s="111" t="s">
        <v>98</v>
      </c>
      <c r="G167" s="111" t="s">
        <v>99</v>
      </c>
      <c r="H167" s="112" t="s">
        <v>988</v>
      </c>
      <c r="I167" s="113">
        <v>1649.21</v>
      </c>
      <c r="J167" s="111" t="s">
        <v>118</v>
      </c>
      <c r="K167" s="111" t="s">
        <v>989</v>
      </c>
      <c r="L167" s="111" t="s">
        <v>103</v>
      </c>
      <c r="M167" s="111" t="s">
        <v>104</v>
      </c>
      <c r="N167" s="111" t="s">
        <v>827</v>
      </c>
      <c r="O167" s="111" t="s">
        <v>121</v>
      </c>
      <c r="P167" s="111" t="s">
        <v>132</v>
      </c>
      <c r="Q167" s="110" t="s">
        <v>123</v>
      </c>
      <c r="R167" s="110" t="s">
        <v>134</v>
      </c>
      <c r="S167" s="111" t="s">
        <v>825</v>
      </c>
      <c r="T167" s="111" t="s">
        <v>111</v>
      </c>
      <c r="U167" s="111" t="s">
        <v>103</v>
      </c>
      <c r="V167" s="118">
        <f t="shared" si="8"/>
        <v>2.3470419947995168E-2</v>
      </c>
      <c r="W167" s="114" t="str">
        <f>IFERROR(I167-AVERAGEIFS(I$6:I166,J$6:J166,"ICIS / Platts",B$6:B166,B167),"")</f>
        <v/>
      </c>
      <c r="X167" s="110" t="s">
        <v>125</v>
      </c>
      <c r="Y167" s="117" t="str">
        <f t="shared" si="7"/>
        <v>OK</v>
      </c>
      <c r="Z167" s="111" t="s">
        <v>116</v>
      </c>
      <c r="AA167" s="111" t="s">
        <v>115</v>
      </c>
      <c r="AB167" s="111" t="s">
        <v>116</v>
      </c>
      <c r="AC167" s="111" t="s">
        <v>116</v>
      </c>
      <c r="AD167" s="111"/>
    </row>
    <row r="168" spans="2:30" ht="24.75" customHeight="1" x14ac:dyDescent="0.25">
      <c r="B168" s="108">
        <v>45210</v>
      </c>
      <c r="C168" s="109" t="s">
        <v>126</v>
      </c>
      <c r="D168" s="109">
        <v>41</v>
      </c>
      <c r="E168" s="110" t="str">
        <f t="shared" si="6"/>
        <v>20231011-163</v>
      </c>
      <c r="F168" s="111" t="s">
        <v>98</v>
      </c>
      <c r="G168" s="111" t="s">
        <v>99</v>
      </c>
      <c r="H168" s="112" t="s">
        <v>988</v>
      </c>
      <c r="I168" s="113">
        <v>1617.78</v>
      </c>
      <c r="J168" s="111" t="s">
        <v>127</v>
      </c>
      <c r="K168" s="111" t="s">
        <v>990</v>
      </c>
      <c r="L168" s="111" t="s">
        <v>129</v>
      </c>
      <c r="M168" s="111" t="s">
        <v>104</v>
      </c>
      <c r="N168" s="111" t="s">
        <v>829</v>
      </c>
      <c r="O168" s="111" t="s">
        <v>131</v>
      </c>
      <c r="P168" s="111" t="s">
        <v>830</v>
      </c>
      <c r="Q168" s="110" t="s">
        <v>133</v>
      </c>
      <c r="R168" s="110" t="s">
        <v>831</v>
      </c>
      <c r="S168" s="111" t="s">
        <v>832</v>
      </c>
      <c r="T168" s="111" t="s">
        <v>136</v>
      </c>
      <c r="U168" s="111" t="s">
        <v>129</v>
      </c>
      <c r="V168" s="118">
        <f t="shared" si="8"/>
        <v>2.5963319043149625E-2</v>
      </c>
      <c r="W168" s="114" t="str">
        <f>IFERROR(I168-AVERAGEIFS(I$6:I167,J$6:J167,"ICIS / Platts",B$6:B167,B168),"")</f>
        <v/>
      </c>
      <c r="X168" s="110" t="s">
        <v>137</v>
      </c>
      <c r="Y168" s="117" t="str">
        <f t="shared" si="7"/>
        <v>OK</v>
      </c>
      <c r="Z168" s="111" t="s">
        <v>116</v>
      </c>
      <c r="AA168" s="111" t="s">
        <v>115</v>
      </c>
      <c r="AB168" s="111" t="s">
        <v>116</v>
      </c>
      <c r="AC168" s="111" t="s">
        <v>116</v>
      </c>
      <c r="AD168" s="111"/>
    </row>
    <row r="169" spans="2:30" ht="24.75" customHeight="1" x14ac:dyDescent="0.25">
      <c r="B169" s="115">
        <v>45212</v>
      </c>
      <c r="C169" s="116" t="s">
        <v>138</v>
      </c>
      <c r="D169" s="116">
        <v>41</v>
      </c>
      <c r="E169" s="110" t="str">
        <f t="shared" si="6"/>
        <v>20231013-164</v>
      </c>
      <c r="F169" s="111" t="s">
        <v>98</v>
      </c>
      <c r="G169" s="111" t="s">
        <v>99</v>
      </c>
      <c r="H169" s="112" t="s">
        <v>988</v>
      </c>
      <c r="I169" s="113">
        <v>1602</v>
      </c>
      <c r="J169" s="111" t="s">
        <v>139</v>
      </c>
      <c r="K169" s="111" t="s">
        <v>991</v>
      </c>
      <c r="L169" s="111" t="s">
        <v>103</v>
      </c>
      <c r="M169" s="111" t="s">
        <v>104</v>
      </c>
      <c r="N169" s="111" t="s">
        <v>824</v>
      </c>
      <c r="O169" s="111" t="s">
        <v>106</v>
      </c>
      <c r="P169" s="111" t="s">
        <v>141</v>
      </c>
      <c r="Q169" s="110" t="s">
        <v>133</v>
      </c>
      <c r="R169" s="110" t="s">
        <v>142</v>
      </c>
      <c r="S169" s="111" t="s">
        <v>825</v>
      </c>
      <c r="T169" s="111" t="s">
        <v>111</v>
      </c>
      <c r="U169" s="111" t="s">
        <v>103</v>
      </c>
      <c r="V169" s="118">
        <f t="shared" si="8"/>
        <v>9.8972451616970592E-3</v>
      </c>
      <c r="W169" s="114" t="str">
        <f>IFERROR(I169-AVERAGEIFS(I$6:I168,J$6:J168,"ICIS / Platts",B$6:B168,B169),"")</f>
        <v/>
      </c>
      <c r="X169" s="110" t="s">
        <v>125</v>
      </c>
      <c r="Y169" s="117" t="str">
        <f t="shared" si="7"/>
        <v>OK</v>
      </c>
      <c r="Z169" s="111" t="s">
        <v>116</v>
      </c>
      <c r="AA169" s="111" t="s">
        <v>115</v>
      </c>
      <c r="AB169" s="111" t="s">
        <v>116</v>
      </c>
      <c r="AC169" s="111" t="s">
        <v>116</v>
      </c>
      <c r="AD169" s="111"/>
    </row>
    <row r="170" spans="2:30" ht="24.75" customHeight="1" x14ac:dyDescent="0.25">
      <c r="B170" s="108">
        <v>45215</v>
      </c>
      <c r="C170" s="109" t="s">
        <v>97</v>
      </c>
      <c r="D170" s="109">
        <v>42</v>
      </c>
      <c r="E170" s="110" t="str">
        <f t="shared" si="6"/>
        <v>20231016-165</v>
      </c>
      <c r="F170" s="111" t="s">
        <v>98</v>
      </c>
      <c r="G170" s="111" t="s">
        <v>99</v>
      </c>
      <c r="H170" s="112" t="s">
        <v>992</v>
      </c>
      <c r="I170" s="113">
        <v>1605</v>
      </c>
      <c r="J170" s="111" t="s">
        <v>101</v>
      </c>
      <c r="K170" s="111" t="s">
        <v>343</v>
      </c>
      <c r="L170" s="111" t="s">
        <v>103</v>
      </c>
      <c r="M170" s="111" t="s">
        <v>104</v>
      </c>
      <c r="N170" s="111" t="s">
        <v>824</v>
      </c>
      <c r="O170" s="111" t="s">
        <v>106</v>
      </c>
      <c r="P170" s="111" t="s">
        <v>107</v>
      </c>
      <c r="Q170" s="110" t="s">
        <v>108</v>
      </c>
      <c r="R170" s="110" t="s">
        <v>109</v>
      </c>
      <c r="S170" s="111" t="s">
        <v>825</v>
      </c>
      <c r="T170" s="111" t="s">
        <v>111</v>
      </c>
      <c r="U170" s="111" t="s">
        <v>103</v>
      </c>
      <c r="V170" s="118">
        <f t="shared" si="8"/>
        <v>4.3804755944931162E-3</v>
      </c>
      <c r="W170" s="114" t="str">
        <f>IFERROR(I170-AVERAGEIFS(I$6:I169,J$6:J169,"ICIS / Platts",B$6:B169,B170),"")</f>
        <v/>
      </c>
      <c r="X170" s="110" t="s">
        <v>113</v>
      </c>
      <c r="Y170" s="117" t="str">
        <f t="shared" si="7"/>
        <v>OK</v>
      </c>
      <c r="Z170" s="111" t="s">
        <v>116</v>
      </c>
      <c r="AA170" s="111" t="s">
        <v>115</v>
      </c>
      <c r="AB170" s="111" t="s">
        <v>116</v>
      </c>
      <c r="AC170" s="111" t="s">
        <v>116</v>
      </c>
      <c r="AD170" s="111"/>
    </row>
    <row r="171" spans="2:30" ht="24.75" customHeight="1" x14ac:dyDescent="0.25">
      <c r="B171" s="115">
        <v>45216</v>
      </c>
      <c r="C171" s="116" t="s">
        <v>117</v>
      </c>
      <c r="D171" s="116">
        <v>42</v>
      </c>
      <c r="E171" s="110" t="str">
        <f t="shared" si="6"/>
        <v>20231017-166</v>
      </c>
      <c r="F171" s="111" t="s">
        <v>98</v>
      </c>
      <c r="G171" s="111" t="s">
        <v>99</v>
      </c>
      <c r="H171" s="112" t="s">
        <v>992</v>
      </c>
      <c r="I171" s="113">
        <v>1589.19</v>
      </c>
      <c r="J171" s="111" t="s">
        <v>118</v>
      </c>
      <c r="K171" s="111" t="s">
        <v>993</v>
      </c>
      <c r="L171" s="111" t="s">
        <v>103</v>
      </c>
      <c r="M171" s="111" t="s">
        <v>104</v>
      </c>
      <c r="N171" s="111" t="s">
        <v>827</v>
      </c>
      <c r="O171" s="111" t="s">
        <v>121</v>
      </c>
      <c r="P171" s="111" t="s">
        <v>132</v>
      </c>
      <c r="Q171" s="110" t="s">
        <v>123</v>
      </c>
      <c r="R171" s="110" t="s">
        <v>134</v>
      </c>
      <c r="S171" s="111" t="s">
        <v>825</v>
      </c>
      <c r="T171" s="111" t="s">
        <v>111</v>
      </c>
      <c r="U171" s="111" t="s">
        <v>103</v>
      </c>
      <c r="V171" s="118">
        <f t="shared" si="8"/>
        <v>-3.6393182190260782E-2</v>
      </c>
      <c r="W171" s="114" t="str">
        <f>IFERROR(I171-AVERAGEIFS(I$6:I170,J$6:J170,"ICIS / Platts",B$6:B170,B171),"")</f>
        <v/>
      </c>
      <c r="X171" s="110" t="s">
        <v>125</v>
      </c>
      <c r="Y171" s="117" t="str">
        <f t="shared" si="7"/>
        <v>OK</v>
      </c>
      <c r="Z171" s="111" t="s">
        <v>116</v>
      </c>
      <c r="AA171" s="111" t="s">
        <v>115</v>
      </c>
      <c r="AB171" s="111" t="s">
        <v>116</v>
      </c>
      <c r="AC171" s="111" t="s">
        <v>116</v>
      </c>
      <c r="AD171" s="111"/>
    </row>
    <row r="172" spans="2:30" ht="24.75" customHeight="1" x14ac:dyDescent="0.25">
      <c r="B172" s="108">
        <v>45217</v>
      </c>
      <c r="C172" s="109" t="s">
        <v>126</v>
      </c>
      <c r="D172" s="109">
        <v>42</v>
      </c>
      <c r="E172" s="110" t="str">
        <f t="shared" si="6"/>
        <v>20231018-167</v>
      </c>
      <c r="F172" s="111" t="s">
        <v>98</v>
      </c>
      <c r="G172" s="111" t="s">
        <v>99</v>
      </c>
      <c r="H172" s="112" t="s">
        <v>992</v>
      </c>
      <c r="I172" s="113">
        <v>1597.46</v>
      </c>
      <c r="J172" s="111" t="s">
        <v>127</v>
      </c>
      <c r="K172" s="111" t="s">
        <v>994</v>
      </c>
      <c r="L172" s="111" t="s">
        <v>129</v>
      </c>
      <c r="M172" s="111" t="s">
        <v>104</v>
      </c>
      <c r="N172" s="111" t="s">
        <v>829</v>
      </c>
      <c r="O172" s="111" t="s">
        <v>131</v>
      </c>
      <c r="P172" s="111" t="s">
        <v>830</v>
      </c>
      <c r="Q172" s="110" t="s">
        <v>133</v>
      </c>
      <c r="R172" s="110" t="s">
        <v>831</v>
      </c>
      <c r="S172" s="111" t="s">
        <v>832</v>
      </c>
      <c r="T172" s="111" t="s">
        <v>136</v>
      </c>
      <c r="U172" s="111" t="s">
        <v>129</v>
      </c>
      <c r="V172" s="118">
        <f t="shared" si="8"/>
        <v>-1.2560422307112176E-2</v>
      </c>
      <c r="W172" s="114" t="str">
        <f>IFERROR(I172-AVERAGEIFS(I$6:I171,J$6:J171,"ICIS / Platts",B$6:B171,B172),"")</f>
        <v/>
      </c>
      <c r="X172" s="110" t="s">
        <v>137</v>
      </c>
      <c r="Y172" s="117" t="str">
        <f t="shared" si="7"/>
        <v>OK</v>
      </c>
      <c r="Z172" s="111" t="s">
        <v>116</v>
      </c>
      <c r="AA172" s="111" t="s">
        <v>115</v>
      </c>
      <c r="AB172" s="111" t="s">
        <v>116</v>
      </c>
      <c r="AC172" s="111" t="s">
        <v>116</v>
      </c>
      <c r="AD172" s="111"/>
    </row>
    <row r="173" spans="2:30" ht="24.75" customHeight="1" x14ac:dyDescent="0.25">
      <c r="B173" s="115">
        <v>45219</v>
      </c>
      <c r="C173" s="116" t="s">
        <v>138</v>
      </c>
      <c r="D173" s="116">
        <v>42</v>
      </c>
      <c r="E173" s="110" t="str">
        <f t="shared" si="6"/>
        <v>20231020-168</v>
      </c>
      <c r="F173" s="111" t="s">
        <v>98</v>
      </c>
      <c r="G173" s="111" t="s">
        <v>99</v>
      </c>
      <c r="H173" s="112" t="s">
        <v>992</v>
      </c>
      <c r="I173" s="113">
        <v>1599.18</v>
      </c>
      <c r="J173" s="111" t="s">
        <v>139</v>
      </c>
      <c r="K173" s="111" t="s">
        <v>995</v>
      </c>
      <c r="L173" s="111" t="s">
        <v>103</v>
      </c>
      <c r="M173" s="111" t="s">
        <v>104</v>
      </c>
      <c r="N173" s="111" t="s">
        <v>824</v>
      </c>
      <c r="O173" s="111" t="s">
        <v>106</v>
      </c>
      <c r="P173" s="111" t="s">
        <v>141</v>
      </c>
      <c r="Q173" s="110" t="s">
        <v>133</v>
      </c>
      <c r="R173" s="110" t="s">
        <v>142</v>
      </c>
      <c r="S173" s="111" t="s">
        <v>825</v>
      </c>
      <c r="T173" s="111" t="s">
        <v>111</v>
      </c>
      <c r="U173" s="111" t="s">
        <v>103</v>
      </c>
      <c r="V173" s="118">
        <f t="shared" si="8"/>
        <v>-1.7602996254681251E-3</v>
      </c>
      <c r="W173" s="114" t="str">
        <f>IFERROR(I173-AVERAGEIFS(I$6:I172,J$6:J172,"ICIS / Platts",B$6:B172,B173),"")</f>
        <v/>
      </c>
      <c r="X173" s="110" t="s">
        <v>125</v>
      </c>
      <c r="Y173" s="117" t="str">
        <f t="shared" si="7"/>
        <v>OK</v>
      </c>
      <c r="Z173" s="111" t="s">
        <v>116</v>
      </c>
      <c r="AA173" s="111" t="s">
        <v>115</v>
      </c>
      <c r="AB173" s="111" t="s">
        <v>116</v>
      </c>
      <c r="AC173" s="111" t="s">
        <v>116</v>
      </c>
      <c r="AD173" s="111"/>
    </row>
    <row r="174" spans="2:30" ht="24.75" customHeight="1" x14ac:dyDescent="0.25">
      <c r="B174" s="108">
        <v>45222</v>
      </c>
      <c r="C174" s="109" t="s">
        <v>97</v>
      </c>
      <c r="D174" s="109">
        <v>43</v>
      </c>
      <c r="E174" s="110" t="str">
        <f t="shared" si="6"/>
        <v>20231023-169</v>
      </c>
      <c r="F174" s="111" t="s">
        <v>98</v>
      </c>
      <c r="G174" s="111" t="s">
        <v>99</v>
      </c>
      <c r="H174" s="112" t="s">
        <v>996</v>
      </c>
      <c r="I174" s="113">
        <v>1612</v>
      </c>
      <c r="J174" s="111" t="s">
        <v>101</v>
      </c>
      <c r="K174" s="111" t="s">
        <v>348</v>
      </c>
      <c r="L174" s="111" t="s">
        <v>103</v>
      </c>
      <c r="M174" s="111" t="s">
        <v>104</v>
      </c>
      <c r="N174" s="111" t="s">
        <v>824</v>
      </c>
      <c r="O174" s="111" t="s">
        <v>106</v>
      </c>
      <c r="P174" s="111" t="s">
        <v>107</v>
      </c>
      <c r="Q174" s="110" t="s">
        <v>108</v>
      </c>
      <c r="R174" s="110" t="s">
        <v>109</v>
      </c>
      <c r="S174" s="111" t="s">
        <v>825</v>
      </c>
      <c r="T174" s="111" t="s">
        <v>111</v>
      </c>
      <c r="U174" s="111" t="s">
        <v>103</v>
      </c>
      <c r="V174" s="118">
        <f t="shared" si="8"/>
        <v>4.3613707165109034E-3</v>
      </c>
      <c r="W174" s="114" t="str">
        <f>IFERROR(I174-AVERAGEIFS(I$6:I173,J$6:J173,"ICIS / Platts",B$6:B173,B174),"")</f>
        <v/>
      </c>
      <c r="X174" s="110" t="s">
        <v>113</v>
      </c>
      <c r="Y174" s="117" t="str">
        <f t="shared" si="7"/>
        <v>OK</v>
      </c>
      <c r="Z174" s="111" t="s">
        <v>116</v>
      </c>
      <c r="AA174" s="111" t="s">
        <v>115</v>
      </c>
      <c r="AB174" s="111" t="s">
        <v>116</v>
      </c>
      <c r="AC174" s="111" t="s">
        <v>116</v>
      </c>
      <c r="AD174" s="111"/>
    </row>
    <row r="175" spans="2:30" ht="24.75" customHeight="1" x14ac:dyDescent="0.25">
      <c r="B175" s="115">
        <v>45223</v>
      </c>
      <c r="C175" s="116" t="s">
        <v>117</v>
      </c>
      <c r="D175" s="116">
        <v>43</v>
      </c>
      <c r="E175" s="110" t="str">
        <f t="shared" si="6"/>
        <v>20231024-170</v>
      </c>
      <c r="F175" s="111" t="s">
        <v>98</v>
      </c>
      <c r="G175" s="111" t="s">
        <v>99</v>
      </c>
      <c r="H175" s="112" t="s">
        <v>996</v>
      </c>
      <c r="I175" s="113">
        <v>1651.09</v>
      </c>
      <c r="J175" s="111" t="s">
        <v>118</v>
      </c>
      <c r="K175" s="111" t="s">
        <v>997</v>
      </c>
      <c r="L175" s="111" t="s">
        <v>103</v>
      </c>
      <c r="M175" s="111" t="s">
        <v>104</v>
      </c>
      <c r="N175" s="111" t="s">
        <v>827</v>
      </c>
      <c r="O175" s="111" t="s">
        <v>121</v>
      </c>
      <c r="P175" s="111" t="s">
        <v>132</v>
      </c>
      <c r="Q175" s="110" t="s">
        <v>123</v>
      </c>
      <c r="R175" s="110" t="s">
        <v>134</v>
      </c>
      <c r="S175" s="111" t="s">
        <v>825</v>
      </c>
      <c r="T175" s="111" t="s">
        <v>111</v>
      </c>
      <c r="U175" s="111" t="s">
        <v>103</v>
      </c>
      <c r="V175" s="118">
        <f t="shared" si="8"/>
        <v>3.8950660399322837E-2</v>
      </c>
      <c r="W175" s="114" t="str">
        <f>IFERROR(I175-AVERAGEIFS(I$6:I174,J$6:J174,"ICIS / Platts",B$6:B174,B175),"")</f>
        <v/>
      </c>
      <c r="X175" s="110" t="s">
        <v>125</v>
      </c>
      <c r="Y175" s="117" t="str">
        <f t="shared" si="7"/>
        <v>OK</v>
      </c>
      <c r="Z175" s="111" t="s">
        <v>116</v>
      </c>
      <c r="AA175" s="111" t="s">
        <v>115</v>
      </c>
      <c r="AB175" s="111" t="s">
        <v>116</v>
      </c>
      <c r="AC175" s="111" t="s">
        <v>116</v>
      </c>
      <c r="AD175" s="111"/>
    </row>
    <row r="176" spans="2:30" ht="24.75" customHeight="1" x14ac:dyDescent="0.25">
      <c r="B176" s="108">
        <v>45224</v>
      </c>
      <c r="C176" s="109" t="s">
        <v>126</v>
      </c>
      <c r="D176" s="109">
        <v>43</v>
      </c>
      <c r="E176" s="110" t="str">
        <f t="shared" si="6"/>
        <v>20231025-171</v>
      </c>
      <c r="F176" s="111" t="s">
        <v>98</v>
      </c>
      <c r="G176" s="111" t="s">
        <v>99</v>
      </c>
      <c r="H176" s="112" t="s">
        <v>996</v>
      </c>
      <c r="I176" s="113">
        <v>1649.1</v>
      </c>
      <c r="J176" s="111" t="s">
        <v>127</v>
      </c>
      <c r="K176" s="111" t="s">
        <v>998</v>
      </c>
      <c r="L176" s="111" t="s">
        <v>129</v>
      </c>
      <c r="M176" s="111" t="s">
        <v>104</v>
      </c>
      <c r="N176" s="111" t="s">
        <v>829</v>
      </c>
      <c r="O176" s="111" t="s">
        <v>131</v>
      </c>
      <c r="P176" s="111" t="s">
        <v>830</v>
      </c>
      <c r="Q176" s="110" t="s">
        <v>133</v>
      </c>
      <c r="R176" s="110" t="s">
        <v>831</v>
      </c>
      <c r="S176" s="111" t="s">
        <v>832</v>
      </c>
      <c r="T176" s="111" t="s">
        <v>136</v>
      </c>
      <c r="U176" s="111" t="s">
        <v>129</v>
      </c>
      <c r="V176" s="118">
        <f t="shared" si="8"/>
        <v>3.232631802987234E-2</v>
      </c>
      <c r="W176" s="114" t="str">
        <f>IFERROR(I176-AVERAGEIFS(I$6:I175,J$6:J175,"ICIS / Platts",B$6:B175,B176),"")</f>
        <v/>
      </c>
      <c r="X176" s="110" t="s">
        <v>137</v>
      </c>
      <c r="Y176" s="117" t="str">
        <f t="shared" si="7"/>
        <v>OK</v>
      </c>
      <c r="Z176" s="111" t="s">
        <v>116</v>
      </c>
      <c r="AA176" s="111" t="s">
        <v>115</v>
      </c>
      <c r="AB176" s="111" t="s">
        <v>116</v>
      </c>
      <c r="AC176" s="111" t="s">
        <v>116</v>
      </c>
      <c r="AD176" s="111"/>
    </row>
    <row r="177" spans="2:30" ht="24.75" customHeight="1" x14ac:dyDescent="0.25">
      <c r="B177" s="115">
        <v>45226</v>
      </c>
      <c r="C177" s="116" t="s">
        <v>138</v>
      </c>
      <c r="D177" s="116">
        <v>43</v>
      </c>
      <c r="E177" s="110" t="str">
        <f t="shared" si="6"/>
        <v>20231027-172</v>
      </c>
      <c r="F177" s="111" t="s">
        <v>98</v>
      </c>
      <c r="G177" s="111" t="s">
        <v>99</v>
      </c>
      <c r="H177" s="112" t="s">
        <v>996</v>
      </c>
      <c r="I177" s="113">
        <v>1639.71</v>
      </c>
      <c r="J177" s="111" t="s">
        <v>139</v>
      </c>
      <c r="K177" s="111" t="s">
        <v>999</v>
      </c>
      <c r="L177" s="111" t="s">
        <v>103</v>
      </c>
      <c r="M177" s="111" t="s">
        <v>104</v>
      </c>
      <c r="N177" s="111" t="s">
        <v>824</v>
      </c>
      <c r="O177" s="111" t="s">
        <v>106</v>
      </c>
      <c r="P177" s="111" t="s">
        <v>141</v>
      </c>
      <c r="Q177" s="110" t="s">
        <v>133</v>
      </c>
      <c r="R177" s="110" t="s">
        <v>142</v>
      </c>
      <c r="S177" s="111" t="s">
        <v>825</v>
      </c>
      <c r="T177" s="111" t="s">
        <v>111</v>
      </c>
      <c r="U177" s="111" t="s">
        <v>103</v>
      </c>
      <c r="V177" s="118">
        <f t="shared" si="8"/>
        <v>2.5344238922447738E-2</v>
      </c>
      <c r="W177" s="114" t="str">
        <f>IFERROR(I177-AVERAGEIFS(I$6:I176,J$6:J176,"ICIS / Platts",B$6:B176,B177),"")</f>
        <v/>
      </c>
      <c r="X177" s="110" t="s">
        <v>125</v>
      </c>
      <c r="Y177" s="117" t="str">
        <f t="shared" si="7"/>
        <v>OK</v>
      </c>
      <c r="Z177" s="111" t="s">
        <v>116</v>
      </c>
      <c r="AA177" s="111" t="s">
        <v>115</v>
      </c>
      <c r="AB177" s="111" t="s">
        <v>116</v>
      </c>
      <c r="AC177" s="111" t="s">
        <v>116</v>
      </c>
      <c r="AD177" s="111"/>
    </row>
    <row r="178" spans="2:30" ht="24.75" customHeight="1" x14ac:dyDescent="0.25">
      <c r="B178" s="108">
        <v>45229</v>
      </c>
      <c r="C178" s="109" t="s">
        <v>97</v>
      </c>
      <c r="D178" s="109">
        <v>44</v>
      </c>
      <c r="E178" s="110" t="str">
        <f t="shared" si="6"/>
        <v>20231030-173</v>
      </c>
      <c r="F178" s="111" t="s">
        <v>98</v>
      </c>
      <c r="G178" s="111" t="s">
        <v>99</v>
      </c>
      <c r="H178" s="112" t="s">
        <v>1000</v>
      </c>
      <c r="I178" s="113">
        <v>1608</v>
      </c>
      <c r="J178" s="111" t="s">
        <v>101</v>
      </c>
      <c r="K178" s="111" t="s">
        <v>353</v>
      </c>
      <c r="L178" s="111" t="s">
        <v>103</v>
      </c>
      <c r="M178" s="111" t="s">
        <v>104</v>
      </c>
      <c r="N178" s="111" t="s">
        <v>824</v>
      </c>
      <c r="O178" s="111" t="s">
        <v>106</v>
      </c>
      <c r="P178" s="111" t="s">
        <v>107</v>
      </c>
      <c r="Q178" s="110" t="s">
        <v>108</v>
      </c>
      <c r="R178" s="110" t="s">
        <v>109</v>
      </c>
      <c r="S178" s="111" t="s">
        <v>825</v>
      </c>
      <c r="T178" s="111" t="s">
        <v>111</v>
      </c>
      <c r="U178" s="111" t="s">
        <v>103</v>
      </c>
      <c r="V178" s="118">
        <f t="shared" si="8"/>
        <v>-2.4813895781637717E-3</v>
      </c>
      <c r="W178" s="114" t="str">
        <f>IFERROR(I178-AVERAGEIFS(I$6:I177,J$6:J177,"ICIS / Platts",B$6:B177,B178),"")</f>
        <v/>
      </c>
      <c r="X178" s="110" t="s">
        <v>113</v>
      </c>
      <c r="Y178" s="117" t="str">
        <f t="shared" si="7"/>
        <v>OK</v>
      </c>
      <c r="Z178" s="111" t="s">
        <v>116</v>
      </c>
      <c r="AA178" s="111" t="s">
        <v>115</v>
      </c>
      <c r="AB178" s="111" t="s">
        <v>116</v>
      </c>
      <c r="AC178" s="111" t="s">
        <v>115</v>
      </c>
      <c r="AD178" s="111"/>
    </row>
    <row r="179" spans="2:30" ht="24.75" customHeight="1" x14ac:dyDescent="0.25">
      <c r="B179" s="115">
        <v>45230</v>
      </c>
      <c r="C179" s="116" t="s">
        <v>117</v>
      </c>
      <c r="D179" s="116">
        <v>44</v>
      </c>
      <c r="E179" s="110" t="str">
        <f t="shared" si="6"/>
        <v>20231031-174</v>
      </c>
      <c r="F179" s="111" t="s">
        <v>98</v>
      </c>
      <c r="G179" s="111" t="s">
        <v>99</v>
      </c>
      <c r="H179" s="112" t="s">
        <v>1000</v>
      </c>
      <c r="I179" s="113">
        <v>1636.11</v>
      </c>
      <c r="J179" s="111" t="s">
        <v>118</v>
      </c>
      <c r="K179" s="111" t="s">
        <v>1001</v>
      </c>
      <c r="L179" s="111" t="s">
        <v>103</v>
      </c>
      <c r="M179" s="111" t="s">
        <v>104</v>
      </c>
      <c r="N179" s="111" t="s">
        <v>827</v>
      </c>
      <c r="O179" s="111" t="s">
        <v>121</v>
      </c>
      <c r="P179" s="111" t="s">
        <v>132</v>
      </c>
      <c r="Q179" s="110" t="s">
        <v>123</v>
      </c>
      <c r="R179" s="110" t="s">
        <v>134</v>
      </c>
      <c r="S179" s="111" t="s">
        <v>825</v>
      </c>
      <c r="T179" s="111" t="s">
        <v>111</v>
      </c>
      <c r="U179" s="111" t="s">
        <v>103</v>
      </c>
      <c r="V179" s="118">
        <f t="shared" si="8"/>
        <v>-9.0727943358629871E-3</v>
      </c>
      <c r="W179" s="114" t="str">
        <f>IFERROR(I179-AVERAGEIFS(I$6:I178,J$6:J178,"ICIS / Platts",B$6:B178,B179),"")</f>
        <v/>
      </c>
      <c r="X179" s="110" t="s">
        <v>125</v>
      </c>
      <c r="Y179" s="117" t="str">
        <f t="shared" si="7"/>
        <v>OK</v>
      </c>
      <c r="Z179" s="111" t="s">
        <v>116</v>
      </c>
      <c r="AA179" s="111" t="s">
        <v>115</v>
      </c>
      <c r="AB179" s="111" t="s">
        <v>116</v>
      </c>
      <c r="AC179" s="111" t="s">
        <v>115</v>
      </c>
      <c r="AD179" s="111"/>
    </row>
    <row r="180" spans="2:30" ht="24.75" customHeight="1" x14ac:dyDescent="0.25">
      <c r="B180" s="108">
        <v>45231</v>
      </c>
      <c r="C180" s="109" t="s">
        <v>126</v>
      </c>
      <c r="D180" s="109">
        <v>44</v>
      </c>
      <c r="E180" s="110" t="str">
        <f t="shared" si="6"/>
        <v>20231101-175</v>
      </c>
      <c r="F180" s="111" t="s">
        <v>98</v>
      </c>
      <c r="G180" s="111" t="s">
        <v>99</v>
      </c>
      <c r="H180" s="112" t="s">
        <v>1000</v>
      </c>
      <c r="I180" s="113">
        <v>1641.37</v>
      </c>
      <c r="J180" s="111" t="s">
        <v>127</v>
      </c>
      <c r="K180" s="111" t="s">
        <v>1002</v>
      </c>
      <c r="L180" s="111" t="s">
        <v>129</v>
      </c>
      <c r="M180" s="111" t="s">
        <v>104</v>
      </c>
      <c r="N180" s="111" t="s">
        <v>829</v>
      </c>
      <c r="O180" s="111" t="s">
        <v>131</v>
      </c>
      <c r="P180" s="111" t="s">
        <v>830</v>
      </c>
      <c r="Q180" s="110" t="s">
        <v>133</v>
      </c>
      <c r="R180" s="110" t="s">
        <v>831</v>
      </c>
      <c r="S180" s="111" t="s">
        <v>832</v>
      </c>
      <c r="T180" s="111" t="s">
        <v>136</v>
      </c>
      <c r="U180" s="111" t="s">
        <v>129</v>
      </c>
      <c r="V180" s="118">
        <f t="shared" si="8"/>
        <v>-4.6874052513492317E-3</v>
      </c>
      <c r="W180" s="114" t="str">
        <f>IFERROR(I180-AVERAGEIFS(I$6:I179,J$6:J179,"ICIS / Platts",B$6:B179,B180),"")</f>
        <v/>
      </c>
      <c r="X180" s="110" t="s">
        <v>137</v>
      </c>
      <c r="Y180" s="117" t="str">
        <f t="shared" si="7"/>
        <v>OK</v>
      </c>
      <c r="Z180" s="111" t="s">
        <v>116</v>
      </c>
      <c r="AA180" s="111" t="s">
        <v>115</v>
      </c>
      <c r="AB180" s="111" t="s">
        <v>116</v>
      </c>
      <c r="AC180" s="111" t="s">
        <v>115</v>
      </c>
      <c r="AD180" s="111"/>
    </row>
    <row r="181" spans="2:30" ht="24.75" customHeight="1" x14ac:dyDescent="0.25">
      <c r="B181" s="115">
        <v>45233</v>
      </c>
      <c r="C181" s="116" t="s">
        <v>138</v>
      </c>
      <c r="D181" s="116">
        <v>44</v>
      </c>
      <c r="E181" s="110" t="str">
        <f t="shared" si="6"/>
        <v>20231103-176</v>
      </c>
      <c r="F181" s="111" t="s">
        <v>98</v>
      </c>
      <c r="G181" s="111" t="s">
        <v>99</v>
      </c>
      <c r="H181" s="112" t="s">
        <v>1000</v>
      </c>
      <c r="I181" s="113">
        <v>1605.73</v>
      </c>
      <c r="J181" s="111" t="s">
        <v>139</v>
      </c>
      <c r="K181" s="111" t="s">
        <v>1003</v>
      </c>
      <c r="L181" s="111" t="s">
        <v>103</v>
      </c>
      <c r="M181" s="111" t="s">
        <v>104</v>
      </c>
      <c r="N181" s="111" t="s">
        <v>824</v>
      </c>
      <c r="O181" s="111" t="s">
        <v>106</v>
      </c>
      <c r="P181" s="111" t="s">
        <v>141</v>
      </c>
      <c r="Q181" s="110" t="s">
        <v>133</v>
      </c>
      <c r="R181" s="110" t="s">
        <v>142</v>
      </c>
      <c r="S181" s="111" t="s">
        <v>825</v>
      </c>
      <c r="T181" s="111" t="s">
        <v>111</v>
      </c>
      <c r="U181" s="111" t="s">
        <v>103</v>
      </c>
      <c r="V181" s="118">
        <f t="shared" si="8"/>
        <v>-2.0723176659287322E-2</v>
      </c>
      <c r="W181" s="114" t="str">
        <f>IFERROR(I181-AVERAGEIFS(I$6:I180,J$6:J180,"ICIS / Platts",B$6:B180,B181),"")</f>
        <v/>
      </c>
      <c r="X181" s="110" t="s">
        <v>125</v>
      </c>
      <c r="Y181" s="117" t="str">
        <f t="shared" si="7"/>
        <v>OK</v>
      </c>
      <c r="Z181" s="111" t="s">
        <v>116</v>
      </c>
      <c r="AA181" s="111" t="s">
        <v>115</v>
      </c>
      <c r="AB181" s="111" t="s">
        <v>116</v>
      </c>
      <c r="AC181" s="111" t="s">
        <v>115</v>
      </c>
      <c r="AD181" s="111"/>
    </row>
    <row r="182" spans="2:30" ht="24.75" customHeight="1" x14ac:dyDescent="0.25">
      <c r="B182" s="108">
        <v>45236</v>
      </c>
      <c r="C182" s="109" t="s">
        <v>97</v>
      </c>
      <c r="D182" s="109">
        <v>45</v>
      </c>
      <c r="E182" s="110" t="str">
        <f t="shared" si="6"/>
        <v>20231106-177</v>
      </c>
      <c r="F182" s="111" t="s">
        <v>98</v>
      </c>
      <c r="G182" s="111" t="s">
        <v>99</v>
      </c>
      <c r="H182" s="112" t="s">
        <v>1004</v>
      </c>
      <c r="I182" s="113">
        <v>1605</v>
      </c>
      <c r="J182" s="111" t="s">
        <v>101</v>
      </c>
      <c r="K182" s="111" t="s">
        <v>358</v>
      </c>
      <c r="L182" s="111" t="s">
        <v>103</v>
      </c>
      <c r="M182" s="111" t="s">
        <v>104</v>
      </c>
      <c r="N182" s="111" t="s">
        <v>824</v>
      </c>
      <c r="O182" s="111" t="s">
        <v>106</v>
      </c>
      <c r="P182" s="111" t="s">
        <v>107</v>
      </c>
      <c r="Q182" s="110" t="s">
        <v>108</v>
      </c>
      <c r="R182" s="110" t="s">
        <v>109</v>
      </c>
      <c r="S182" s="111" t="s">
        <v>825</v>
      </c>
      <c r="T182" s="111" t="s">
        <v>111</v>
      </c>
      <c r="U182" s="111" t="s">
        <v>103</v>
      </c>
      <c r="V182" s="118">
        <f t="shared" si="8"/>
        <v>-1.8656716417910447E-3</v>
      </c>
      <c r="W182" s="114" t="str">
        <f>IFERROR(I182-AVERAGEIFS(I$6:I181,J$6:J181,"ICIS / Platts",B$6:B181,B182),"")</f>
        <v/>
      </c>
      <c r="X182" s="110" t="s">
        <v>113</v>
      </c>
      <c r="Y182" s="117" t="str">
        <f t="shared" si="7"/>
        <v>OK</v>
      </c>
      <c r="Z182" s="111" t="s">
        <v>116</v>
      </c>
      <c r="AA182" s="111" t="s">
        <v>115</v>
      </c>
      <c r="AB182" s="111" t="s">
        <v>116</v>
      </c>
      <c r="AC182" s="111" t="s">
        <v>115</v>
      </c>
      <c r="AD182" s="111"/>
    </row>
    <row r="183" spans="2:30" ht="24.75" customHeight="1" x14ac:dyDescent="0.25">
      <c r="B183" s="115">
        <v>45237</v>
      </c>
      <c r="C183" s="116" t="s">
        <v>117</v>
      </c>
      <c r="D183" s="116">
        <v>45</v>
      </c>
      <c r="E183" s="110" t="str">
        <f t="shared" si="6"/>
        <v>20231107-178</v>
      </c>
      <c r="F183" s="111" t="s">
        <v>98</v>
      </c>
      <c r="G183" s="111" t="s">
        <v>99</v>
      </c>
      <c r="H183" s="112" t="s">
        <v>1004</v>
      </c>
      <c r="I183" s="113">
        <v>1613.08</v>
      </c>
      <c r="J183" s="111" t="s">
        <v>118</v>
      </c>
      <c r="K183" s="111" t="s">
        <v>1005</v>
      </c>
      <c r="L183" s="111" t="s">
        <v>103</v>
      </c>
      <c r="M183" s="111" t="s">
        <v>104</v>
      </c>
      <c r="N183" s="111" t="s">
        <v>827</v>
      </c>
      <c r="O183" s="111" t="s">
        <v>121</v>
      </c>
      <c r="P183" s="111" t="s">
        <v>132</v>
      </c>
      <c r="Q183" s="110" t="s">
        <v>123</v>
      </c>
      <c r="R183" s="110" t="s">
        <v>134</v>
      </c>
      <c r="S183" s="111" t="s">
        <v>825</v>
      </c>
      <c r="T183" s="111" t="s">
        <v>111</v>
      </c>
      <c r="U183" s="111" t="s">
        <v>103</v>
      </c>
      <c r="V183" s="118">
        <f t="shared" si="8"/>
        <v>-1.4076070679844248E-2</v>
      </c>
      <c r="W183" s="114" t="str">
        <f>IFERROR(I183-AVERAGEIFS(I$6:I182,J$6:J182,"ICIS / Platts",B$6:B182,B183),"")</f>
        <v/>
      </c>
      <c r="X183" s="110" t="s">
        <v>125</v>
      </c>
      <c r="Y183" s="117" t="str">
        <f t="shared" si="7"/>
        <v>OK</v>
      </c>
      <c r="Z183" s="111" t="s">
        <v>116</v>
      </c>
      <c r="AA183" s="111" t="s">
        <v>115</v>
      </c>
      <c r="AB183" s="111" t="s">
        <v>116</v>
      </c>
      <c r="AC183" s="111" t="s">
        <v>115</v>
      </c>
      <c r="AD183" s="111"/>
    </row>
    <row r="184" spans="2:30" ht="24.75" customHeight="1" x14ac:dyDescent="0.25">
      <c r="B184" s="108">
        <v>45238</v>
      </c>
      <c r="C184" s="109" t="s">
        <v>126</v>
      </c>
      <c r="D184" s="109">
        <v>45</v>
      </c>
      <c r="E184" s="110" t="str">
        <f t="shared" si="6"/>
        <v>20231108-179</v>
      </c>
      <c r="F184" s="111" t="s">
        <v>98</v>
      </c>
      <c r="G184" s="111" t="s">
        <v>99</v>
      </c>
      <c r="H184" s="112" t="s">
        <v>1004</v>
      </c>
      <c r="I184" s="113">
        <v>1610.47</v>
      </c>
      <c r="J184" s="111" t="s">
        <v>127</v>
      </c>
      <c r="K184" s="111" t="s">
        <v>1006</v>
      </c>
      <c r="L184" s="111" t="s">
        <v>129</v>
      </c>
      <c r="M184" s="111" t="s">
        <v>104</v>
      </c>
      <c r="N184" s="111" t="s">
        <v>829</v>
      </c>
      <c r="O184" s="111" t="s">
        <v>131</v>
      </c>
      <c r="P184" s="111" t="s">
        <v>830</v>
      </c>
      <c r="Q184" s="110" t="s">
        <v>133</v>
      </c>
      <c r="R184" s="110" t="s">
        <v>831</v>
      </c>
      <c r="S184" s="111" t="s">
        <v>832</v>
      </c>
      <c r="T184" s="111" t="s">
        <v>136</v>
      </c>
      <c r="U184" s="111" t="s">
        <v>129</v>
      </c>
      <c r="V184" s="118">
        <f t="shared" si="8"/>
        <v>-1.8825737036743614E-2</v>
      </c>
      <c r="W184" s="114" t="str">
        <f>IFERROR(I184-AVERAGEIFS(I$6:I183,J$6:J183,"ICIS / Platts",B$6:B183,B184),"")</f>
        <v/>
      </c>
      <c r="X184" s="110" t="s">
        <v>137</v>
      </c>
      <c r="Y184" s="117" t="str">
        <f t="shared" si="7"/>
        <v>OK</v>
      </c>
      <c r="Z184" s="111" t="s">
        <v>116</v>
      </c>
      <c r="AA184" s="111" t="s">
        <v>115</v>
      </c>
      <c r="AB184" s="111" t="s">
        <v>116</v>
      </c>
      <c r="AC184" s="111" t="s">
        <v>115</v>
      </c>
      <c r="AD184" s="111"/>
    </row>
    <row r="185" spans="2:30" ht="24.75" customHeight="1" x14ac:dyDescent="0.25">
      <c r="B185" s="115">
        <v>45240</v>
      </c>
      <c r="C185" s="116" t="s">
        <v>138</v>
      </c>
      <c r="D185" s="116">
        <v>45</v>
      </c>
      <c r="E185" s="110" t="str">
        <f t="shared" si="6"/>
        <v>20231110-180</v>
      </c>
      <c r="F185" s="111" t="s">
        <v>98</v>
      </c>
      <c r="G185" s="111" t="s">
        <v>99</v>
      </c>
      <c r="H185" s="112" t="s">
        <v>1004</v>
      </c>
      <c r="I185" s="113">
        <v>1606.02</v>
      </c>
      <c r="J185" s="111" t="s">
        <v>139</v>
      </c>
      <c r="K185" s="111" t="s">
        <v>1007</v>
      </c>
      <c r="L185" s="111" t="s">
        <v>103</v>
      </c>
      <c r="M185" s="111" t="s">
        <v>104</v>
      </c>
      <c r="N185" s="111" t="s">
        <v>824</v>
      </c>
      <c r="O185" s="111" t="s">
        <v>106</v>
      </c>
      <c r="P185" s="111" t="s">
        <v>141</v>
      </c>
      <c r="Q185" s="110" t="s">
        <v>133</v>
      </c>
      <c r="R185" s="110" t="s">
        <v>142</v>
      </c>
      <c r="S185" s="111" t="s">
        <v>825</v>
      </c>
      <c r="T185" s="111" t="s">
        <v>111</v>
      </c>
      <c r="U185" s="111" t="s">
        <v>103</v>
      </c>
      <c r="V185" s="118">
        <f t="shared" si="8"/>
        <v>1.8060321473719967E-4</v>
      </c>
      <c r="W185" s="114" t="str">
        <f>IFERROR(I185-AVERAGEIFS(I$6:I184,J$6:J184,"ICIS / Platts",B$6:B184,B185),"")</f>
        <v/>
      </c>
      <c r="X185" s="110" t="s">
        <v>125</v>
      </c>
      <c r="Y185" s="117" t="str">
        <f t="shared" si="7"/>
        <v>OK</v>
      </c>
      <c r="Z185" s="111" t="s">
        <v>116</v>
      </c>
      <c r="AA185" s="111" t="s">
        <v>115</v>
      </c>
      <c r="AB185" s="111" t="s">
        <v>116</v>
      </c>
      <c r="AC185" s="111" t="s">
        <v>115</v>
      </c>
      <c r="AD185" s="111"/>
    </row>
    <row r="186" spans="2:30" ht="24.75" customHeight="1" x14ac:dyDescent="0.25">
      <c r="B186" s="108">
        <v>45243</v>
      </c>
      <c r="C186" s="109" t="s">
        <v>97</v>
      </c>
      <c r="D186" s="109">
        <v>46</v>
      </c>
      <c r="E186" s="110" t="str">
        <f t="shared" si="6"/>
        <v>20231113-181</v>
      </c>
      <c r="F186" s="111" t="s">
        <v>98</v>
      </c>
      <c r="G186" s="111" t="s">
        <v>99</v>
      </c>
      <c r="H186" s="112" t="s">
        <v>1008</v>
      </c>
      <c r="I186" s="113">
        <v>1610</v>
      </c>
      <c r="J186" s="111" t="s">
        <v>101</v>
      </c>
      <c r="K186" s="111" t="s">
        <v>363</v>
      </c>
      <c r="L186" s="111" t="s">
        <v>103</v>
      </c>
      <c r="M186" s="111" t="s">
        <v>104</v>
      </c>
      <c r="N186" s="111" t="s">
        <v>824</v>
      </c>
      <c r="O186" s="111" t="s">
        <v>106</v>
      </c>
      <c r="P186" s="111" t="s">
        <v>107</v>
      </c>
      <c r="Q186" s="110" t="s">
        <v>108</v>
      </c>
      <c r="R186" s="110" t="s">
        <v>109</v>
      </c>
      <c r="S186" s="111" t="s">
        <v>825</v>
      </c>
      <c r="T186" s="111" t="s">
        <v>111</v>
      </c>
      <c r="U186" s="111" t="s">
        <v>103</v>
      </c>
      <c r="V186" s="118">
        <f t="shared" si="8"/>
        <v>3.1152647975077881E-3</v>
      </c>
      <c r="W186" s="114" t="str">
        <f>IFERROR(I186-AVERAGEIFS(I$6:I185,J$6:J185,"ICIS / Platts",B$6:B185,B186),"")</f>
        <v/>
      </c>
      <c r="X186" s="110" t="s">
        <v>113</v>
      </c>
      <c r="Y186" s="117" t="str">
        <f t="shared" si="7"/>
        <v>OK</v>
      </c>
      <c r="Z186" s="111" t="s">
        <v>116</v>
      </c>
      <c r="AA186" s="111" t="s">
        <v>115</v>
      </c>
      <c r="AB186" s="111" t="s">
        <v>116</v>
      </c>
      <c r="AC186" s="111" t="s">
        <v>116</v>
      </c>
      <c r="AD186" s="111"/>
    </row>
    <row r="187" spans="2:30" ht="24.75" customHeight="1" x14ac:dyDescent="0.25">
      <c r="B187" s="115">
        <v>45244</v>
      </c>
      <c r="C187" s="116" t="s">
        <v>117</v>
      </c>
      <c r="D187" s="116">
        <v>46</v>
      </c>
      <c r="E187" s="110" t="str">
        <f t="shared" si="6"/>
        <v>20231114-182</v>
      </c>
      <c r="F187" s="111" t="s">
        <v>98</v>
      </c>
      <c r="G187" s="111" t="s">
        <v>99</v>
      </c>
      <c r="H187" s="112" t="s">
        <v>1008</v>
      </c>
      <c r="I187" s="113">
        <v>1655.52</v>
      </c>
      <c r="J187" s="111" t="s">
        <v>118</v>
      </c>
      <c r="K187" s="111" t="s">
        <v>1009</v>
      </c>
      <c r="L187" s="111" t="s">
        <v>103</v>
      </c>
      <c r="M187" s="111" t="s">
        <v>104</v>
      </c>
      <c r="N187" s="111" t="s">
        <v>827</v>
      </c>
      <c r="O187" s="111" t="s">
        <v>121</v>
      </c>
      <c r="P187" s="111" t="s">
        <v>132</v>
      </c>
      <c r="Q187" s="110" t="s">
        <v>123</v>
      </c>
      <c r="R187" s="110" t="s">
        <v>134</v>
      </c>
      <c r="S187" s="111" t="s">
        <v>825</v>
      </c>
      <c r="T187" s="111" t="s">
        <v>111</v>
      </c>
      <c r="U187" s="111" t="s">
        <v>103</v>
      </c>
      <c r="V187" s="118">
        <f t="shared" si="8"/>
        <v>2.6309916433158959E-2</v>
      </c>
      <c r="W187" s="114" t="str">
        <f>IFERROR(I187-AVERAGEIFS(I$6:I186,J$6:J186,"ICIS / Platts",B$6:B186,B187),"")</f>
        <v/>
      </c>
      <c r="X187" s="110" t="s">
        <v>125</v>
      </c>
      <c r="Y187" s="117" t="str">
        <f t="shared" si="7"/>
        <v>OK</v>
      </c>
      <c r="Z187" s="111" t="s">
        <v>116</v>
      </c>
      <c r="AA187" s="111" t="s">
        <v>115</v>
      </c>
      <c r="AB187" s="111" t="s">
        <v>116</v>
      </c>
      <c r="AC187" s="111" t="s">
        <v>116</v>
      </c>
      <c r="AD187" s="111"/>
    </row>
    <row r="188" spans="2:30" ht="24.75" customHeight="1" x14ac:dyDescent="0.25">
      <c r="B188" s="108">
        <v>45245</v>
      </c>
      <c r="C188" s="109" t="s">
        <v>126</v>
      </c>
      <c r="D188" s="109">
        <v>46</v>
      </c>
      <c r="E188" s="110" t="str">
        <f t="shared" si="6"/>
        <v>20231115-183</v>
      </c>
      <c r="F188" s="111" t="s">
        <v>98</v>
      </c>
      <c r="G188" s="111" t="s">
        <v>99</v>
      </c>
      <c r="H188" s="112" t="s">
        <v>1008</v>
      </c>
      <c r="I188" s="113">
        <v>1629.12</v>
      </c>
      <c r="J188" s="111" t="s">
        <v>127</v>
      </c>
      <c r="K188" s="111" t="s">
        <v>1010</v>
      </c>
      <c r="L188" s="111" t="s">
        <v>129</v>
      </c>
      <c r="M188" s="111" t="s">
        <v>104</v>
      </c>
      <c r="N188" s="111" t="s">
        <v>829</v>
      </c>
      <c r="O188" s="111" t="s">
        <v>131</v>
      </c>
      <c r="P188" s="111" t="s">
        <v>830</v>
      </c>
      <c r="Q188" s="110" t="s">
        <v>133</v>
      </c>
      <c r="R188" s="110" t="s">
        <v>831</v>
      </c>
      <c r="S188" s="111" t="s">
        <v>832</v>
      </c>
      <c r="T188" s="111" t="s">
        <v>136</v>
      </c>
      <c r="U188" s="111" t="s">
        <v>129</v>
      </c>
      <c r="V188" s="118">
        <f t="shared" si="8"/>
        <v>1.158047029749071E-2</v>
      </c>
      <c r="W188" s="114" t="str">
        <f>IFERROR(I188-AVERAGEIFS(I$6:I187,J$6:J187,"ICIS / Platts",B$6:B187,B188),"")</f>
        <v/>
      </c>
      <c r="X188" s="110" t="s">
        <v>137</v>
      </c>
      <c r="Y188" s="117" t="str">
        <f t="shared" si="7"/>
        <v>OK</v>
      </c>
      <c r="Z188" s="111" t="s">
        <v>116</v>
      </c>
      <c r="AA188" s="111" t="s">
        <v>115</v>
      </c>
      <c r="AB188" s="111" t="s">
        <v>116</v>
      </c>
      <c r="AC188" s="111" t="s">
        <v>116</v>
      </c>
      <c r="AD188" s="111"/>
    </row>
    <row r="189" spans="2:30" ht="24.75" customHeight="1" x14ac:dyDescent="0.25">
      <c r="B189" s="115">
        <v>45247</v>
      </c>
      <c r="C189" s="116" t="s">
        <v>138</v>
      </c>
      <c r="D189" s="116">
        <v>46</v>
      </c>
      <c r="E189" s="110" t="str">
        <f t="shared" si="6"/>
        <v>20231117-184</v>
      </c>
      <c r="F189" s="111" t="s">
        <v>98</v>
      </c>
      <c r="G189" s="111" t="s">
        <v>99</v>
      </c>
      <c r="H189" s="112" t="s">
        <v>1008</v>
      </c>
      <c r="I189" s="113">
        <v>1615.18</v>
      </c>
      <c r="J189" s="111" t="s">
        <v>139</v>
      </c>
      <c r="K189" s="111" t="s">
        <v>1011</v>
      </c>
      <c r="L189" s="111" t="s">
        <v>103</v>
      </c>
      <c r="M189" s="111" t="s">
        <v>104</v>
      </c>
      <c r="N189" s="111" t="s">
        <v>824</v>
      </c>
      <c r="O189" s="111" t="s">
        <v>106</v>
      </c>
      <c r="P189" s="111" t="s">
        <v>141</v>
      </c>
      <c r="Q189" s="110" t="s">
        <v>133</v>
      </c>
      <c r="R189" s="110" t="s">
        <v>142</v>
      </c>
      <c r="S189" s="111" t="s">
        <v>825</v>
      </c>
      <c r="T189" s="111" t="s">
        <v>111</v>
      </c>
      <c r="U189" s="111" t="s">
        <v>103</v>
      </c>
      <c r="V189" s="118">
        <f t="shared" si="8"/>
        <v>5.7035404291354294E-3</v>
      </c>
      <c r="W189" s="114" t="str">
        <f>IFERROR(I189-AVERAGEIFS(I$6:I188,J$6:J188,"ICIS / Platts",B$6:B188,B189),"")</f>
        <v/>
      </c>
      <c r="X189" s="110" t="s">
        <v>125</v>
      </c>
      <c r="Y189" s="117" t="str">
        <f t="shared" si="7"/>
        <v>OK</v>
      </c>
      <c r="Z189" s="111" t="s">
        <v>116</v>
      </c>
      <c r="AA189" s="111" t="s">
        <v>115</v>
      </c>
      <c r="AB189" s="111" t="s">
        <v>116</v>
      </c>
      <c r="AC189" s="111" t="s">
        <v>116</v>
      </c>
      <c r="AD189" s="111"/>
    </row>
    <row r="190" spans="2:30" ht="24.75" customHeight="1" x14ac:dyDescent="0.25">
      <c r="B190" s="108">
        <v>45250</v>
      </c>
      <c r="C190" s="109" t="s">
        <v>97</v>
      </c>
      <c r="D190" s="109">
        <v>47</v>
      </c>
      <c r="E190" s="110" t="str">
        <f t="shared" si="6"/>
        <v>20231120-185</v>
      </c>
      <c r="F190" s="111" t="s">
        <v>98</v>
      </c>
      <c r="G190" s="111" t="s">
        <v>99</v>
      </c>
      <c r="H190" s="112" t="s">
        <v>1012</v>
      </c>
      <c r="I190" s="113">
        <v>1615</v>
      </c>
      <c r="J190" s="111" t="s">
        <v>101</v>
      </c>
      <c r="K190" s="111" t="s">
        <v>368</v>
      </c>
      <c r="L190" s="111" t="s">
        <v>103</v>
      </c>
      <c r="M190" s="111" t="s">
        <v>104</v>
      </c>
      <c r="N190" s="111" t="s">
        <v>824</v>
      </c>
      <c r="O190" s="111" t="s">
        <v>106</v>
      </c>
      <c r="P190" s="111" t="s">
        <v>107</v>
      </c>
      <c r="Q190" s="110" t="s">
        <v>108</v>
      </c>
      <c r="R190" s="110" t="s">
        <v>109</v>
      </c>
      <c r="S190" s="111" t="s">
        <v>825</v>
      </c>
      <c r="T190" s="111" t="s">
        <v>111</v>
      </c>
      <c r="U190" s="111" t="s">
        <v>103</v>
      </c>
      <c r="V190" s="118">
        <f t="shared" si="8"/>
        <v>3.105590062111801E-3</v>
      </c>
      <c r="W190" s="114" t="str">
        <f>IFERROR(I190-AVERAGEIFS(I$6:I189,J$6:J189,"ICIS / Platts",B$6:B189,B190),"")</f>
        <v/>
      </c>
      <c r="X190" s="110" t="s">
        <v>113</v>
      </c>
      <c r="Y190" s="117" t="str">
        <f t="shared" si="7"/>
        <v>OK</v>
      </c>
      <c r="Z190" s="111" t="s">
        <v>116</v>
      </c>
      <c r="AA190" s="111" t="s">
        <v>115</v>
      </c>
      <c r="AB190" s="111" t="s">
        <v>116</v>
      </c>
      <c r="AC190" s="111" t="s">
        <v>116</v>
      </c>
      <c r="AD190" s="111"/>
    </row>
    <row r="191" spans="2:30" ht="24.75" customHeight="1" x14ac:dyDescent="0.25">
      <c r="B191" s="115">
        <v>45251</v>
      </c>
      <c r="C191" s="116" t="s">
        <v>117</v>
      </c>
      <c r="D191" s="116">
        <v>47</v>
      </c>
      <c r="E191" s="110" t="str">
        <f t="shared" si="6"/>
        <v>20231121-186</v>
      </c>
      <c r="F191" s="111" t="s">
        <v>98</v>
      </c>
      <c r="G191" s="111" t="s">
        <v>99</v>
      </c>
      <c r="H191" s="112" t="s">
        <v>1012</v>
      </c>
      <c r="I191" s="113">
        <v>1670.35</v>
      </c>
      <c r="J191" s="111" t="s">
        <v>118</v>
      </c>
      <c r="K191" s="111" t="s">
        <v>1013</v>
      </c>
      <c r="L191" s="111" t="s">
        <v>103</v>
      </c>
      <c r="M191" s="111" t="s">
        <v>104</v>
      </c>
      <c r="N191" s="111" t="s">
        <v>827</v>
      </c>
      <c r="O191" s="111" t="s">
        <v>121</v>
      </c>
      <c r="P191" s="111" t="s">
        <v>132</v>
      </c>
      <c r="Q191" s="110" t="s">
        <v>123</v>
      </c>
      <c r="R191" s="110" t="s">
        <v>134</v>
      </c>
      <c r="S191" s="111" t="s">
        <v>825</v>
      </c>
      <c r="T191" s="111" t="s">
        <v>111</v>
      </c>
      <c r="U191" s="111" t="s">
        <v>103</v>
      </c>
      <c r="V191" s="118">
        <f t="shared" si="8"/>
        <v>8.9579105054604768E-3</v>
      </c>
      <c r="W191" s="114" t="str">
        <f>IFERROR(I191-AVERAGEIFS(I$6:I190,J$6:J190,"ICIS / Platts",B$6:B190,B191),"")</f>
        <v/>
      </c>
      <c r="X191" s="110" t="s">
        <v>125</v>
      </c>
      <c r="Y191" s="117" t="str">
        <f t="shared" si="7"/>
        <v>OK</v>
      </c>
      <c r="Z191" s="111" t="s">
        <v>116</v>
      </c>
      <c r="AA191" s="111" t="s">
        <v>115</v>
      </c>
      <c r="AB191" s="111" t="s">
        <v>116</v>
      </c>
      <c r="AC191" s="111" t="s">
        <v>116</v>
      </c>
      <c r="AD191" s="111"/>
    </row>
    <row r="192" spans="2:30" ht="24.75" customHeight="1" x14ac:dyDescent="0.25">
      <c r="B192" s="108">
        <v>45252</v>
      </c>
      <c r="C192" s="109" t="s">
        <v>126</v>
      </c>
      <c r="D192" s="109">
        <v>47</v>
      </c>
      <c r="E192" s="110" t="str">
        <f t="shared" si="6"/>
        <v>20231122-187</v>
      </c>
      <c r="F192" s="111" t="s">
        <v>98</v>
      </c>
      <c r="G192" s="111" t="s">
        <v>99</v>
      </c>
      <c r="H192" s="112" t="s">
        <v>1012</v>
      </c>
      <c r="I192" s="113">
        <v>1622.2</v>
      </c>
      <c r="J192" s="111" t="s">
        <v>127</v>
      </c>
      <c r="K192" s="111" t="s">
        <v>1014</v>
      </c>
      <c r="L192" s="111" t="s">
        <v>129</v>
      </c>
      <c r="M192" s="111" t="s">
        <v>104</v>
      </c>
      <c r="N192" s="111" t="s">
        <v>829</v>
      </c>
      <c r="O192" s="111" t="s">
        <v>131</v>
      </c>
      <c r="P192" s="111" t="s">
        <v>830</v>
      </c>
      <c r="Q192" s="110" t="s">
        <v>133</v>
      </c>
      <c r="R192" s="110" t="s">
        <v>831</v>
      </c>
      <c r="S192" s="111" t="s">
        <v>832</v>
      </c>
      <c r="T192" s="111" t="s">
        <v>136</v>
      </c>
      <c r="U192" s="111" t="s">
        <v>129</v>
      </c>
      <c r="V192" s="118">
        <f t="shared" si="8"/>
        <v>-4.2476920054998072E-3</v>
      </c>
      <c r="W192" s="114" t="str">
        <f>IFERROR(I192-AVERAGEIFS(I$6:I191,J$6:J191,"ICIS / Platts",B$6:B191,B192),"")</f>
        <v/>
      </c>
      <c r="X192" s="110" t="s">
        <v>137</v>
      </c>
      <c r="Y192" s="117" t="str">
        <f t="shared" si="7"/>
        <v>OK</v>
      </c>
      <c r="Z192" s="111" t="s">
        <v>116</v>
      </c>
      <c r="AA192" s="111" t="s">
        <v>115</v>
      </c>
      <c r="AB192" s="111" t="s">
        <v>116</v>
      </c>
      <c r="AC192" s="111" t="s">
        <v>116</v>
      </c>
      <c r="AD192" s="111"/>
    </row>
    <row r="193" spans="2:30" ht="24.75" customHeight="1" x14ac:dyDescent="0.25">
      <c r="B193" s="115">
        <v>45254</v>
      </c>
      <c r="C193" s="116" t="s">
        <v>138</v>
      </c>
      <c r="D193" s="116">
        <v>47</v>
      </c>
      <c r="E193" s="110" t="str">
        <f t="shared" si="6"/>
        <v>20231124-188</v>
      </c>
      <c r="F193" s="111" t="s">
        <v>98</v>
      </c>
      <c r="G193" s="111" t="s">
        <v>99</v>
      </c>
      <c r="H193" s="112" t="s">
        <v>1012</v>
      </c>
      <c r="I193" s="113">
        <v>1595.01</v>
      </c>
      <c r="J193" s="111" t="s">
        <v>139</v>
      </c>
      <c r="K193" s="111" t="s">
        <v>1015</v>
      </c>
      <c r="L193" s="111" t="s">
        <v>103</v>
      </c>
      <c r="M193" s="111" t="s">
        <v>104</v>
      </c>
      <c r="N193" s="111" t="s">
        <v>824</v>
      </c>
      <c r="O193" s="111" t="s">
        <v>106</v>
      </c>
      <c r="P193" s="111" t="s">
        <v>141</v>
      </c>
      <c r="Q193" s="110" t="s">
        <v>133</v>
      </c>
      <c r="R193" s="110" t="s">
        <v>142</v>
      </c>
      <c r="S193" s="111" t="s">
        <v>825</v>
      </c>
      <c r="T193" s="111" t="s">
        <v>111</v>
      </c>
      <c r="U193" s="111" t="s">
        <v>103</v>
      </c>
      <c r="V193" s="118">
        <f t="shared" si="8"/>
        <v>-1.2487772260676874E-2</v>
      </c>
      <c r="W193" s="114" t="str">
        <f>IFERROR(I193-AVERAGEIFS(I$6:I192,J$6:J192,"ICIS / Platts",B$6:B192,B193),"")</f>
        <v/>
      </c>
      <c r="X193" s="110" t="s">
        <v>125</v>
      </c>
      <c r="Y193" s="117" t="str">
        <f t="shared" si="7"/>
        <v>OK</v>
      </c>
      <c r="Z193" s="111" t="s">
        <v>116</v>
      </c>
      <c r="AA193" s="111" t="s">
        <v>115</v>
      </c>
      <c r="AB193" s="111" t="s">
        <v>116</v>
      </c>
      <c r="AC193" s="111" t="s">
        <v>116</v>
      </c>
      <c r="AD193" s="111"/>
    </row>
    <row r="194" spans="2:30" ht="24.75" customHeight="1" x14ac:dyDescent="0.25">
      <c r="B194" s="108">
        <v>45257</v>
      </c>
      <c r="C194" s="109" t="s">
        <v>97</v>
      </c>
      <c r="D194" s="109">
        <v>48</v>
      </c>
      <c r="E194" s="110" t="str">
        <f t="shared" si="6"/>
        <v>20231127-189</v>
      </c>
      <c r="F194" s="111" t="s">
        <v>98</v>
      </c>
      <c r="G194" s="111" t="s">
        <v>99</v>
      </c>
      <c r="H194" s="112" t="s">
        <v>1016</v>
      </c>
      <c r="I194" s="113">
        <v>1612</v>
      </c>
      <c r="J194" s="111" t="s">
        <v>101</v>
      </c>
      <c r="K194" s="111" t="s">
        <v>373</v>
      </c>
      <c r="L194" s="111" t="s">
        <v>103</v>
      </c>
      <c r="M194" s="111" t="s">
        <v>104</v>
      </c>
      <c r="N194" s="111" t="s">
        <v>824</v>
      </c>
      <c r="O194" s="111" t="s">
        <v>106</v>
      </c>
      <c r="P194" s="111" t="s">
        <v>107</v>
      </c>
      <c r="Q194" s="110" t="s">
        <v>108</v>
      </c>
      <c r="R194" s="110" t="s">
        <v>109</v>
      </c>
      <c r="S194" s="111" t="s">
        <v>825</v>
      </c>
      <c r="T194" s="111" t="s">
        <v>111</v>
      </c>
      <c r="U194" s="111" t="s">
        <v>103</v>
      </c>
      <c r="V194" s="118">
        <f t="shared" si="8"/>
        <v>-1.8575851393188853E-3</v>
      </c>
      <c r="W194" s="114" t="str">
        <f>IFERROR(I194-AVERAGEIFS(I$6:I193,J$6:J193,"ICIS / Platts",B$6:B193,B194),"")</f>
        <v/>
      </c>
      <c r="X194" s="110" t="s">
        <v>113</v>
      </c>
      <c r="Y194" s="117" t="str">
        <f t="shared" si="7"/>
        <v>OK</v>
      </c>
      <c r="Z194" s="111" t="s">
        <v>116</v>
      </c>
      <c r="AA194" s="111" t="s">
        <v>115</v>
      </c>
      <c r="AB194" s="111" t="s">
        <v>116</v>
      </c>
      <c r="AC194" s="111" t="s">
        <v>115</v>
      </c>
      <c r="AD194" s="111"/>
    </row>
    <row r="195" spans="2:30" ht="24.75" customHeight="1" x14ac:dyDescent="0.25">
      <c r="B195" s="115">
        <v>45258</v>
      </c>
      <c r="C195" s="116" t="s">
        <v>117</v>
      </c>
      <c r="D195" s="116">
        <v>48</v>
      </c>
      <c r="E195" s="110" t="str">
        <f t="shared" si="6"/>
        <v>20231128-190</v>
      </c>
      <c r="F195" s="111" t="s">
        <v>98</v>
      </c>
      <c r="G195" s="111" t="s">
        <v>99</v>
      </c>
      <c r="H195" s="112" t="s">
        <v>1016</v>
      </c>
      <c r="I195" s="113">
        <v>1631.63</v>
      </c>
      <c r="J195" s="111" t="s">
        <v>118</v>
      </c>
      <c r="K195" s="111" t="s">
        <v>1017</v>
      </c>
      <c r="L195" s="111" t="s">
        <v>103</v>
      </c>
      <c r="M195" s="111" t="s">
        <v>104</v>
      </c>
      <c r="N195" s="111" t="s">
        <v>827</v>
      </c>
      <c r="O195" s="111" t="s">
        <v>121</v>
      </c>
      <c r="P195" s="111" t="s">
        <v>132</v>
      </c>
      <c r="Q195" s="110" t="s">
        <v>123</v>
      </c>
      <c r="R195" s="110" t="s">
        <v>134</v>
      </c>
      <c r="S195" s="111" t="s">
        <v>825</v>
      </c>
      <c r="T195" s="111" t="s">
        <v>111</v>
      </c>
      <c r="U195" s="111" t="s">
        <v>103</v>
      </c>
      <c r="V195" s="118">
        <f t="shared" si="8"/>
        <v>-2.3180770497201068E-2</v>
      </c>
      <c r="W195" s="114" t="str">
        <f>IFERROR(I195-AVERAGEIFS(I$6:I194,J$6:J194,"ICIS / Platts",B$6:B194,B195),"")</f>
        <v/>
      </c>
      <c r="X195" s="110" t="s">
        <v>125</v>
      </c>
      <c r="Y195" s="117" t="str">
        <f t="shared" si="7"/>
        <v>OK</v>
      </c>
      <c r="Z195" s="111" t="s">
        <v>116</v>
      </c>
      <c r="AA195" s="111" t="s">
        <v>115</v>
      </c>
      <c r="AB195" s="111" t="s">
        <v>116</v>
      </c>
      <c r="AC195" s="111" t="s">
        <v>115</v>
      </c>
      <c r="AD195" s="111"/>
    </row>
    <row r="196" spans="2:30" ht="24.75" customHeight="1" x14ac:dyDescent="0.25">
      <c r="B196" s="108">
        <v>45259</v>
      </c>
      <c r="C196" s="109" t="s">
        <v>126</v>
      </c>
      <c r="D196" s="109">
        <v>48</v>
      </c>
      <c r="E196" s="110" t="str">
        <f t="shared" si="6"/>
        <v>20231129-191</v>
      </c>
      <c r="F196" s="111" t="s">
        <v>98</v>
      </c>
      <c r="G196" s="111" t="s">
        <v>99</v>
      </c>
      <c r="H196" s="112" t="s">
        <v>1016</v>
      </c>
      <c r="I196" s="113">
        <v>1583.28</v>
      </c>
      <c r="J196" s="111" t="s">
        <v>127</v>
      </c>
      <c r="K196" s="111" t="s">
        <v>1018</v>
      </c>
      <c r="L196" s="111" t="s">
        <v>129</v>
      </c>
      <c r="M196" s="111" t="s">
        <v>104</v>
      </c>
      <c r="N196" s="111" t="s">
        <v>829</v>
      </c>
      <c r="O196" s="111" t="s">
        <v>131</v>
      </c>
      <c r="P196" s="111" t="s">
        <v>830</v>
      </c>
      <c r="Q196" s="110" t="s">
        <v>133</v>
      </c>
      <c r="R196" s="110" t="s">
        <v>831</v>
      </c>
      <c r="S196" s="111" t="s">
        <v>832</v>
      </c>
      <c r="T196" s="111" t="s">
        <v>136</v>
      </c>
      <c r="U196" s="111" t="s">
        <v>129</v>
      </c>
      <c r="V196" s="118">
        <f t="shared" si="8"/>
        <v>-2.3992109480951838E-2</v>
      </c>
      <c r="W196" s="114" t="str">
        <f>IFERROR(I196-AVERAGEIFS(I$6:I195,J$6:J195,"ICIS / Platts",B$6:B195,B196),"")</f>
        <v/>
      </c>
      <c r="X196" s="110" t="s">
        <v>137</v>
      </c>
      <c r="Y196" s="117" t="str">
        <f t="shared" si="7"/>
        <v>OK</v>
      </c>
      <c r="Z196" s="111" t="s">
        <v>116</v>
      </c>
      <c r="AA196" s="111" t="s">
        <v>115</v>
      </c>
      <c r="AB196" s="111" t="s">
        <v>116</v>
      </c>
      <c r="AC196" s="111" t="s">
        <v>115</v>
      </c>
      <c r="AD196" s="111"/>
    </row>
    <row r="197" spans="2:30" ht="24.75" customHeight="1" x14ac:dyDescent="0.25">
      <c r="B197" s="115">
        <v>45261</v>
      </c>
      <c r="C197" s="116" t="s">
        <v>138</v>
      </c>
      <c r="D197" s="116">
        <v>48</v>
      </c>
      <c r="E197" s="110" t="str">
        <f t="shared" si="6"/>
        <v>20231201-192</v>
      </c>
      <c r="F197" s="111" t="s">
        <v>98</v>
      </c>
      <c r="G197" s="111" t="s">
        <v>99</v>
      </c>
      <c r="H197" s="112" t="s">
        <v>1016</v>
      </c>
      <c r="I197" s="113">
        <v>1615.34</v>
      </c>
      <c r="J197" s="111" t="s">
        <v>139</v>
      </c>
      <c r="K197" s="111" t="s">
        <v>1019</v>
      </c>
      <c r="L197" s="111" t="s">
        <v>103</v>
      </c>
      <c r="M197" s="111" t="s">
        <v>104</v>
      </c>
      <c r="N197" s="111" t="s">
        <v>824</v>
      </c>
      <c r="O197" s="111" t="s">
        <v>106</v>
      </c>
      <c r="P197" s="111" t="s">
        <v>141</v>
      </c>
      <c r="Q197" s="110" t="s">
        <v>133</v>
      </c>
      <c r="R197" s="110" t="s">
        <v>142</v>
      </c>
      <c r="S197" s="111" t="s">
        <v>825</v>
      </c>
      <c r="T197" s="111" t="s">
        <v>111</v>
      </c>
      <c r="U197" s="111" t="s">
        <v>103</v>
      </c>
      <c r="V197" s="118">
        <f t="shared" si="8"/>
        <v>1.2746001592466459E-2</v>
      </c>
      <c r="W197" s="114" t="str">
        <f>IFERROR(I197-AVERAGEIFS(I$6:I196,J$6:J196,"ICIS / Platts",B$6:B196,B197),"")</f>
        <v/>
      </c>
      <c r="X197" s="110" t="s">
        <v>125</v>
      </c>
      <c r="Y197" s="117" t="str">
        <f t="shared" si="7"/>
        <v>OK</v>
      </c>
      <c r="Z197" s="111" t="s">
        <v>116</v>
      </c>
      <c r="AA197" s="111" t="s">
        <v>115</v>
      </c>
      <c r="AB197" s="111" t="s">
        <v>116</v>
      </c>
      <c r="AC197" s="111" t="s">
        <v>115</v>
      </c>
      <c r="AD197" s="111"/>
    </row>
    <row r="198" spans="2:30" ht="24.75" customHeight="1" x14ac:dyDescent="0.25">
      <c r="B198" s="108">
        <v>45264</v>
      </c>
      <c r="C198" s="109" t="s">
        <v>97</v>
      </c>
      <c r="D198" s="109">
        <v>49</v>
      </c>
      <c r="E198" s="110" t="str">
        <f t="shared" ref="E198:E261" si="9">TEXT(B198,"YYYYMMDD")&amp;"-"&amp;TEXT(ROW()-5,"000")</f>
        <v>20231204-193</v>
      </c>
      <c r="F198" s="111" t="s">
        <v>98</v>
      </c>
      <c r="G198" s="111" t="s">
        <v>99</v>
      </c>
      <c r="H198" s="112" t="s">
        <v>1020</v>
      </c>
      <c r="I198" s="113">
        <v>1618</v>
      </c>
      <c r="J198" s="111" t="s">
        <v>101</v>
      </c>
      <c r="K198" s="111" t="s">
        <v>378</v>
      </c>
      <c r="L198" s="111" t="s">
        <v>103</v>
      </c>
      <c r="M198" s="111" t="s">
        <v>104</v>
      </c>
      <c r="N198" s="111" t="s">
        <v>824</v>
      </c>
      <c r="O198" s="111" t="s">
        <v>106</v>
      </c>
      <c r="P198" s="111" t="s">
        <v>107</v>
      </c>
      <c r="Q198" s="110" t="s">
        <v>108</v>
      </c>
      <c r="R198" s="110" t="s">
        <v>109</v>
      </c>
      <c r="S198" s="111" t="s">
        <v>825</v>
      </c>
      <c r="T198" s="111" t="s">
        <v>111</v>
      </c>
      <c r="U198" s="111" t="s">
        <v>103</v>
      </c>
      <c r="V198" s="118">
        <f t="shared" si="8"/>
        <v>3.7220843672456576E-3</v>
      </c>
      <c r="W198" s="114" t="str">
        <f>IFERROR(I198-AVERAGEIFS(I$6:I197,J$6:J197,"ICIS / Platts",B$6:B197,B198),"")</f>
        <v/>
      </c>
      <c r="X198" s="110" t="s">
        <v>113</v>
      </c>
      <c r="Y198" s="117" t="str">
        <f t="shared" si="7"/>
        <v>OK</v>
      </c>
      <c r="Z198" s="111" t="s">
        <v>116</v>
      </c>
      <c r="AA198" s="111" t="s">
        <v>115</v>
      </c>
      <c r="AB198" s="111" t="s">
        <v>116</v>
      </c>
      <c r="AC198" s="111" t="s">
        <v>116</v>
      </c>
      <c r="AD198" s="111"/>
    </row>
    <row r="199" spans="2:30" ht="24.75" customHeight="1" x14ac:dyDescent="0.25">
      <c r="B199" s="115">
        <v>45265</v>
      </c>
      <c r="C199" s="116" t="s">
        <v>117</v>
      </c>
      <c r="D199" s="116">
        <v>49</v>
      </c>
      <c r="E199" s="110" t="str">
        <f t="shared" si="9"/>
        <v>20231205-194</v>
      </c>
      <c r="F199" s="111" t="s">
        <v>98</v>
      </c>
      <c r="G199" s="111" t="s">
        <v>99</v>
      </c>
      <c r="H199" s="112" t="s">
        <v>1020</v>
      </c>
      <c r="I199" s="113">
        <v>1625.47</v>
      </c>
      <c r="J199" s="111" t="s">
        <v>118</v>
      </c>
      <c r="K199" s="111" t="s">
        <v>1021</v>
      </c>
      <c r="L199" s="111" t="s">
        <v>103</v>
      </c>
      <c r="M199" s="111" t="s">
        <v>104</v>
      </c>
      <c r="N199" s="111" t="s">
        <v>827</v>
      </c>
      <c r="O199" s="111" t="s">
        <v>121</v>
      </c>
      <c r="P199" s="111" t="s">
        <v>132</v>
      </c>
      <c r="Q199" s="110" t="s">
        <v>123</v>
      </c>
      <c r="R199" s="110" t="s">
        <v>134</v>
      </c>
      <c r="S199" s="111" t="s">
        <v>825</v>
      </c>
      <c r="T199" s="111" t="s">
        <v>111</v>
      </c>
      <c r="U199" s="111" t="s">
        <v>103</v>
      </c>
      <c r="V199" s="118">
        <f t="shared" si="8"/>
        <v>-3.7753657385559726E-3</v>
      </c>
      <c r="W199" s="114" t="str">
        <f>IFERROR(I199-AVERAGEIFS(I$6:I198,J$6:J198,"ICIS / Platts",B$6:B198,B199),"")</f>
        <v/>
      </c>
      <c r="X199" s="110" t="s">
        <v>125</v>
      </c>
      <c r="Y199" s="117" t="str">
        <f t="shared" si="7"/>
        <v>OK</v>
      </c>
      <c r="Z199" s="111" t="s">
        <v>116</v>
      </c>
      <c r="AA199" s="111" t="s">
        <v>115</v>
      </c>
      <c r="AB199" s="111" t="s">
        <v>116</v>
      </c>
      <c r="AC199" s="111" t="s">
        <v>116</v>
      </c>
      <c r="AD199" s="111"/>
    </row>
    <row r="200" spans="2:30" ht="24.75" customHeight="1" x14ac:dyDescent="0.25">
      <c r="B200" s="108">
        <v>45266</v>
      </c>
      <c r="C200" s="109" t="s">
        <v>126</v>
      </c>
      <c r="D200" s="109">
        <v>49</v>
      </c>
      <c r="E200" s="110" t="str">
        <f t="shared" si="9"/>
        <v>20231206-195</v>
      </c>
      <c r="F200" s="111" t="s">
        <v>98</v>
      </c>
      <c r="G200" s="111" t="s">
        <v>99</v>
      </c>
      <c r="H200" s="112" t="s">
        <v>1020</v>
      </c>
      <c r="I200" s="113">
        <v>1631.27</v>
      </c>
      <c r="J200" s="111" t="s">
        <v>127</v>
      </c>
      <c r="K200" s="111" t="s">
        <v>1022</v>
      </c>
      <c r="L200" s="111" t="s">
        <v>129</v>
      </c>
      <c r="M200" s="111" t="s">
        <v>104</v>
      </c>
      <c r="N200" s="111" t="s">
        <v>829</v>
      </c>
      <c r="O200" s="111" t="s">
        <v>131</v>
      </c>
      <c r="P200" s="111" t="s">
        <v>830</v>
      </c>
      <c r="Q200" s="110" t="s">
        <v>133</v>
      </c>
      <c r="R200" s="110" t="s">
        <v>831</v>
      </c>
      <c r="S200" s="111" t="s">
        <v>832</v>
      </c>
      <c r="T200" s="111" t="s">
        <v>136</v>
      </c>
      <c r="U200" s="111" t="s">
        <v>129</v>
      </c>
      <c r="V200" s="118">
        <f t="shared" si="8"/>
        <v>3.0310494669294131E-2</v>
      </c>
      <c r="W200" s="114" t="str">
        <f>IFERROR(I200-AVERAGEIFS(I$6:I199,J$6:J199,"ICIS / Platts",B$6:B199,B200),"")</f>
        <v/>
      </c>
      <c r="X200" s="110" t="s">
        <v>137</v>
      </c>
      <c r="Y200" s="117" t="str">
        <f t="shared" si="7"/>
        <v>OK</v>
      </c>
      <c r="Z200" s="111" t="s">
        <v>116</v>
      </c>
      <c r="AA200" s="111" t="s">
        <v>115</v>
      </c>
      <c r="AB200" s="111" t="s">
        <v>116</v>
      </c>
      <c r="AC200" s="111" t="s">
        <v>116</v>
      </c>
      <c r="AD200" s="111"/>
    </row>
    <row r="201" spans="2:30" ht="24.75" customHeight="1" x14ac:dyDescent="0.25">
      <c r="B201" s="115">
        <v>45268</v>
      </c>
      <c r="C201" s="116" t="s">
        <v>138</v>
      </c>
      <c r="D201" s="116">
        <v>49</v>
      </c>
      <c r="E201" s="110" t="str">
        <f t="shared" si="9"/>
        <v>20231208-196</v>
      </c>
      <c r="F201" s="111" t="s">
        <v>98</v>
      </c>
      <c r="G201" s="111" t="s">
        <v>99</v>
      </c>
      <c r="H201" s="112" t="s">
        <v>1020</v>
      </c>
      <c r="I201" s="113">
        <v>1594.22</v>
      </c>
      <c r="J201" s="111" t="s">
        <v>139</v>
      </c>
      <c r="K201" s="111" t="s">
        <v>1023</v>
      </c>
      <c r="L201" s="111" t="s">
        <v>103</v>
      </c>
      <c r="M201" s="111" t="s">
        <v>104</v>
      </c>
      <c r="N201" s="111" t="s">
        <v>824</v>
      </c>
      <c r="O201" s="111" t="s">
        <v>106</v>
      </c>
      <c r="P201" s="111" t="s">
        <v>141</v>
      </c>
      <c r="Q201" s="110" t="s">
        <v>133</v>
      </c>
      <c r="R201" s="110" t="s">
        <v>142</v>
      </c>
      <c r="S201" s="111" t="s">
        <v>825</v>
      </c>
      <c r="T201" s="111" t="s">
        <v>111</v>
      </c>
      <c r="U201" s="111" t="s">
        <v>103</v>
      </c>
      <c r="V201" s="118">
        <f t="shared" si="8"/>
        <v>-1.3074646823578871E-2</v>
      </c>
      <c r="W201" s="114" t="str">
        <f>IFERROR(I201-AVERAGEIFS(I$6:I200,J$6:J200,"ICIS / Platts",B$6:B200,B201),"")</f>
        <v/>
      </c>
      <c r="X201" s="110" t="s">
        <v>125</v>
      </c>
      <c r="Y201" s="117" t="str">
        <f t="shared" si="7"/>
        <v>OK</v>
      </c>
      <c r="Z201" s="111" t="s">
        <v>116</v>
      </c>
      <c r="AA201" s="111" t="s">
        <v>115</v>
      </c>
      <c r="AB201" s="111" t="s">
        <v>116</v>
      </c>
      <c r="AC201" s="111" t="s">
        <v>116</v>
      </c>
      <c r="AD201" s="111"/>
    </row>
    <row r="202" spans="2:30" ht="24.75" customHeight="1" x14ac:dyDescent="0.25">
      <c r="B202" s="108">
        <v>45271</v>
      </c>
      <c r="C202" s="109" t="s">
        <v>97</v>
      </c>
      <c r="D202" s="109">
        <v>50</v>
      </c>
      <c r="E202" s="110" t="str">
        <f t="shared" si="9"/>
        <v>20231211-197</v>
      </c>
      <c r="F202" s="111" t="s">
        <v>98</v>
      </c>
      <c r="G202" s="111" t="s">
        <v>99</v>
      </c>
      <c r="H202" s="112" t="s">
        <v>1024</v>
      </c>
      <c r="I202" s="113">
        <v>1622</v>
      </c>
      <c r="J202" s="111" t="s">
        <v>101</v>
      </c>
      <c r="K202" s="111" t="s">
        <v>383</v>
      </c>
      <c r="L202" s="111" t="s">
        <v>103</v>
      </c>
      <c r="M202" s="111" t="s">
        <v>104</v>
      </c>
      <c r="N202" s="111" t="s">
        <v>824</v>
      </c>
      <c r="O202" s="111" t="s">
        <v>106</v>
      </c>
      <c r="P202" s="111" t="s">
        <v>107</v>
      </c>
      <c r="Q202" s="110" t="s">
        <v>108</v>
      </c>
      <c r="R202" s="110" t="s">
        <v>109</v>
      </c>
      <c r="S202" s="111" t="s">
        <v>825</v>
      </c>
      <c r="T202" s="111" t="s">
        <v>111</v>
      </c>
      <c r="U202" s="111" t="s">
        <v>103</v>
      </c>
      <c r="V202" s="118">
        <f t="shared" si="8"/>
        <v>2.472187886279357E-3</v>
      </c>
      <c r="W202" s="114" t="str">
        <f>IFERROR(I202-AVERAGEIFS(I$6:I201,J$6:J201,"ICIS / Platts",B$6:B201,B202),"")</f>
        <v/>
      </c>
      <c r="X202" s="110" t="s">
        <v>113</v>
      </c>
      <c r="Y202" s="117" t="str">
        <f t="shared" si="7"/>
        <v>OK</v>
      </c>
      <c r="Z202" s="111" t="s">
        <v>116</v>
      </c>
      <c r="AA202" s="111" t="s">
        <v>115</v>
      </c>
      <c r="AB202" s="111" t="s">
        <v>116</v>
      </c>
      <c r="AC202" s="111" t="s">
        <v>116</v>
      </c>
      <c r="AD202" s="111"/>
    </row>
    <row r="203" spans="2:30" ht="24.75" customHeight="1" x14ac:dyDescent="0.25">
      <c r="B203" s="115">
        <v>45272</v>
      </c>
      <c r="C203" s="116" t="s">
        <v>117</v>
      </c>
      <c r="D203" s="116">
        <v>50</v>
      </c>
      <c r="E203" s="110" t="str">
        <f t="shared" si="9"/>
        <v>20231212-198</v>
      </c>
      <c r="F203" s="111" t="s">
        <v>98</v>
      </c>
      <c r="G203" s="111" t="s">
        <v>99</v>
      </c>
      <c r="H203" s="112" t="s">
        <v>1024</v>
      </c>
      <c r="I203" s="113">
        <v>1630.37</v>
      </c>
      <c r="J203" s="111" t="s">
        <v>118</v>
      </c>
      <c r="K203" s="111" t="s">
        <v>1025</v>
      </c>
      <c r="L203" s="111" t="s">
        <v>103</v>
      </c>
      <c r="M203" s="111" t="s">
        <v>104</v>
      </c>
      <c r="N203" s="111" t="s">
        <v>827</v>
      </c>
      <c r="O203" s="111" t="s">
        <v>121</v>
      </c>
      <c r="P203" s="111" t="s">
        <v>132</v>
      </c>
      <c r="Q203" s="110" t="s">
        <v>123</v>
      </c>
      <c r="R203" s="110" t="s">
        <v>134</v>
      </c>
      <c r="S203" s="111" t="s">
        <v>825</v>
      </c>
      <c r="T203" s="111" t="s">
        <v>111</v>
      </c>
      <c r="U203" s="111" t="s">
        <v>103</v>
      </c>
      <c r="V203" s="118">
        <f t="shared" si="8"/>
        <v>3.0145127255500645E-3</v>
      </c>
      <c r="W203" s="114" t="str">
        <f>IFERROR(I203-AVERAGEIFS(I$6:I202,J$6:J202,"ICIS / Platts",B$6:B202,B203),"")</f>
        <v/>
      </c>
      <c r="X203" s="110" t="s">
        <v>125</v>
      </c>
      <c r="Y203" s="117" t="str">
        <f t="shared" si="7"/>
        <v>OK</v>
      </c>
      <c r="Z203" s="111" t="s">
        <v>116</v>
      </c>
      <c r="AA203" s="111" t="s">
        <v>115</v>
      </c>
      <c r="AB203" s="111" t="s">
        <v>116</v>
      </c>
      <c r="AC203" s="111" t="s">
        <v>116</v>
      </c>
      <c r="AD203" s="111"/>
    </row>
    <row r="204" spans="2:30" ht="24.75" customHeight="1" x14ac:dyDescent="0.25">
      <c r="B204" s="108">
        <v>45273</v>
      </c>
      <c r="C204" s="109" t="s">
        <v>126</v>
      </c>
      <c r="D204" s="109">
        <v>50</v>
      </c>
      <c r="E204" s="110" t="str">
        <f t="shared" si="9"/>
        <v>20231213-199</v>
      </c>
      <c r="F204" s="111" t="s">
        <v>98</v>
      </c>
      <c r="G204" s="111" t="s">
        <v>99</v>
      </c>
      <c r="H204" s="112" t="s">
        <v>1024</v>
      </c>
      <c r="I204" s="113">
        <v>1639.39</v>
      </c>
      <c r="J204" s="111" t="s">
        <v>127</v>
      </c>
      <c r="K204" s="111" t="s">
        <v>1026</v>
      </c>
      <c r="L204" s="111" t="s">
        <v>129</v>
      </c>
      <c r="M204" s="111" t="s">
        <v>104</v>
      </c>
      <c r="N204" s="111" t="s">
        <v>829</v>
      </c>
      <c r="O204" s="111" t="s">
        <v>131</v>
      </c>
      <c r="P204" s="111" t="s">
        <v>830</v>
      </c>
      <c r="Q204" s="110" t="s">
        <v>133</v>
      </c>
      <c r="R204" s="110" t="s">
        <v>831</v>
      </c>
      <c r="S204" s="111" t="s">
        <v>832</v>
      </c>
      <c r="T204" s="111" t="s">
        <v>136</v>
      </c>
      <c r="U204" s="111" t="s">
        <v>129</v>
      </c>
      <c r="V204" s="118">
        <f t="shared" si="8"/>
        <v>4.9777167483004764E-3</v>
      </c>
      <c r="W204" s="114" t="str">
        <f>IFERROR(I204-AVERAGEIFS(I$6:I203,J$6:J203,"ICIS / Platts",B$6:B203,B204),"")</f>
        <v/>
      </c>
      <c r="X204" s="110" t="s">
        <v>137</v>
      </c>
      <c r="Y204" s="117" t="str">
        <f t="shared" si="7"/>
        <v>OK</v>
      </c>
      <c r="Z204" s="111" t="s">
        <v>116</v>
      </c>
      <c r="AA204" s="111" t="s">
        <v>115</v>
      </c>
      <c r="AB204" s="111" t="s">
        <v>116</v>
      </c>
      <c r="AC204" s="111" t="s">
        <v>116</v>
      </c>
      <c r="AD204" s="111"/>
    </row>
    <row r="205" spans="2:30" ht="24.75" customHeight="1" x14ac:dyDescent="0.25">
      <c r="B205" s="115">
        <v>45275</v>
      </c>
      <c r="C205" s="116" t="s">
        <v>138</v>
      </c>
      <c r="D205" s="116">
        <v>50</v>
      </c>
      <c r="E205" s="110" t="str">
        <f t="shared" si="9"/>
        <v>20231215-200</v>
      </c>
      <c r="F205" s="111" t="s">
        <v>98</v>
      </c>
      <c r="G205" s="111" t="s">
        <v>99</v>
      </c>
      <c r="H205" s="112" t="s">
        <v>1024</v>
      </c>
      <c r="I205" s="113">
        <v>1618.4</v>
      </c>
      <c r="J205" s="111" t="s">
        <v>139</v>
      </c>
      <c r="K205" s="111" t="s">
        <v>1027</v>
      </c>
      <c r="L205" s="111" t="s">
        <v>103</v>
      </c>
      <c r="M205" s="111" t="s">
        <v>104</v>
      </c>
      <c r="N205" s="111" t="s">
        <v>824</v>
      </c>
      <c r="O205" s="111" t="s">
        <v>106</v>
      </c>
      <c r="P205" s="111" t="s">
        <v>141</v>
      </c>
      <c r="Q205" s="110" t="s">
        <v>133</v>
      </c>
      <c r="R205" s="110" t="s">
        <v>142</v>
      </c>
      <c r="S205" s="111" t="s">
        <v>825</v>
      </c>
      <c r="T205" s="111" t="s">
        <v>111</v>
      </c>
      <c r="U205" s="111" t="s">
        <v>103</v>
      </c>
      <c r="V205" s="118">
        <f t="shared" si="8"/>
        <v>1.5167291841778464E-2</v>
      </c>
      <c r="W205" s="114" t="str">
        <f>IFERROR(I205-AVERAGEIFS(I$6:I204,J$6:J204,"ICIS / Platts",B$6:B204,B205),"")</f>
        <v/>
      </c>
      <c r="X205" s="110" t="s">
        <v>125</v>
      </c>
      <c r="Y205" s="117" t="str">
        <f t="shared" si="7"/>
        <v>OK</v>
      </c>
      <c r="Z205" s="111" t="s">
        <v>116</v>
      </c>
      <c r="AA205" s="111" t="s">
        <v>115</v>
      </c>
      <c r="AB205" s="111" t="s">
        <v>116</v>
      </c>
      <c r="AC205" s="111" t="s">
        <v>116</v>
      </c>
      <c r="AD205" s="111"/>
    </row>
    <row r="206" spans="2:30" ht="24.75" customHeight="1" x14ac:dyDescent="0.25">
      <c r="B206" s="108">
        <v>45278</v>
      </c>
      <c r="C206" s="109" t="s">
        <v>97</v>
      </c>
      <c r="D206" s="109">
        <v>51</v>
      </c>
      <c r="E206" s="110" t="str">
        <f t="shared" si="9"/>
        <v>20231218-201</v>
      </c>
      <c r="F206" s="111" t="s">
        <v>98</v>
      </c>
      <c r="G206" s="111" t="s">
        <v>99</v>
      </c>
      <c r="H206" s="112" t="s">
        <v>1028</v>
      </c>
      <c r="I206" s="113">
        <v>1620</v>
      </c>
      <c r="J206" s="111" t="s">
        <v>101</v>
      </c>
      <c r="K206" s="111" t="s">
        <v>388</v>
      </c>
      <c r="L206" s="111" t="s">
        <v>103</v>
      </c>
      <c r="M206" s="111" t="s">
        <v>104</v>
      </c>
      <c r="N206" s="111" t="s">
        <v>824</v>
      </c>
      <c r="O206" s="111" t="s">
        <v>106</v>
      </c>
      <c r="P206" s="111" t="s">
        <v>107</v>
      </c>
      <c r="Q206" s="110" t="s">
        <v>108</v>
      </c>
      <c r="R206" s="110" t="s">
        <v>109</v>
      </c>
      <c r="S206" s="111" t="s">
        <v>825</v>
      </c>
      <c r="T206" s="111" t="s">
        <v>111</v>
      </c>
      <c r="U206" s="111" t="s">
        <v>103</v>
      </c>
      <c r="V206" s="118">
        <f t="shared" si="8"/>
        <v>-1.2330456226880395E-3</v>
      </c>
      <c r="W206" s="114" t="str">
        <f>IFERROR(I206-AVERAGEIFS(I$6:I205,J$6:J205,"ICIS / Platts",B$6:B205,B206),"")</f>
        <v/>
      </c>
      <c r="X206" s="110" t="s">
        <v>113</v>
      </c>
      <c r="Y206" s="117" t="str">
        <f t="shared" si="7"/>
        <v>OK</v>
      </c>
      <c r="Z206" s="111" t="s">
        <v>115</v>
      </c>
      <c r="AA206" s="111" t="s">
        <v>115</v>
      </c>
      <c r="AB206" s="111" t="s">
        <v>116</v>
      </c>
      <c r="AC206" s="111" t="s">
        <v>115</v>
      </c>
      <c r="AD206" s="111"/>
    </row>
    <row r="207" spans="2:30" ht="24.75" customHeight="1" x14ac:dyDescent="0.25">
      <c r="B207" s="115">
        <v>45279</v>
      </c>
      <c r="C207" s="116" t="s">
        <v>117</v>
      </c>
      <c r="D207" s="116">
        <v>51</v>
      </c>
      <c r="E207" s="110" t="str">
        <f t="shared" si="9"/>
        <v>20231219-202</v>
      </c>
      <c r="F207" s="111" t="s">
        <v>98</v>
      </c>
      <c r="G207" s="111" t="s">
        <v>99</v>
      </c>
      <c r="H207" s="112" t="s">
        <v>1028</v>
      </c>
      <c r="I207" s="113">
        <v>1659.52</v>
      </c>
      <c r="J207" s="111" t="s">
        <v>118</v>
      </c>
      <c r="K207" s="111" t="s">
        <v>1029</v>
      </c>
      <c r="L207" s="111" t="s">
        <v>103</v>
      </c>
      <c r="M207" s="111" t="s">
        <v>104</v>
      </c>
      <c r="N207" s="111" t="s">
        <v>827</v>
      </c>
      <c r="O207" s="111" t="s">
        <v>121</v>
      </c>
      <c r="P207" s="111" t="s">
        <v>132</v>
      </c>
      <c r="Q207" s="110" t="s">
        <v>123</v>
      </c>
      <c r="R207" s="110" t="s">
        <v>134</v>
      </c>
      <c r="S207" s="111" t="s">
        <v>825</v>
      </c>
      <c r="T207" s="111" t="s">
        <v>111</v>
      </c>
      <c r="U207" s="111" t="s">
        <v>103</v>
      </c>
      <c r="V207" s="118">
        <f t="shared" si="8"/>
        <v>1.7879377073915795E-2</v>
      </c>
      <c r="W207" s="114" t="str">
        <f>IFERROR(I207-AVERAGEIFS(I$6:I206,J$6:J206,"ICIS / Platts",B$6:B206,B207),"")</f>
        <v/>
      </c>
      <c r="X207" s="110" t="s">
        <v>125</v>
      </c>
      <c r="Y207" s="117" t="str">
        <f t="shared" si="7"/>
        <v>OK</v>
      </c>
      <c r="Z207" s="111" t="s">
        <v>115</v>
      </c>
      <c r="AA207" s="111" t="s">
        <v>115</v>
      </c>
      <c r="AB207" s="111" t="s">
        <v>116</v>
      </c>
      <c r="AC207" s="111" t="s">
        <v>115</v>
      </c>
      <c r="AD207" s="111"/>
    </row>
    <row r="208" spans="2:30" ht="24.75" customHeight="1" x14ac:dyDescent="0.25">
      <c r="B208" s="108">
        <v>45280</v>
      </c>
      <c r="C208" s="109" t="s">
        <v>126</v>
      </c>
      <c r="D208" s="109">
        <v>51</v>
      </c>
      <c r="E208" s="110" t="str">
        <f t="shared" si="9"/>
        <v>20231220-203</v>
      </c>
      <c r="F208" s="111" t="s">
        <v>98</v>
      </c>
      <c r="G208" s="111" t="s">
        <v>99</v>
      </c>
      <c r="H208" s="112" t="s">
        <v>1028</v>
      </c>
      <c r="I208" s="113">
        <v>1644.64</v>
      </c>
      <c r="J208" s="111" t="s">
        <v>127</v>
      </c>
      <c r="K208" s="111" t="s">
        <v>1030</v>
      </c>
      <c r="L208" s="111" t="s">
        <v>129</v>
      </c>
      <c r="M208" s="111" t="s">
        <v>104</v>
      </c>
      <c r="N208" s="111" t="s">
        <v>829</v>
      </c>
      <c r="O208" s="111" t="s">
        <v>131</v>
      </c>
      <c r="P208" s="111" t="s">
        <v>830</v>
      </c>
      <c r="Q208" s="110" t="s">
        <v>133</v>
      </c>
      <c r="R208" s="110" t="s">
        <v>831</v>
      </c>
      <c r="S208" s="111" t="s">
        <v>832</v>
      </c>
      <c r="T208" s="111" t="s">
        <v>136</v>
      </c>
      <c r="U208" s="111" t="s">
        <v>129</v>
      </c>
      <c r="V208" s="118">
        <f t="shared" si="8"/>
        <v>3.2024106527427884E-3</v>
      </c>
      <c r="W208" s="114" t="str">
        <f>IFERROR(I208-AVERAGEIFS(I$6:I207,J$6:J207,"ICIS / Platts",B$6:B207,B208),"")</f>
        <v/>
      </c>
      <c r="X208" s="110" t="s">
        <v>137</v>
      </c>
      <c r="Y208" s="117" t="str">
        <f t="shared" si="7"/>
        <v>OK</v>
      </c>
      <c r="Z208" s="111" t="s">
        <v>115</v>
      </c>
      <c r="AA208" s="111" t="s">
        <v>115</v>
      </c>
      <c r="AB208" s="111" t="s">
        <v>116</v>
      </c>
      <c r="AC208" s="111" t="s">
        <v>115</v>
      </c>
      <c r="AD208" s="111"/>
    </row>
    <row r="209" spans="2:30" ht="24.75" customHeight="1" x14ac:dyDescent="0.25">
      <c r="B209" s="115">
        <v>45282</v>
      </c>
      <c r="C209" s="116" t="s">
        <v>138</v>
      </c>
      <c r="D209" s="116">
        <v>51</v>
      </c>
      <c r="E209" s="110" t="str">
        <f t="shared" si="9"/>
        <v>20231222-204</v>
      </c>
      <c r="F209" s="111" t="s">
        <v>98</v>
      </c>
      <c r="G209" s="111" t="s">
        <v>99</v>
      </c>
      <c r="H209" s="112" t="s">
        <v>1028</v>
      </c>
      <c r="I209" s="113">
        <v>1598.71</v>
      </c>
      <c r="J209" s="111" t="s">
        <v>139</v>
      </c>
      <c r="K209" s="111" t="s">
        <v>1031</v>
      </c>
      <c r="L209" s="111" t="s">
        <v>103</v>
      </c>
      <c r="M209" s="111" t="s">
        <v>104</v>
      </c>
      <c r="N209" s="111" t="s">
        <v>824</v>
      </c>
      <c r="O209" s="111" t="s">
        <v>106</v>
      </c>
      <c r="P209" s="111" t="s">
        <v>141</v>
      </c>
      <c r="Q209" s="110" t="s">
        <v>133</v>
      </c>
      <c r="R209" s="110" t="s">
        <v>142</v>
      </c>
      <c r="S209" s="111" t="s">
        <v>825</v>
      </c>
      <c r="T209" s="111" t="s">
        <v>111</v>
      </c>
      <c r="U209" s="111" t="s">
        <v>103</v>
      </c>
      <c r="V209" s="118">
        <f t="shared" si="8"/>
        <v>-1.2166337123084561E-2</v>
      </c>
      <c r="W209" s="114" t="str">
        <f>IFERROR(I209-AVERAGEIFS(I$6:I208,J$6:J208,"ICIS / Platts",B$6:B208,B209),"")</f>
        <v/>
      </c>
      <c r="X209" s="110" t="s">
        <v>125</v>
      </c>
      <c r="Y209" s="117" t="str">
        <f t="shared" si="7"/>
        <v>OK</v>
      </c>
      <c r="Z209" s="111" t="s">
        <v>115</v>
      </c>
      <c r="AA209" s="111" t="s">
        <v>115</v>
      </c>
      <c r="AB209" s="111" t="s">
        <v>116</v>
      </c>
      <c r="AC209" s="111" t="s">
        <v>115</v>
      </c>
      <c r="AD209" s="111"/>
    </row>
    <row r="210" spans="2:30" ht="24.75" customHeight="1" x14ac:dyDescent="0.25">
      <c r="B210" s="108">
        <v>45285</v>
      </c>
      <c r="C210" s="109" t="s">
        <v>97</v>
      </c>
      <c r="D210" s="109">
        <v>52</v>
      </c>
      <c r="E210" s="110" t="str">
        <f t="shared" si="9"/>
        <v>20231225-205</v>
      </c>
      <c r="F210" s="111" t="s">
        <v>98</v>
      </c>
      <c r="G210" s="111" t="s">
        <v>99</v>
      </c>
      <c r="H210" s="112" t="s">
        <v>392</v>
      </c>
      <c r="I210" s="113">
        <v>1618</v>
      </c>
      <c r="J210" s="111" t="s">
        <v>101</v>
      </c>
      <c r="K210" s="111" t="s">
        <v>393</v>
      </c>
      <c r="L210" s="111" t="s">
        <v>103</v>
      </c>
      <c r="M210" s="111" t="s">
        <v>104</v>
      </c>
      <c r="N210" s="111" t="s">
        <v>824</v>
      </c>
      <c r="O210" s="111" t="s">
        <v>106</v>
      </c>
      <c r="P210" s="111" t="s">
        <v>107</v>
      </c>
      <c r="Q210" s="110" t="s">
        <v>108</v>
      </c>
      <c r="R210" s="110" t="s">
        <v>109</v>
      </c>
      <c r="S210" s="111" t="s">
        <v>825</v>
      </c>
      <c r="T210" s="111" t="s">
        <v>111</v>
      </c>
      <c r="U210" s="111" t="s">
        <v>103</v>
      </c>
      <c r="V210" s="118">
        <f t="shared" si="8"/>
        <v>-1.2345679012345679E-3</v>
      </c>
      <c r="W210" s="114" t="str">
        <f>IFERROR(I210-AVERAGEIFS(I$6:I209,J$6:J209,"ICIS / Platts",B$6:B209,B210),"")</f>
        <v/>
      </c>
      <c r="X210" s="110" t="s">
        <v>113</v>
      </c>
      <c r="Y210" s="117" t="str">
        <f t="shared" si="7"/>
        <v>OK</v>
      </c>
      <c r="Z210" s="111" t="s">
        <v>115</v>
      </c>
      <c r="AA210" s="111" t="s">
        <v>115</v>
      </c>
      <c r="AB210" s="111" t="s">
        <v>116</v>
      </c>
      <c r="AC210" s="111" t="s">
        <v>115</v>
      </c>
      <c r="AD210" s="111"/>
    </row>
    <row r="211" spans="2:30" ht="24.75" customHeight="1" x14ac:dyDescent="0.25">
      <c r="B211" s="115">
        <v>45286</v>
      </c>
      <c r="C211" s="116" t="s">
        <v>117</v>
      </c>
      <c r="D211" s="116">
        <v>52</v>
      </c>
      <c r="E211" s="110" t="str">
        <f t="shared" si="9"/>
        <v>20231226-206</v>
      </c>
      <c r="F211" s="111" t="s">
        <v>98</v>
      </c>
      <c r="G211" s="111" t="s">
        <v>99</v>
      </c>
      <c r="H211" s="112" t="s">
        <v>392</v>
      </c>
      <c r="I211" s="113">
        <v>1625.14</v>
      </c>
      <c r="J211" s="111" t="s">
        <v>118</v>
      </c>
      <c r="K211" s="111" t="s">
        <v>1032</v>
      </c>
      <c r="L211" s="111" t="s">
        <v>103</v>
      </c>
      <c r="M211" s="111" t="s">
        <v>104</v>
      </c>
      <c r="N211" s="111" t="s">
        <v>827</v>
      </c>
      <c r="O211" s="111" t="s">
        <v>121</v>
      </c>
      <c r="P211" s="111" t="s">
        <v>132</v>
      </c>
      <c r="Q211" s="110" t="s">
        <v>123</v>
      </c>
      <c r="R211" s="110" t="s">
        <v>134</v>
      </c>
      <c r="S211" s="111" t="s">
        <v>825</v>
      </c>
      <c r="T211" s="111" t="s">
        <v>111</v>
      </c>
      <c r="U211" s="111" t="s">
        <v>103</v>
      </c>
      <c r="V211" s="118">
        <f t="shared" si="8"/>
        <v>-2.0716833783262559E-2</v>
      </c>
      <c r="W211" s="114" t="str">
        <f>IFERROR(I211-AVERAGEIFS(I$6:I210,J$6:J210,"ICIS / Platts",B$6:B210,B211),"")</f>
        <v/>
      </c>
      <c r="X211" s="110" t="s">
        <v>125</v>
      </c>
      <c r="Y211" s="117" t="str">
        <f t="shared" si="7"/>
        <v>OK</v>
      </c>
      <c r="Z211" s="111" t="s">
        <v>115</v>
      </c>
      <c r="AA211" s="111" t="s">
        <v>115</v>
      </c>
      <c r="AB211" s="111" t="s">
        <v>116</v>
      </c>
      <c r="AC211" s="111" t="s">
        <v>115</v>
      </c>
      <c r="AD211" s="111"/>
    </row>
    <row r="212" spans="2:30" ht="24.75" customHeight="1" x14ac:dyDescent="0.25">
      <c r="B212" s="108">
        <v>45287</v>
      </c>
      <c r="C212" s="109" t="s">
        <v>126</v>
      </c>
      <c r="D212" s="109">
        <v>52</v>
      </c>
      <c r="E212" s="110" t="str">
        <f t="shared" si="9"/>
        <v>20231227-207</v>
      </c>
      <c r="F212" s="111" t="s">
        <v>98</v>
      </c>
      <c r="G212" s="111" t="s">
        <v>99</v>
      </c>
      <c r="H212" s="112" t="s">
        <v>392</v>
      </c>
      <c r="I212" s="113">
        <v>1608.68</v>
      </c>
      <c r="J212" s="111" t="s">
        <v>127</v>
      </c>
      <c r="K212" s="111" t="s">
        <v>1033</v>
      </c>
      <c r="L212" s="111" t="s">
        <v>129</v>
      </c>
      <c r="M212" s="111" t="s">
        <v>104</v>
      </c>
      <c r="N212" s="111" t="s">
        <v>829</v>
      </c>
      <c r="O212" s="111" t="s">
        <v>131</v>
      </c>
      <c r="P212" s="111" t="s">
        <v>830</v>
      </c>
      <c r="Q212" s="110" t="s">
        <v>133</v>
      </c>
      <c r="R212" s="110" t="s">
        <v>831</v>
      </c>
      <c r="S212" s="111" t="s">
        <v>832</v>
      </c>
      <c r="T212" s="111" t="s">
        <v>136</v>
      </c>
      <c r="U212" s="111" t="s">
        <v>129</v>
      </c>
      <c r="V212" s="118">
        <f t="shared" si="8"/>
        <v>-2.186496740928108E-2</v>
      </c>
      <c r="W212" s="114" t="str">
        <f>IFERROR(I212-AVERAGEIFS(I$6:I211,J$6:J211,"ICIS / Platts",B$6:B211,B212),"")</f>
        <v/>
      </c>
      <c r="X212" s="110" t="s">
        <v>137</v>
      </c>
      <c r="Y212" s="117" t="str">
        <f t="shared" si="7"/>
        <v>OK</v>
      </c>
      <c r="Z212" s="111" t="s">
        <v>115</v>
      </c>
      <c r="AA212" s="111" t="s">
        <v>115</v>
      </c>
      <c r="AB212" s="111" t="s">
        <v>116</v>
      </c>
      <c r="AC212" s="111" t="s">
        <v>115</v>
      </c>
      <c r="AD212" s="111"/>
    </row>
    <row r="213" spans="2:30" ht="24.75" customHeight="1" x14ac:dyDescent="0.25">
      <c r="B213" s="115">
        <v>45289</v>
      </c>
      <c r="C213" s="116" t="s">
        <v>138</v>
      </c>
      <c r="D213" s="116">
        <v>52</v>
      </c>
      <c r="E213" s="110" t="str">
        <f t="shared" si="9"/>
        <v>20231229-208</v>
      </c>
      <c r="F213" s="111" t="s">
        <v>98</v>
      </c>
      <c r="G213" s="111" t="s">
        <v>99</v>
      </c>
      <c r="H213" s="112" t="s">
        <v>392</v>
      </c>
      <c r="I213" s="113">
        <v>1615.26</v>
      </c>
      <c r="J213" s="111" t="s">
        <v>139</v>
      </c>
      <c r="K213" s="111" t="s">
        <v>1034</v>
      </c>
      <c r="L213" s="111" t="s">
        <v>103</v>
      </c>
      <c r="M213" s="111" t="s">
        <v>104</v>
      </c>
      <c r="N213" s="111" t="s">
        <v>824</v>
      </c>
      <c r="O213" s="111" t="s">
        <v>106</v>
      </c>
      <c r="P213" s="111" t="s">
        <v>141</v>
      </c>
      <c r="Q213" s="110" t="s">
        <v>133</v>
      </c>
      <c r="R213" s="110" t="s">
        <v>142</v>
      </c>
      <c r="S213" s="111" t="s">
        <v>825</v>
      </c>
      <c r="T213" s="111" t="s">
        <v>111</v>
      </c>
      <c r="U213" s="111" t="s">
        <v>103</v>
      </c>
      <c r="V213" s="118">
        <f t="shared" si="8"/>
        <v>1.0352096377704496E-2</v>
      </c>
      <c r="W213" s="114" t="str">
        <f>IFERROR(I213-AVERAGEIFS(I$6:I212,J$6:J212,"ICIS / Platts",B$6:B212,B213),"")</f>
        <v/>
      </c>
      <c r="X213" s="110" t="s">
        <v>125</v>
      </c>
      <c r="Y213" s="117" t="str">
        <f t="shared" ref="Y213:Y276" si="10">IFERROR(IF(ABS(I213-AVERAGE(I205:I212))/AVERAGE(I205:I212)&gt;0.1,"⚠ CHECK","OK"),"OK")</f>
        <v>OK</v>
      </c>
      <c r="Z213" s="111" t="s">
        <v>115</v>
      </c>
      <c r="AA213" s="111" t="s">
        <v>115</v>
      </c>
      <c r="AB213" s="111" t="s">
        <v>116</v>
      </c>
      <c r="AC213" s="111" t="s">
        <v>115</v>
      </c>
      <c r="AD213" s="111"/>
    </row>
    <row r="214" spans="2:30" ht="24.75" customHeight="1" x14ac:dyDescent="0.25">
      <c r="B214" s="108">
        <v>45287</v>
      </c>
      <c r="C214" s="109" t="s">
        <v>126</v>
      </c>
      <c r="D214" s="109">
        <v>52</v>
      </c>
      <c r="E214" s="110" t="str">
        <f t="shared" si="9"/>
        <v>20231227-209</v>
      </c>
      <c r="F214" s="111" t="s">
        <v>98</v>
      </c>
      <c r="G214" s="111" t="s">
        <v>99</v>
      </c>
      <c r="H214" s="112" t="s">
        <v>1035</v>
      </c>
      <c r="I214" s="113">
        <v>1622</v>
      </c>
      <c r="J214" s="111" t="s">
        <v>101</v>
      </c>
      <c r="K214" s="111" t="s">
        <v>1036</v>
      </c>
      <c r="L214" s="111" t="s">
        <v>103</v>
      </c>
      <c r="M214" s="111" t="s">
        <v>104</v>
      </c>
      <c r="N214" s="111" t="s">
        <v>824</v>
      </c>
      <c r="O214" s="111" t="s">
        <v>106</v>
      </c>
      <c r="P214" s="111" t="s">
        <v>107</v>
      </c>
      <c r="Q214" s="110" t="s">
        <v>108</v>
      </c>
      <c r="R214" s="110" t="s">
        <v>109</v>
      </c>
      <c r="S214" s="111" t="s">
        <v>825</v>
      </c>
      <c r="T214" s="111" t="s">
        <v>111</v>
      </c>
      <c r="U214" s="111" t="s">
        <v>103</v>
      </c>
      <c r="V214" s="118">
        <f t="shared" si="8"/>
        <v>2.472187886279357E-3</v>
      </c>
      <c r="W214" s="114" t="str">
        <f>IFERROR(I214-AVERAGEIFS(I$6:I213,J$6:J213,"ICIS / Platts",B$6:B213,B214),"")</f>
        <v/>
      </c>
      <c r="X214" s="110" t="s">
        <v>113</v>
      </c>
      <c r="Y214" s="117" t="str">
        <f t="shared" si="10"/>
        <v>OK</v>
      </c>
      <c r="Z214" s="111" t="s">
        <v>115</v>
      </c>
      <c r="AA214" s="111" t="s">
        <v>115</v>
      </c>
      <c r="AB214" s="111" t="s">
        <v>116</v>
      </c>
      <c r="AC214" s="111" t="s">
        <v>116</v>
      </c>
      <c r="AD214" s="111"/>
    </row>
    <row r="215" spans="2:30" ht="24.75" customHeight="1" x14ac:dyDescent="0.25">
      <c r="B215" s="115">
        <v>45287</v>
      </c>
      <c r="C215" s="116" t="s">
        <v>126</v>
      </c>
      <c r="D215" s="116">
        <v>52</v>
      </c>
      <c r="E215" s="110" t="str">
        <f t="shared" si="9"/>
        <v>20231227-210</v>
      </c>
      <c r="F215" s="111" t="s">
        <v>98</v>
      </c>
      <c r="G215" s="111" t="s">
        <v>99</v>
      </c>
      <c r="H215" s="112" t="s">
        <v>1035</v>
      </c>
      <c r="I215" s="113">
        <v>1621.95</v>
      </c>
      <c r="J215" s="111" t="s">
        <v>118</v>
      </c>
      <c r="K215" s="111" t="s">
        <v>1037</v>
      </c>
      <c r="L215" s="111" t="s">
        <v>103</v>
      </c>
      <c r="M215" s="111" t="s">
        <v>104</v>
      </c>
      <c r="N215" s="111" t="s">
        <v>827</v>
      </c>
      <c r="O215" s="111" t="s">
        <v>121</v>
      </c>
      <c r="P215" s="111" t="s">
        <v>132</v>
      </c>
      <c r="Q215" s="110" t="s">
        <v>123</v>
      </c>
      <c r="R215" s="110" t="s">
        <v>134</v>
      </c>
      <c r="S215" s="111" t="s">
        <v>825</v>
      </c>
      <c r="T215" s="111" t="s">
        <v>111</v>
      </c>
      <c r="U215" s="111" t="s">
        <v>103</v>
      </c>
      <c r="V215" s="118">
        <f t="shared" si="8"/>
        <v>-1.9629078110193917E-3</v>
      </c>
      <c r="W215" s="114">
        <f>IFERROR(I215-AVERAGEIFS(I$6:I214,J$6:J214,"ICIS / Platts",B$6:B214,B215),"")</f>
        <v>-4.9999999999954525E-2</v>
      </c>
      <c r="X215" s="110" t="s">
        <v>125</v>
      </c>
      <c r="Y215" s="117" t="str">
        <f t="shared" si="10"/>
        <v>OK</v>
      </c>
      <c r="Z215" s="111" t="s">
        <v>115</v>
      </c>
      <c r="AA215" s="111" t="s">
        <v>115</v>
      </c>
      <c r="AB215" s="111" t="s">
        <v>116</v>
      </c>
      <c r="AC215" s="111" t="s">
        <v>116</v>
      </c>
      <c r="AD215" s="111"/>
    </row>
    <row r="216" spans="2:30" ht="24.75" customHeight="1" x14ac:dyDescent="0.25">
      <c r="B216" s="108">
        <v>45292</v>
      </c>
      <c r="C216" s="109" t="s">
        <v>97</v>
      </c>
      <c r="D216" s="109">
        <v>1</v>
      </c>
      <c r="E216" s="110" t="str">
        <f t="shared" si="9"/>
        <v>20240101-211</v>
      </c>
      <c r="F216" s="111" t="s">
        <v>98</v>
      </c>
      <c r="G216" s="111" t="s">
        <v>99</v>
      </c>
      <c r="H216" s="112" t="s">
        <v>1035</v>
      </c>
      <c r="I216" s="113">
        <v>1661.97</v>
      </c>
      <c r="J216" s="111" t="s">
        <v>127</v>
      </c>
      <c r="K216" s="111" t="s">
        <v>1038</v>
      </c>
      <c r="L216" s="111" t="s">
        <v>129</v>
      </c>
      <c r="M216" s="111" t="s">
        <v>104</v>
      </c>
      <c r="N216" s="111" t="s">
        <v>829</v>
      </c>
      <c r="O216" s="111" t="s">
        <v>131</v>
      </c>
      <c r="P216" s="111" t="s">
        <v>830</v>
      </c>
      <c r="Q216" s="110" t="s">
        <v>133</v>
      </c>
      <c r="R216" s="110" t="s">
        <v>831</v>
      </c>
      <c r="S216" s="111" t="s">
        <v>832</v>
      </c>
      <c r="T216" s="111" t="s">
        <v>136</v>
      </c>
      <c r="U216" s="111" t="s">
        <v>129</v>
      </c>
      <c r="V216" s="118">
        <f t="shared" si="8"/>
        <v>3.3126538528482956E-2</v>
      </c>
      <c r="W216" s="114" t="str">
        <f>IFERROR(I216-AVERAGEIFS(I$6:I215,J$6:J215,"ICIS / Platts",B$6:B215,B216),"")</f>
        <v/>
      </c>
      <c r="X216" s="110" t="s">
        <v>137</v>
      </c>
      <c r="Y216" s="117" t="str">
        <f t="shared" si="10"/>
        <v>OK</v>
      </c>
      <c r="Z216" s="111" t="s">
        <v>115</v>
      </c>
      <c r="AA216" s="111" t="s">
        <v>115</v>
      </c>
      <c r="AB216" s="111" t="s">
        <v>116</v>
      </c>
      <c r="AC216" s="111" t="s">
        <v>116</v>
      </c>
      <c r="AD216" s="111"/>
    </row>
    <row r="217" spans="2:30" ht="24.75" customHeight="1" x14ac:dyDescent="0.25">
      <c r="B217" s="115">
        <v>45294</v>
      </c>
      <c r="C217" s="116" t="s">
        <v>126</v>
      </c>
      <c r="D217" s="116">
        <v>1</v>
      </c>
      <c r="E217" s="110" t="str">
        <f t="shared" si="9"/>
        <v>20240103-212</v>
      </c>
      <c r="F217" s="111" t="s">
        <v>98</v>
      </c>
      <c r="G217" s="111" t="s">
        <v>99</v>
      </c>
      <c r="H217" s="112" t="s">
        <v>1035</v>
      </c>
      <c r="I217" s="113">
        <v>1603.15</v>
      </c>
      <c r="J217" s="111" t="s">
        <v>139</v>
      </c>
      <c r="K217" s="111" t="s">
        <v>1039</v>
      </c>
      <c r="L217" s="111" t="s">
        <v>103</v>
      </c>
      <c r="M217" s="111" t="s">
        <v>104</v>
      </c>
      <c r="N217" s="111" t="s">
        <v>824</v>
      </c>
      <c r="O217" s="111" t="s">
        <v>106</v>
      </c>
      <c r="P217" s="111" t="s">
        <v>141</v>
      </c>
      <c r="Q217" s="110" t="s">
        <v>133</v>
      </c>
      <c r="R217" s="110" t="s">
        <v>142</v>
      </c>
      <c r="S217" s="111" t="s">
        <v>825</v>
      </c>
      <c r="T217" s="111" t="s">
        <v>111</v>
      </c>
      <c r="U217" s="111" t="s">
        <v>103</v>
      </c>
      <c r="V217" s="118">
        <f t="shared" si="8"/>
        <v>-7.4972450255685772E-3</v>
      </c>
      <c r="W217" s="114" t="str">
        <f>IFERROR(I217-AVERAGEIFS(I$6:I216,J$6:J216,"ICIS / Platts",B$6:B216,B217),"")</f>
        <v/>
      </c>
      <c r="X217" s="110" t="s">
        <v>125</v>
      </c>
      <c r="Y217" s="117" t="str">
        <f t="shared" si="10"/>
        <v>OK</v>
      </c>
      <c r="Z217" s="111" t="s">
        <v>115</v>
      </c>
      <c r="AA217" s="111" t="s">
        <v>115</v>
      </c>
      <c r="AB217" s="111" t="s">
        <v>116</v>
      </c>
      <c r="AC217" s="111" t="s">
        <v>116</v>
      </c>
      <c r="AD217" s="111"/>
    </row>
    <row r="218" spans="2:30" ht="24.75" customHeight="1" x14ac:dyDescent="0.25">
      <c r="B218" s="108">
        <v>45294</v>
      </c>
      <c r="C218" s="109" t="s">
        <v>126</v>
      </c>
      <c r="D218" s="109">
        <v>1</v>
      </c>
      <c r="E218" s="110" t="str">
        <f t="shared" si="9"/>
        <v>20240103-213</v>
      </c>
      <c r="F218" s="111" t="s">
        <v>98</v>
      </c>
      <c r="G218" s="111" t="s">
        <v>99</v>
      </c>
      <c r="H218" s="112" t="s">
        <v>1040</v>
      </c>
      <c r="I218" s="113">
        <v>1632</v>
      </c>
      <c r="J218" s="111" t="s">
        <v>101</v>
      </c>
      <c r="K218" s="111" t="s">
        <v>1041</v>
      </c>
      <c r="L218" s="111" t="s">
        <v>103</v>
      </c>
      <c r="M218" s="111" t="s">
        <v>104</v>
      </c>
      <c r="N218" s="111" t="s">
        <v>824</v>
      </c>
      <c r="O218" s="111" t="s">
        <v>106</v>
      </c>
      <c r="P218" s="111" t="s">
        <v>107</v>
      </c>
      <c r="Q218" s="110" t="s">
        <v>108</v>
      </c>
      <c r="R218" s="110" t="s">
        <v>109</v>
      </c>
      <c r="S218" s="111" t="s">
        <v>825</v>
      </c>
      <c r="T218" s="111" t="s">
        <v>111</v>
      </c>
      <c r="U218" s="111" t="s">
        <v>103</v>
      </c>
      <c r="V218" s="118">
        <f t="shared" si="8"/>
        <v>6.1652281134401974E-3</v>
      </c>
      <c r="W218" s="114" t="str">
        <f>IFERROR(I218-AVERAGEIFS(I$6:I217,J$6:J217,"ICIS / Platts",B$6:B217,B218),"")</f>
        <v/>
      </c>
      <c r="X218" s="110" t="s">
        <v>113</v>
      </c>
      <c r="Y218" s="117" t="str">
        <f t="shared" si="10"/>
        <v>OK</v>
      </c>
      <c r="Z218" s="111" t="s">
        <v>116</v>
      </c>
      <c r="AA218" s="111" t="s">
        <v>115</v>
      </c>
      <c r="AB218" s="111" t="s">
        <v>116</v>
      </c>
      <c r="AC218" s="111" t="s">
        <v>116</v>
      </c>
      <c r="AD218" s="111"/>
    </row>
    <row r="219" spans="2:30" ht="24.75" customHeight="1" x14ac:dyDescent="0.25">
      <c r="B219" s="115">
        <v>45294</v>
      </c>
      <c r="C219" s="116" t="s">
        <v>126</v>
      </c>
      <c r="D219" s="116">
        <v>1</v>
      </c>
      <c r="E219" s="110" t="str">
        <f t="shared" si="9"/>
        <v>20240103-214</v>
      </c>
      <c r="F219" s="111" t="s">
        <v>98</v>
      </c>
      <c r="G219" s="111" t="s">
        <v>99</v>
      </c>
      <c r="H219" s="112" t="s">
        <v>1040</v>
      </c>
      <c r="I219" s="113">
        <v>1655.56</v>
      </c>
      <c r="J219" s="111" t="s">
        <v>118</v>
      </c>
      <c r="K219" s="111" t="s">
        <v>1042</v>
      </c>
      <c r="L219" s="111" t="s">
        <v>103</v>
      </c>
      <c r="M219" s="111" t="s">
        <v>104</v>
      </c>
      <c r="N219" s="111" t="s">
        <v>827</v>
      </c>
      <c r="O219" s="111" t="s">
        <v>121</v>
      </c>
      <c r="P219" s="111" t="s">
        <v>132</v>
      </c>
      <c r="Q219" s="110" t="s">
        <v>123</v>
      </c>
      <c r="R219" s="110" t="s">
        <v>134</v>
      </c>
      <c r="S219" s="111" t="s">
        <v>825</v>
      </c>
      <c r="T219" s="111" t="s">
        <v>111</v>
      </c>
      <c r="U219" s="111" t="s">
        <v>103</v>
      </c>
      <c r="V219" s="118">
        <f t="shared" si="8"/>
        <v>2.0721970467646907E-2</v>
      </c>
      <c r="W219" s="114">
        <f>IFERROR(I219-AVERAGEIFS(I$6:I218,J$6:J218,"ICIS / Platts",B$6:B218,B219),"")</f>
        <v>23.559999999999945</v>
      </c>
      <c r="X219" s="110" t="s">
        <v>125</v>
      </c>
      <c r="Y219" s="117" t="str">
        <f t="shared" si="10"/>
        <v>OK</v>
      </c>
      <c r="Z219" s="111" t="s">
        <v>116</v>
      </c>
      <c r="AA219" s="111" t="s">
        <v>115</v>
      </c>
      <c r="AB219" s="111" t="s">
        <v>116</v>
      </c>
      <c r="AC219" s="111" t="s">
        <v>116</v>
      </c>
      <c r="AD219" s="111"/>
    </row>
    <row r="220" spans="2:30" ht="24.75" customHeight="1" x14ac:dyDescent="0.25">
      <c r="B220" s="108">
        <v>45299</v>
      </c>
      <c r="C220" s="109" t="s">
        <v>97</v>
      </c>
      <c r="D220" s="109">
        <v>2</v>
      </c>
      <c r="E220" s="110" t="str">
        <f t="shared" si="9"/>
        <v>20240108-215</v>
      </c>
      <c r="F220" s="111" t="s">
        <v>98</v>
      </c>
      <c r="G220" s="111" t="s">
        <v>99</v>
      </c>
      <c r="H220" s="112" t="s">
        <v>1040</v>
      </c>
      <c r="I220" s="113">
        <v>1628.38</v>
      </c>
      <c r="J220" s="111" t="s">
        <v>127</v>
      </c>
      <c r="K220" s="111" t="s">
        <v>1043</v>
      </c>
      <c r="L220" s="111" t="s">
        <v>129</v>
      </c>
      <c r="M220" s="111" t="s">
        <v>104</v>
      </c>
      <c r="N220" s="111" t="s">
        <v>829</v>
      </c>
      <c r="O220" s="111" t="s">
        <v>131</v>
      </c>
      <c r="P220" s="111" t="s">
        <v>830</v>
      </c>
      <c r="Q220" s="110" t="s">
        <v>133</v>
      </c>
      <c r="R220" s="110" t="s">
        <v>831</v>
      </c>
      <c r="S220" s="111" t="s">
        <v>832</v>
      </c>
      <c r="T220" s="111" t="s">
        <v>136</v>
      </c>
      <c r="U220" s="111" t="s">
        <v>129</v>
      </c>
      <c r="V220" s="118">
        <f t="shared" si="8"/>
        <v>-2.0210954469695553E-2</v>
      </c>
      <c r="W220" s="114" t="str">
        <f>IFERROR(I220-AVERAGEIFS(I$6:I219,J$6:J219,"ICIS / Platts",B$6:B219,B220),"")</f>
        <v/>
      </c>
      <c r="X220" s="110" t="s">
        <v>137</v>
      </c>
      <c r="Y220" s="117" t="str">
        <f t="shared" si="10"/>
        <v>OK</v>
      </c>
      <c r="Z220" s="111" t="s">
        <v>116</v>
      </c>
      <c r="AA220" s="111" t="s">
        <v>115</v>
      </c>
      <c r="AB220" s="111" t="s">
        <v>116</v>
      </c>
      <c r="AC220" s="111" t="s">
        <v>116</v>
      </c>
      <c r="AD220" s="111"/>
    </row>
    <row r="221" spans="2:30" ht="24.75" customHeight="1" x14ac:dyDescent="0.25">
      <c r="B221" s="115">
        <v>45301</v>
      </c>
      <c r="C221" s="116" t="s">
        <v>126</v>
      </c>
      <c r="D221" s="116">
        <v>2</v>
      </c>
      <c r="E221" s="110" t="str">
        <f t="shared" si="9"/>
        <v>20240110-216</v>
      </c>
      <c r="F221" s="111" t="s">
        <v>98</v>
      </c>
      <c r="G221" s="111" t="s">
        <v>99</v>
      </c>
      <c r="H221" s="112" t="s">
        <v>1040</v>
      </c>
      <c r="I221" s="113">
        <v>1647.7</v>
      </c>
      <c r="J221" s="111" t="s">
        <v>139</v>
      </c>
      <c r="K221" s="111" t="s">
        <v>1044</v>
      </c>
      <c r="L221" s="111" t="s">
        <v>103</v>
      </c>
      <c r="M221" s="111" t="s">
        <v>104</v>
      </c>
      <c r="N221" s="111" t="s">
        <v>824</v>
      </c>
      <c r="O221" s="111" t="s">
        <v>106</v>
      </c>
      <c r="P221" s="111" t="s">
        <v>141</v>
      </c>
      <c r="Q221" s="110" t="s">
        <v>133</v>
      </c>
      <c r="R221" s="110" t="s">
        <v>142</v>
      </c>
      <c r="S221" s="111" t="s">
        <v>825</v>
      </c>
      <c r="T221" s="111" t="s">
        <v>111</v>
      </c>
      <c r="U221" s="111" t="s">
        <v>103</v>
      </c>
      <c r="V221" s="118">
        <f t="shared" si="8"/>
        <v>2.778904032685647E-2</v>
      </c>
      <c r="W221" s="114" t="str">
        <f>IFERROR(I221-AVERAGEIFS(I$6:I220,J$6:J220,"ICIS / Platts",B$6:B220,B221),"")</f>
        <v/>
      </c>
      <c r="X221" s="110" t="s">
        <v>125</v>
      </c>
      <c r="Y221" s="117" t="str">
        <f t="shared" si="10"/>
        <v>OK</v>
      </c>
      <c r="Z221" s="111" t="s">
        <v>116</v>
      </c>
      <c r="AA221" s="111" t="s">
        <v>115</v>
      </c>
      <c r="AB221" s="111" t="s">
        <v>116</v>
      </c>
      <c r="AC221" s="111" t="s">
        <v>116</v>
      </c>
      <c r="AD221" s="111"/>
    </row>
    <row r="222" spans="2:30" ht="24.75" customHeight="1" x14ac:dyDescent="0.25">
      <c r="B222" s="108">
        <v>45301</v>
      </c>
      <c r="C222" s="109" t="s">
        <v>126</v>
      </c>
      <c r="D222" s="109">
        <v>2</v>
      </c>
      <c r="E222" s="110" t="str">
        <f t="shared" si="9"/>
        <v>20240110-217</v>
      </c>
      <c r="F222" s="111" t="s">
        <v>98</v>
      </c>
      <c r="G222" s="111" t="s">
        <v>99</v>
      </c>
      <c r="H222" s="112" t="s">
        <v>1045</v>
      </c>
      <c r="I222" s="113">
        <v>1642</v>
      </c>
      <c r="J222" s="111" t="s">
        <v>101</v>
      </c>
      <c r="K222" s="111" t="s">
        <v>1046</v>
      </c>
      <c r="L222" s="111" t="s">
        <v>103</v>
      </c>
      <c r="M222" s="111" t="s">
        <v>104</v>
      </c>
      <c r="N222" s="111" t="s">
        <v>824</v>
      </c>
      <c r="O222" s="111" t="s">
        <v>106</v>
      </c>
      <c r="P222" s="111" t="s">
        <v>107</v>
      </c>
      <c r="Q222" s="110" t="s">
        <v>108</v>
      </c>
      <c r="R222" s="110" t="s">
        <v>109</v>
      </c>
      <c r="S222" s="111" t="s">
        <v>825</v>
      </c>
      <c r="T222" s="111" t="s">
        <v>111</v>
      </c>
      <c r="U222" s="111" t="s">
        <v>103</v>
      </c>
      <c r="V222" s="118">
        <f t="shared" si="8"/>
        <v>6.1274509803921568E-3</v>
      </c>
      <c r="W222" s="114" t="str">
        <f>IFERROR(I222-AVERAGEIFS(I$6:I221,J$6:J221,"ICIS / Platts",B$6:B221,B222),"")</f>
        <v/>
      </c>
      <c r="X222" s="110" t="s">
        <v>113</v>
      </c>
      <c r="Y222" s="117" t="str">
        <f t="shared" si="10"/>
        <v>OK</v>
      </c>
      <c r="Z222" s="111" t="s">
        <v>116</v>
      </c>
      <c r="AA222" s="111" t="s">
        <v>115</v>
      </c>
      <c r="AB222" s="111" t="s">
        <v>116</v>
      </c>
      <c r="AC222" s="111" t="s">
        <v>116</v>
      </c>
      <c r="AD222" s="111"/>
    </row>
    <row r="223" spans="2:30" ht="24.75" customHeight="1" x14ac:dyDescent="0.25">
      <c r="B223" s="115">
        <v>45301</v>
      </c>
      <c r="C223" s="116" t="s">
        <v>126</v>
      </c>
      <c r="D223" s="116">
        <v>2</v>
      </c>
      <c r="E223" s="110" t="str">
        <f t="shared" si="9"/>
        <v>20240110-218</v>
      </c>
      <c r="F223" s="111" t="s">
        <v>98</v>
      </c>
      <c r="G223" s="111" t="s">
        <v>99</v>
      </c>
      <c r="H223" s="112" t="s">
        <v>1045</v>
      </c>
      <c r="I223" s="113">
        <v>1646.88</v>
      </c>
      <c r="J223" s="111" t="s">
        <v>118</v>
      </c>
      <c r="K223" s="111" t="s">
        <v>1047</v>
      </c>
      <c r="L223" s="111" t="s">
        <v>103</v>
      </c>
      <c r="M223" s="111" t="s">
        <v>104</v>
      </c>
      <c r="N223" s="111" t="s">
        <v>827</v>
      </c>
      <c r="O223" s="111" t="s">
        <v>121</v>
      </c>
      <c r="P223" s="111" t="s">
        <v>132</v>
      </c>
      <c r="Q223" s="110" t="s">
        <v>123</v>
      </c>
      <c r="R223" s="110" t="s">
        <v>134</v>
      </c>
      <c r="S223" s="111" t="s">
        <v>825</v>
      </c>
      <c r="T223" s="111" t="s">
        <v>111</v>
      </c>
      <c r="U223" s="111" t="s">
        <v>103</v>
      </c>
      <c r="V223" s="118">
        <f t="shared" ref="V223:V286" si="11">IFERROR((I223-I219)/I219,"")</f>
        <v>-5.24293894513025E-3</v>
      </c>
      <c r="W223" s="114">
        <f>IFERROR(I223-AVERAGEIFS(I$6:I222,J$6:J222,"ICIS / Platts",B$6:B222,B223),"")</f>
        <v>4.8800000000001091</v>
      </c>
      <c r="X223" s="110" t="s">
        <v>125</v>
      </c>
      <c r="Y223" s="117" t="str">
        <f t="shared" si="10"/>
        <v>OK</v>
      </c>
      <c r="Z223" s="111" t="s">
        <v>116</v>
      </c>
      <c r="AA223" s="111" t="s">
        <v>115</v>
      </c>
      <c r="AB223" s="111" t="s">
        <v>116</v>
      </c>
      <c r="AC223" s="111" t="s">
        <v>116</v>
      </c>
      <c r="AD223" s="111"/>
    </row>
    <row r="224" spans="2:30" ht="24.75" customHeight="1" x14ac:dyDescent="0.25">
      <c r="B224" s="108">
        <v>45306</v>
      </c>
      <c r="C224" s="109" t="s">
        <v>97</v>
      </c>
      <c r="D224" s="109">
        <v>3</v>
      </c>
      <c r="E224" s="110" t="str">
        <f t="shared" si="9"/>
        <v>20240115-219</v>
      </c>
      <c r="F224" s="111" t="s">
        <v>98</v>
      </c>
      <c r="G224" s="111" t="s">
        <v>99</v>
      </c>
      <c r="H224" s="112" t="s">
        <v>1045</v>
      </c>
      <c r="I224" s="113">
        <v>1621.58</v>
      </c>
      <c r="J224" s="111" t="s">
        <v>127</v>
      </c>
      <c r="K224" s="111" t="s">
        <v>1048</v>
      </c>
      <c r="L224" s="111" t="s">
        <v>129</v>
      </c>
      <c r="M224" s="111" t="s">
        <v>104</v>
      </c>
      <c r="N224" s="111" t="s">
        <v>829</v>
      </c>
      <c r="O224" s="111" t="s">
        <v>131</v>
      </c>
      <c r="P224" s="111" t="s">
        <v>830</v>
      </c>
      <c r="Q224" s="110" t="s">
        <v>133</v>
      </c>
      <c r="R224" s="110" t="s">
        <v>831</v>
      </c>
      <c r="S224" s="111" t="s">
        <v>832</v>
      </c>
      <c r="T224" s="111" t="s">
        <v>136</v>
      </c>
      <c r="U224" s="111" t="s">
        <v>129</v>
      </c>
      <c r="V224" s="118">
        <f t="shared" si="11"/>
        <v>-4.1759294513566744E-3</v>
      </c>
      <c r="W224" s="114" t="str">
        <f>IFERROR(I224-AVERAGEIFS(I$6:I223,J$6:J223,"ICIS / Platts",B$6:B223,B224),"")</f>
        <v/>
      </c>
      <c r="X224" s="110" t="s">
        <v>137</v>
      </c>
      <c r="Y224" s="117" t="str">
        <f t="shared" si="10"/>
        <v>OK</v>
      </c>
      <c r="Z224" s="111" t="s">
        <v>116</v>
      </c>
      <c r="AA224" s="111" t="s">
        <v>115</v>
      </c>
      <c r="AB224" s="111" t="s">
        <v>116</v>
      </c>
      <c r="AC224" s="111" t="s">
        <v>116</v>
      </c>
      <c r="AD224" s="111"/>
    </row>
    <row r="225" spans="2:30" ht="24.75" customHeight="1" x14ac:dyDescent="0.25">
      <c r="B225" s="115">
        <v>45308</v>
      </c>
      <c r="C225" s="116" t="s">
        <v>126</v>
      </c>
      <c r="D225" s="116">
        <v>3</v>
      </c>
      <c r="E225" s="110" t="str">
        <f t="shared" si="9"/>
        <v>20240117-220</v>
      </c>
      <c r="F225" s="111" t="s">
        <v>98</v>
      </c>
      <c r="G225" s="111" t="s">
        <v>99</v>
      </c>
      <c r="H225" s="112" t="s">
        <v>1045</v>
      </c>
      <c r="I225" s="113">
        <v>1661.53</v>
      </c>
      <c r="J225" s="111" t="s">
        <v>139</v>
      </c>
      <c r="K225" s="111" t="s">
        <v>1049</v>
      </c>
      <c r="L225" s="111" t="s">
        <v>103</v>
      </c>
      <c r="M225" s="111" t="s">
        <v>104</v>
      </c>
      <c r="N225" s="111" t="s">
        <v>824</v>
      </c>
      <c r="O225" s="111" t="s">
        <v>106</v>
      </c>
      <c r="P225" s="111" t="s">
        <v>141</v>
      </c>
      <c r="Q225" s="110" t="s">
        <v>133</v>
      </c>
      <c r="R225" s="110" t="s">
        <v>142</v>
      </c>
      <c r="S225" s="111" t="s">
        <v>825</v>
      </c>
      <c r="T225" s="111" t="s">
        <v>111</v>
      </c>
      <c r="U225" s="111" t="s">
        <v>103</v>
      </c>
      <c r="V225" s="118">
        <f t="shared" si="11"/>
        <v>8.3935182375431978E-3</v>
      </c>
      <c r="W225" s="114" t="str">
        <f>IFERROR(I225-AVERAGEIFS(I$6:I224,J$6:J224,"ICIS / Platts",B$6:B224,B225),"")</f>
        <v/>
      </c>
      <c r="X225" s="110" t="s">
        <v>125</v>
      </c>
      <c r="Y225" s="117" t="str">
        <f t="shared" si="10"/>
        <v>OK</v>
      </c>
      <c r="Z225" s="111" t="s">
        <v>116</v>
      </c>
      <c r="AA225" s="111" t="s">
        <v>115</v>
      </c>
      <c r="AB225" s="111" t="s">
        <v>116</v>
      </c>
      <c r="AC225" s="111" t="s">
        <v>116</v>
      </c>
      <c r="AD225" s="111"/>
    </row>
    <row r="226" spans="2:30" ht="24.75" customHeight="1" x14ac:dyDescent="0.25">
      <c r="B226" s="108">
        <v>45308</v>
      </c>
      <c r="C226" s="109" t="s">
        <v>126</v>
      </c>
      <c r="D226" s="109">
        <v>3</v>
      </c>
      <c r="E226" s="110" t="str">
        <f t="shared" si="9"/>
        <v>20240117-221</v>
      </c>
      <c r="F226" s="111" t="s">
        <v>98</v>
      </c>
      <c r="G226" s="111" t="s">
        <v>99</v>
      </c>
      <c r="H226" s="112" t="s">
        <v>1050</v>
      </c>
      <c r="I226" s="113">
        <v>1648</v>
      </c>
      <c r="J226" s="111" t="s">
        <v>101</v>
      </c>
      <c r="K226" s="111" t="s">
        <v>1051</v>
      </c>
      <c r="L226" s="111" t="s">
        <v>103</v>
      </c>
      <c r="M226" s="111" t="s">
        <v>104</v>
      </c>
      <c r="N226" s="111" t="s">
        <v>824</v>
      </c>
      <c r="O226" s="111" t="s">
        <v>106</v>
      </c>
      <c r="P226" s="111" t="s">
        <v>107</v>
      </c>
      <c r="Q226" s="110" t="s">
        <v>108</v>
      </c>
      <c r="R226" s="110" t="s">
        <v>109</v>
      </c>
      <c r="S226" s="111" t="s">
        <v>825</v>
      </c>
      <c r="T226" s="111" t="s">
        <v>111</v>
      </c>
      <c r="U226" s="111" t="s">
        <v>103</v>
      </c>
      <c r="V226" s="118">
        <f t="shared" si="11"/>
        <v>3.6540803897685747E-3</v>
      </c>
      <c r="W226" s="114" t="str">
        <f>IFERROR(I226-AVERAGEIFS(I$6:I225,J$6:J225,"ICIS / Platts",B$6:B225,B226),"")</f>
        <v/>
      </c>
      <c r="X226" s="110" t="s">
        <v>113</v>
      </c>
      <c r="Y226" s="117" t="str">
        <f t="shared" si="10"/>
        <v>OK</v>
      </c>
      <c r="Z226" s="111" t="s">
        <v>116</v>
      </c>
      <c r="AA226" s="111" t="s">
        <v>115</v>
      </c>
      <c r="AB226" s="111" t="s">
        <v>116</v>
      </c>
      <c r="AC226" s="111" t="s">
        <v>116</v>
      </c>
      <c r="AD226" s="111"/>
    </row>
    <row r="227" spans="2:30" ht="24.75" customHeight="1" x14ac:dyDescent="0.25">
      <c r="B227" s="115">
        <v>45308</v>
      </c>
      <c r="C227" s="116" t="s">
        <v>126</v>
      </c>
      <c r="D227" s="116">
        <v>3</v>
      </c>
      <c r="E227" s="110" t="str">
        <f t="shared" si="9"/>
        <v>20240117-222</v>
      </c>
      <c r="F227" s="111" t="s">
        <v>98</v>
      </c>
      <c r="G227" s="111" t="s">
        <v>99</v>
      </c>
      <c r="H227" s="112" t="s">
        <v>1050</v>
      </c>
      <c r="I227" s="113">
        <v>1643.78</v>
      </c>
      <c r="J227" s="111" t="s">
        <v>118</v>
      </c>
      <c r="K227" s="111" t="s">
        <v>1052</v>
      </c>
      <c r="L227" s="111" t="s">
        <v>103</v>
      </c>
      <c r="M227" s="111" t="s">
        <v>104</v>
      </c>
      <c r="N227" s="111" t="s">
        <v>827</v>
      </c>
      <c r="O227" s="111" t="s">
        <v>121</v>
      </c>
      <c r="P227" s="111" t="s">
        <v>132</v>
      </c>
      <c r="Q227" s="110" t="s">
        <v>123</v>
      </c>
      <c r="R227" s="110" t="s">
        <v>134</v>
      </c>
      <c r="S227" s="111" t="s">
        <v>825</v>
      </c>
      <c r="T227" s="111" t="s">
        <v>111</v>
      </c>
      <c r="U227" s="111" t="s">
        <v>103</v>
      </c>
      <c r="V227" s="118">
        <f t="shared" si="11"/>
        <v>-1.8823472262703635E-3</v>
      </c>
      <c r="W227" s="114">
        <f>IFERROR(I227-AVERAGEIFS(I$6:I226,J$6:J226,"ICIS / Platts",B$6:B226,B227),"")</f>
        <v>-4.2200000000000273</v>
      </c>
      <c r="X227" s="110" t="s">
        <v>125</v>
      </c>
      <c r="Y227" s="117" t="str">
        <f t="shared" si="10"/>
        <v>OK</v>
      </c>
      <c r="Z227" s="111" t="s">
        <v>116</v>
      </c>
      <c r="AA227" s="111" t="s">
        <v>115</v>
      </c>
      <c r="AB227" s="111" t="s">
        <v>116</v>
      </c>
      <c r="AC227" s="111" t="s">
        <v>116</v>
      </c>
      <c r="AD227" s="111"/>
    </row>
    <row r="228" spans="2:30" ht="24.75" customHeight="1" x14ac:dyDescent="0.25">
      <c r="B228" s="108">
        <v>45313</v>
      </c>
      <c r="C228" s="109" t="s">
        <v>97</v>
      </c>
      <c r="D228" s="109">
        <v>4</v>
      </c>
      <c r="E228" s="110" t="str">
        <f t="shared" si="9"/>
        <v>20240122-223</v>
      </c>
      <c r="F228" s="111" t="s">
        <v>98</v>
      </c>
      <c r="G228" s="111" t="s">
        <v>99</v>
      </c>
      <c r="H228" s="112" t="s">
        <v>1050</v>
      </c>
      <c r="I228" s="113">
        <v>1674.51</v>
      </c>
      <c r="J228" s="111" t="s">
        <v>127</v>
      </c>
      <c r="K228" s="111" t="s">
        <v>1053</v>
      </c>
      <c r="L228" s="111" t="s">
        <v>129</v>
      </c>
      <c r="M228" s="111" t="s">
        <v>104</v>
      </c>
      <c r="N228" s="111" t="s">
        <v>829</v>
      </c>
      <c r="O228" s="111" t="s">
        <v>131</v>
      </c>
      <c r="P228" s="111" t="s">
        <v>830</v>
      </c>
      <c r="Q228" s="110" t="s">
        <v>133</v>
      </c>
      <c r="R228" s="110" t="s">
        <v>831</v>
      </c>
      <c r="S228" s="111" t="s">
        <v>832</v>
      </c>
      <c r="T228" s="111" t="s">
        <v>136</v>
      </c>
      <c r="U228" s="111" t="s">
        <v>129</v>
      </c>
      <c r="V228" s="118">
        <f t="shared" si="11"/>
        <v>3.2641004452447657E-2</v>
      </c>
      <c r="W228" s="114" t="str">
        <f>IFERROR(I228-AVERAGEIFS(I$6:I227,J$6:J227,"ICIS / Platts",B$6:B227,B228),"")</f>
        <v/>
      </c>
      <c r="X228" s="110" t="s">
        <v>137</v>
      </c>
      <c r="Y228" s="117" t="str">
        <f t="shared" si="10"/>
        <v>OK</v>
      </c>
      <c r="Z228" s="111" t="s">
        <v>116</v>
      </c>
      <c r="AA228" s="111" t="s">
        <v>115</v>
      </c>
      <c r="AB228" s="111" t="s">
        <v>116</v>
      </c>
      <c r="AC228" s="111" t="s">
        <v>116</v>
      </c>
      <c r="AD228" s="111"/>
    </row>
    <row r="229" spans="2:30" ht="24.75" customHeight="1" x14ac:dyDescent="0.25">
      <c r="B229" s="115">
        <v>45315</v>
      </c>
      <c r="C229" s="116" t="s">
        <v>126</v>
      </c>
      <c r="D229" s="116">
        <v>4</v>
      </c>
      <c r="E229" s="110" t="str">
        <f t="shared" si="9"/>
        <v>20240124-224</v>
      </c>
      <c r="F229" s="111" t="s">
        <v>98</v>
      </c>
      <c r="G229" s="111" t="s">
        <v>99</v>
      </c>
      <c r="H229" s="112" t="s">
        <v>1050</v>
      </c>
      <c r="I229" s="113">
        <v>1643.2</v>
      </c>
      <c r="J229" s="111" t="s">
        <v>139</v>
      </c>
      <c r="K229" s="111" t="s">
        <v>1054</v>
      </c>
      <c r="L229" s="111" t="s">
        <v>103</v>
      </c>
      <c r="M229" s="111" t="s">
        <v>104</v>
      </c>
      <c r="N229" s="111" t="s">
        <v>824</v>
      </c>
      <c r="O229" s="111" t="s">
        <v>106</v>
      </c>
      <c r="P229" s="111" t="s">
        <v>141</v>
      </c>
      <c r="Q229" s="110" t="s">
        <v>133</v>
      </c>
      <c r="R229" s="110" t="s">
        <v>142</v>
      </c>
      <c r="S229" s="111" t="s">
        <v>825</v>
      </c>
      <c r="T229" s="111" t="s">
        <v>111</v>
      </c>
      <c r="U229" s="111" t="s">
        <v>103</v>
      </c>
      <c r="V229" s="118">
        <f t="shared" si="11"/>
        <v>-1.1032000625929069E-2</v>
      </c>
      <c r="W229" s="114" t="str">
        <f>IFERROR(I229-AVERAGEIFS(I$6:I228,J$6:J228,"ICIS / Platts",B$6:B228,B229),"")</f>
        <v/>
      </c>
      <c r="X229" s="110" t="s">
        <v>125</v>
      </c>
      <c r="Y229" s="117" t="str">
        <f t="shared" si="10"/>
        <v>OK</v>
      </c>
      <c r="Z229" s="111" t="s">
        <v>116</v>
      </c>
      <c r="AA229" s="111" t="s">
        <v>115</v>
      </c>
      <c r="AB229" s="111" t="s">
        <v>116</v>
      </c>
      <c r="AC229" s="111" t="s">
        <v>116</v>
      </c>
      <c r="AD229" s="111"/>
    </row>
    <row r="230" spans="2:30" ht="24.75" customHeight="1" x14ac:dyDescent="0.25">
      <c r="B230" s="108">
        <v>45315</v>
      </c>
      <c r="C230" s="109" t="s">
        <v>126</v>
      </c>
      <c r="D230" s="109">
        <v>4</v>
      </c>
      <c r="E230" s="110" t="str">
        <f t="shared" si="9"/>
        <v>20240124-225</v>
      </c>
      <c r="F230" s="111" t="s">
        <v>98</v>
      </c>
      <c r="G230" s="111" t="s">
        <v>99</v>
      </c>
      <c r="H230" s="112" t="s">
        <v>1055</v>
      </c>
      <c r="I230" s="113">
        <v>1652</v>
      </c>
      <c r="J230" s="111" t="s">
        <v>101</v>
      </c>
      <c r="K230" s="111" t="s">
        <v>1056</v>
      </c>
      <c r="L230" s="111" t="s">
        <v>103</v>
      </c>
      <c r="M230" s="111" t="s">
        <v>104</v>
      </c>
      <c r="N230" s="111" t="s">
        <v>824</v>
      </c>
      <c r="O230" s="111" t="s">
        <v>106</v>
      </c>
      <c r="P230" s="111" t="s">
        <v>107</v>
      </c>
      <c r="Q230" s="110" t="s">
        <v>108</v>
      </c>
      <c r="R230" s="110" t="s">
        <v>109</v>
      </c>
      <c r="S230" s="111" t="s">
        <v>825</v>
      </c>
      <c r="T230" s="111" t="s">
        <v>111</v>
      </c>
      <c r="U230" s="111" t="s">
        <v>103</v>
      </c>
      <c r="V230" s="118">
        <f t="shared" si="11"/>
        <v>2.4271844660194173E-3</v>
      </c>
      <c r="W230" s="114" t="str">
        <f>IFERROR(I230-AVERAGEIFS(I$6:I229,J$6:J229,"ICIS / Platts",B$6:B229,B230),"")</f>
        <v/>
      </c>
      <c r="X230" s="110" t="s">
        <v>113</v>
      </c>
      <c r="Y230" s="117" t="str">
        <f t="shared" si="10"/>
        <v>OK</v>
      </c>
      <c r="Z230" s="111" t="s">
        <v>116</v>
      </c>
      <c r="AA230" s="111" t="s">
        <v>115</v>
      </c>
      <c r="AB230" s="111" t="s">
        <v>116</v>
      </c>
      <c r="AC230" s="111" t="s">
        <v>116</v>
      </c>
      <c r="AD230" s="111"/>
    </row>
    <row r="231" spans="2:30" ht="24.75" customHeight="1" x14ac:dyDescent="0.25">
      <c r="B231" s="115">
        <v>45315</v>
      </c>
      <c r="C231" s="116" t="s">
        <v>126</v>
      </c>
      <c r="D231" s="116">
        <v>4</v>
      </c>
      <c r="E231" s="110" t="str">
        <f t="shared" si="9"/>
        <v>20240124-226</v>
      </c>
      <c r="F231" s="111" t="s">
        <v>98</v>
      </c>
      <c r="G231" s="111" t="s">
        <v>99</v>
      </c>
      <c r="H231" s="112" t="s">
        <v>1055</v>
      </c>
      <c r="I231" s="113">
        <v>1692.31</v>
      </c>
      <c r="J231" s="111" t="s">
        <v>118</v>
      </c>
      <c r="K231" s="111" t="s">
        <v>1057</v>
      </c>
      <c r="L231" s="111" t="s">
        <v>103</v>
      </c>
      <c r="M231" s="111" t="s">
        <v>104</v>
      </c>
      <c r="N231" s="111" t="s">
        <v>827</v>
      </c>
      <c r="O231" s="111" t="s">
        <v>121</v>
      </c>
      <c r="P231" s="111" t="s">
        <v>132</v>
      </c>
      <c r="Q231" s="110" t="s">
        <v>123</v>
      </c>
      <c r="R231" s="110" t="s">
        <v>134</v>
      </c>
      <c r="S231" s="111" t="s">
        <v>825</v>
      </c>
      <c r="T231" s="111" t="s">
        <v>111</v>
      </c>
      <c r="U231" s="111" t="s">
        <v>103</v>
      </c>
      <c r="V231" s="118">
        <f t="shared" si="11"/>
        <v>2.9523415542225828E-2</v>
      </c>
      <c r="W231" s="114">
        <f>IFERROR(I231-AVERAGEIFS(I$6:I230,J$6:J230,"ICIS / Platts",B$6:B230,B231),"")</f>
        <v>40.309999999999945</v>
      </c>
      <c r="X231" s="110" t="s">
        <v>125</v>
      </c>
      <c r="Y231" s="117" t="str">
        <f t="shared" si="10"/>
        <v>OK</v>
      </c>
      <c r="Z231" s="111" t="s">
        <v>116</v>
      </c>
      <c r="AA231" s="111" t="s">
        <v>115</v>
      </c>
      <c r="AB231" s="111" t="s">
        <v>116</v>
      </c>
      <c r="AC231" s="111" t="s">
        <v>116</v>
      </c>
      <c r="AD231" s="111"/>
    </row>
    <row r="232" spans="2:30" ht="24.75" customHeight="1" x14ac:dyDescent="0.25">
      <c r="B232" s="108">
        <v>45320</v>
      </c>
      <c r="C232" s="109" t="s">
        <v>97</v>
      </c>
      <c r="D232" s="109">
        <v>5</v>
      </c>
      <c r="E232" s="110" t="str">
        <f t="shared" si="9"/>
        <v>20240129-227</v>
      </c>
      <c r="F232" s="111" t="s">
        <v>98</v>
      </c>
      <c r="G232" s="111" t="s">
        <v>99</v>
      </c>
      <c r="H232" s="112" t="s">
        <v>1055</v>
      </c>
      <c r="I232" s="113">
        <v>1673.36</v>
      </c>
      <c r="J232" s="111" t="s">
        <v>127</v>
      </c>
      <c r="K232" s="111" t="s">
        <v>1058</v>
      </c>
      <c r="L232" s="111" t="s">
        <v>129</v>
      </c>
      <c r="M232" s="111" t="s">
        <v>104</v>
      </c>
      <c r="N232" s="111" t="s">
        <v>829</v>
      </c>
      <c r="O232" s="111" t="s">
        <v>131</v>
      </c>
      <c r="P232" s="111" t="s">
        <v>830</v>
      </c>
      <c r="Q232" s="110" t="s">
        <v>133</v>
      </c>
      <c r="R232" s="110" t="s">
        <v>831</v>
      </c>
      <c r="S232" s="111" t="s">
        <v>832</v>
      </c>
      <c r="T232" s="111" t="s">
        <v>136</v>
      </c>
      <c r="U232" s="111" t="s">
        <v>129</v>
      </c>
      <c r="V232" s="118">
        <f t="shared" si="11"/>
        <v>-6.8676806946515155E-4</v>
      </c>
      <c r="W232" s="114" t="str">
        <f>IFERROR(I232-AVERAGEIFS(I$6:I231,J$6:J231,"ICIS / Platts",B$6:B231,B232),"")</f>
        <v/>
      </c>
      <c r="X232" s="110" t="s">
        <v>137</v>
      </c>
      <c r="Y232" s="117" t="str">
        <f t="shared" si="10"/>
        <v>OK</v>
      </c>
      <c r="Z232" s="111" t="s">
        <v>116</v>
      </c>
      <c r="AA232" s="111" t="s">
        <v>115</v>
      </c>
      <c r="AB232" s="111" t="s">
        <v>116</v>
      </c>
      <c r="AC232" s="111" t="s">
        <v>116</v>
      </c>
      <c r="AD232" s="111"/>
    </row>
    <row r="233" spans="2:30" ht="24.75" customHeight="1" x14ac:dyDescent="0.25">
      <c r="B233" s="115">
        <v>45322</v>
      </c>
      <c r="C233" s="116" t="s">
        <v>126</v>
      </c>
      <c r="D233" s="116">
        <v>5</v>
      </c>
      <c r="E233" s="110" t="str">
        <f t="shared" si="9"/>
        <v>20240131-228</v>
      </c>
      <c r="F233" s="111" t="s">
        <v>98</v>
      </c>
      <c r="G233" s="111" t="s">
        <v>99</v>
      </c>
      <c r="H233" s="112" t="s">
        <v>1055</v>
      </c>
      <c r="I233" s="113">
        <v>1679.26</v>
      </c>
      <c r="J233" s="111" t="s">
        <v>139</v>
      </c>
      <c r="K233" s="111" t="s">
        <v>1059</v>
      </c>
      <c r="L233" s="111" t="s">
        <v>103</v>
      </c>
      <c r="M233" s="111" t="s">
        <v>104</v>
      </c>
      <c r="N233" s="111" t="s">
        <v>824</v>
      </c>
      <c r="O233" s="111" t="s">
        <v>106</v>
      </c>
      <c r="P233" s="111" t="s">
        <v>141</v>
      </c>
      <c r="Q233" s="110" t="s">
        <v>133</v>
      </c>
      <c r="R233" s="110" t="s">
        <v>142</v>
      </c>
      <c r="S233" s="111" t="s">
        <v>825</v>
      </c>
      <c r="T233" s="111" t="s">
        <v>111</v>
      </c>
      <c r="U233" s="111" t="s">
        <v>103</v>
      </c>
      <c r="V233" s="118">
        <f t="shared" si="11"/>
        <v>2.194498539435245E-2</v>
      </c>
      <c r="W233" s="114" t="str">
        <f>IFERROR(I233-AVERAGEIFS(I$6:I232,J$6:J232,"ICIS / Platts",B$6:B232,B233),"")</f>
        <v/>
      </c>
      <c r="X233" s="110" t="s">
        <v>125</v>
      </c>
      <c r="Y233" s="117" t="str">
        <f t="shared" si="10"/>
        <v>OK</v>
      </c>
      <c r="Z233" s="111" t="s">
        <v>116</v>
      </c>
      <c r="AA233" s="111" t="s">
        <v>115</v>
      </c>
      <c r="AB233" s="111" t="s">
        <v>116</v>
      </c>
      <c r="AC233" s="111" t="s">
        <v>116</v>
      </c>
      <c r="AD233" s="111"/>
    </row>
    <row r="234" spans="2:30" ht="24.75" customHeight="1" x14ac:dyDescent="0.25">
      <c r="B234" s="108">
        <v>45322</v>
      </c>
      <c r="C234" s="109" t="s">
        <v>126</v>
      </c>
      <c r="D234" s="109">
        <v>5</v>
      </c>
      <c r="E234" s="110" t="str">
        <f t="shared" si="9"/>
        <v>20240131-229</v>
      </c>
      <c r="F234" s="111" t="s">
        <v>98</v>
      </c>
      <c r="G234" s="111" t="s">
        <v>99</v>
      </c>
      <c r="H234" s="112" t="s">
        <v>1060</v>
      </c>
      <c r="I234" s="113">
        <v>1645</v>
      </c>
      <c r="J234" s="111" t="s">
        <v>101</v>
      </c>
      <c r="K234" s="111" t="s">
        <v>1061</v>
      </c>
      <c r="L234" s="111" t="s">
        <v>103</v>
      </c>
      <c r="M234" s="111" t="s">
        <v>104</v>
      </c>
      <c r="N234" s="111" t="s">
        <v>824</v>
      </c>
      <c r="O234" s="111" t="s">
        <v>106</v>
      </c>
      <c r="P234" s="111" t="s">
        <v>107</v>
      </c>
      <c r="Q234" s="110" t="s">
        <v>108</v>
      </c>
      <c r="R234" s="110" t="s">
        <v>109</v>
      </c>
      <c r="S234" s="111" t="s">
        <v>825</v>
      </c>
      <c r="T234" s="111" t="s">
        <v>111</v>
      </c>
      <c r="U234" s="111" t="s">
        <v>103</v>
      </c>
      <c r="V234" s="118">
        <f t="shared" si="11"/>
        <v>-4.2372881355932203E-3</v>
      </c>
      <c r="W234" s="114" t="str">
        <f>IFERROR(I234-AVERAGEIFS(I$6:I233,J$6:J233,"ICIS / Platts",B$6:B233,B234),"")</f>
        <v/>
      </c>
      <c r="X234" s="110" t="s">
        <v>113</v>
      </c>
      <c r="Y234" s="117" t="str">
        <f t="shared" si="10"/>
        <v>OK</v>
      </c>
      <c r="Z234" s="111" t="s">
        <v>116</v>
      </c>
      <c r="AA234" s="111" t="s">
        <v>115</v>
      </c>
      <c r="AB234" s="111" t="s">
        <v>116</v>
      </c>
      <c r="AC234" s="111" t="s">
        <v>116</v>
      </c>
      <c r="AD234" s="111"/>
    </row>
    <row r="235" spans="2:30" ht="24.75" customHeight="1" x14ac:dyDescent="0.25">
      <c r="B235" s="115">
        <v>45322</v>
      </c>
      <c r="C235" s="116" t="s">
        <v>126</v>
      </c>
      <c r="D235" s="116">
        <v>5</v>
      </c>
      <c r="E235" s="110" t="str">
        <f t="shared" si="9"/>
        <v>20240131-230</v>
      </c>
      <c r="F235" s="111" t="s">
        <v>98</v>
      </c>
      <c r="G235" s="111" t="s">
        <v>99</v>
      </c>
      <c r="H235" s="112" t="s">
        <v>1060</v>
      </c>
      <c r="I235" s="113">
        <v>1668.49</v>
      </c>
      <c r="J235" s="111" t="s">
        <v>118</v>
      </c>
      <c r="K235" s="111" t="s">
        <v>1062</v>
      </c>
      <c r="L235" s="111" t="s">
        <v>103</v>
      </c>
      <c r="M235" s="111" t="s">
        <v>104</v>
      </c>
      <c r="N235" s="111" t="s">
        <v>827</v>
      </c>
      <c r="O235" s="111" t="s">
        <v>121</v>
      </c>
      <c r="P235" s="111" t="s">
        <v>132</v>
      </c>
      <c r="Q235" s="110" t="s">
        <v>123</v>
      </c>
      <c r="R235" s="110" t="s">
        <v>134</v>
      </c>
      <c r="S235" s="111" t="s">
        <v>825</v>
      </c>
      <c r="T235" s="111" t="s">
        <v>111</v>
      </c>
      <c r="U235" s="111" t="s">
        <v>103</v>
      </c>
      <c r="V235" s="118">
        <f t="shared" si="11"/>
        <v>-1.4075435351679029E-2</v>
      </c>
      <c r="W235" s="114">
        <f>IFERROR(I235-AVERAGEIFS(I$6:I234,J$6:J234,"ICIS / Platts",B$6:B234,B235),"")</f>
        <v>23.490000000000009</v>
      </c>
      <c r="X235" s="110" t="s">
        <v>125</v>
      </c>
      <c r="Y235" s="117" t="str">
        <f t="shared" si="10"/>
        <v>OK</v>
      </c>
      <c r="Z235" s="111" t="s">
        <v>116</v>
      </c>
      <c r="AA235" s="111" t="s">
        <v>115</v>
      </c>
      <c r="AB235" s="111" t="s">
        <v>116</v>
      </c>
      <c r="AC235" s="111" t="s">
        <v>116</v>
      </c>
      <c r="AD235" s="111"/>
    </row>
    <row r="236" spans="2:30" ht="24.75" customHeight="1" x14ac:dyDescent="0.25">
      <c r="B236" s="108">
        <v>45327</v>
      </c>
      <c r="C236" s="109" t="s">
        <v>97</v>
      </c>
      <c r="D236" s="109">
        <v>6</v>
      </c>
      <c r="E236" s="110" t="str">
        <f t="shared" si="9"/>
        <v>20240205-231</v>
      </c>
      <c r="F236" s="111" t="s">
        <v>98</v>
      </c>
      <c r="G236" s="111" t="s">
        <v>99</v>
      </c>
      <c r="H236" s="112" t="s">
        <v>1060</v>
      </c>
      <c r="I236" s="113">
        <v>1620.72</v>
      </c>
      <c r="J236" s="111" t="s">
        <v>127</v>
      </c>
      <c r="K236" s="111" t="s">
        <v>1063</v>
      </c>
      <c r="L236" s="111" t="s">
        <v>129</v>
      </c>
      <c r="M236" s="111" t="s">
        <v>104</v>
      </c>
      <c r="N236" s="111" t="s">
        <v>829</v>
      </c>
      <c r="O236" s="111" t="s">
        <v>131</v>
      </c>
      <c r="P236" s="111" t="s">
        <v>830</v>
      </c>
      <c r="Q236" s="110" t="s">
        <v>133</v>
      </c>
      <c r="R236" s="110" t="s">
        <v>831</v>
      </c>
      <c r="S236" s="111" t="s">
        <v>832</v>
      </c>
      <c r="T236" s="111" t="s">
        <v>136</v>
      </c>
      <c r="U236" s="111" t="s">
        <v>129</v>
      </c>
      <c r="V236" s="118">
        <f t="shared" si="11"/>
        <v>-3.1457666013290551E-2</v>
      </c>
      <c r="W236" s="114" t="str">
        <f>IFERROR(I236-AVERAGEIFS(I$6:I235,J$6:J235,"ICIS / Platts",B$6:B235,B236),"")</f>
        <v/>
      </c>
      <c r="X236" s="110" t="s">
        <v>137</v>
      </c>
      <c r="Y236" s="117" t="str">
        <f t="shared" si="10"/>
        <v>OK</v>
      </c>
      <c r="Z236" s="111" t="s">
        <v>116</v>
      </c>
      <c r="AA236" s="111" t="s">
        <v>115</v>
      </c>
      <c r="AB236" s="111" t="s">
        <v>116</v>
      </c>
      <c r="AC236" s="111" t="s">
        <v>116</v>
      </c>
      <c r="AD236" s="111"/>
    </row>
    <row r="237" spans="2:30" ht="24.75" customHeight="1" x14ac:dyDescent="0.25">
      <c r="B237" s="115">
        <v>45329</v>
      </c>
      <c r="C237" s="116" t="s">
        <v>126</v>
      </c>
      <c r="D237" s="116">
        <v>6</v>
      </c>
      <c r="E237" s="110" t="str">
        <f t="shared" si="9"/>
        <v>20240207-232</v>
      </c>
      <c r="F237" s="111" t="s">
        <v>98</v>
      </c>
      <c r="G237" s="111" t="s">
        <v>99</v>
      </c>
      <c r="H237" s="112" t="s">
        <v>1060</v>
      </c>
      <c r="I237" s="113">
        <v>1632.84</v>
      </c>
      <c r="J237" s="111" t="s">
        <v>139</v>
      </c>
      <c r="K237" s="111" t="s">
        <v>1064</v>
      </c>
      <c r="L237" s="111" t="s">
        <v>103</v>
      </c>
      <c r="M237" s="111" t="s">
        <v>104</v>
      </c>
      <c r="N237" s="111" t="s">
        <v>824</v>
      </c>
      <c r="O237" s="111" t="s">
        <v>106</v>
      </c>
      <c r="P237" s="111" t="s">
        <v>141</v>
      </c>
      <c r="Q237" s="110" t="s">
        <v>133</v>
      </c>
      <c r="R237" s="110" t="s">
        <v>142</v>
      </c>
      <c r="S237" s="111" t="s">
        <v>825</v>
      </c>
      <c r="T237" s="111" t="s">
        <v>111</v>
      </c>
      <c r="U237" s="111" t="s">
        <v>103</v>
      </c>
      <c r="V237" s="118">
        <f t="shared" si="11"/>
        <v>-2.7643128520896152E-2</v>
      </c>
      <c r="W237" s="114" t="str">
        <f>IFERROR(I237-AVERAGEIFS(I$6:I236,J$6:J236,"ICIS / Platts",B$6:B236,B237),"")</f>
        <v/>
      </c>
      <c r="X237" s="110" t="s">
        <v>125</v>
      </c>
      <c r="Y237" s="117" t="str">
        <f t="shared" si="10"/>
        <v>OK</v>
      </c>
      <c r="Z237" s="111" t="s">
        <v>116</v>
      </c>
      <c r="AA237" s="111" t="s">
        <v>115</v>
      </c>
      <c r="AB237" s="111" t="s">
        <v>116</v>
      </c>
      <c r="AC237" s="111" t="s">
        <v>116</v>
      </c>
      <c r="AD237" s="111"/>
    </row>
    <row r="238" spans="2:30" ht="24.75" customHeight="1" x14ac:dyDescent="0.25">
      <c r="B238" s="108">
        <v>45329</v>
      </c>
      <c r="C238" s="109" t="s">
        <v>126</v>
      </c>
      <c r="D238" s="109">
        <v>6</v>
      </c>
      <c r="E238" s="110" t="str">
        <f t="shared" si="9"/>
        <v>20240207-233</v>
      </c>
      <c r="F238" s="111" t="s">
        <v>98</v>
      </c>
      <c r="G238" s="111" t="s">
        <v>99</v>
      </c>
      <c r="H238" s="112" t="s">
        <v>1065</v>
      </c>
      <c r="I238" s="113">
        <v>1640</v>
      </c>
      <c r="J238" s="111" t="s">
        <v>101</v>
      </c>
      <c r="K238" s="111" t="s">
        <v>1066</v>
      </c>
      <c r="L238" s="111" t="s">
        <v>103</v>
      </c>
      <c r="M238" s="111" t="s">
        <v>104</v>
      </c>
      <c r="N238" s="111" t="s">
        <v>824</v>
      </c>
      <c r="O238" s="111" t="s">
        <v>106</v>
      </c>
      <c r="P238" s="111" t="s">
        <v>107</v>
      </c>
      <c r="Q238" s="110" t="s">
        <v>108</v>
      </c>
      <c r="R238" s="110" t="s">
        <v>109</v>
      </c>
      <c r="S238" s="111" t="s">
        <v>825</v>
      </c>
      <c r="T238" s="111" t="s">
        <v>111</v>
      </c>
      <c r="U238" s="111" t="s">
        <v>103</v>
      </c>
      <c r="V238" s="118">
        <f t="shared" si="11"/>
        <v>-3.0395136778115501E-3</v>
      </c>
      <c r="W238" s="114" t="str">
        <f>IFERROR(I238-AVERAGEIFS(I$6:I237,J$6:J237,"ICIS / Platts",B$6:B237,B238),"")</f>
        <v/>
      </c>
      <c r="X238" s="110" t="s">
        <v>113</v>
      </c>
      <c r="Y238" s="117" t="str">
        <f t="shared" si="10"/>
        <v>OK</v>
      </c>
      <c r="Z238" s="111" t="s">
        <v>115</v>
      </c>
      <c r="AA238" s="111" t="s">
        <v>115</v>
      </c>
      <c r="AB238" s="111" t="s">
        <v>116</v>
      </c>
      <c r="AC238" s="111" t="s">
        <v>116</v>
      </c>
      <c r="AD238" s="111"/>
    </row>
    <row r="239" spans="2:30" ht="24.75" customHeight="1" x14ac:dyDescent="0.25">
      <c r="B239" s="115">
        <v>45329</v>
      </c>
      <c r="C239" s="116" t="s">
        <v>126</v>
      </c>
      <c r="D239" s="116">
        <v>6</v>
      </c>
      <c r="E239" s="110" t="str">
        <f t="shared" si="9"/>
        <v>20240207-234</v>
      </c>
      <c r="F239" s="111" t="s">
        <v>98</v>
      </c>
      <c r="G239" s="111" t="s">
        <v>99</v>
      </c>
      <c r="H239" s="112" t="s">
        <v>1065</v>
      </c>
      <c r="I239" s="113">
        <v>1682.17</v>
      </c>
      <c r="J239" s="111" t="s">
        <v>118</v>
      </c>
      <c r="K239" s="111" t="s">
        <v>1067</v>
      </c>
      <c r="L239" s="111" t="s">
        <v>103</v>
      </c>
      <c r="M239" s="111" t="s">
        <v>104</v>
      </c>
      <c r="N239" s="111" t="s">
        <v>827</v>
      </c>
      <c r="O239" s="111" t="s">
        <v>121</v>
      </c>
      <c r="P239" s="111" t="s">
        <v>132</v>
      </c>
      <c r="Q239" s="110" t="s">
        <v>123</v>
      </c>
      <c r="R239" s="110" t="s">
        <v>134</v>
      </c>
      <c r="S239" s="111" t="s">
        <v>825</v>
      </c>
      <c r="T239" s="111" t="s">
        <v>111</v>
      </c>
      <c r="U239" s="111" t="s">
        <v>103</v>
      </c>
      <c r="V239" s="118">
        <f t="shared" si="11"/>
        <v>8.1990302608946197E-3</v>
      </c>
      <c r="W239" s="114">
        <f>IFERROR(I239-AVERAGEIFS(I$6:I238,J$6:J238,"ICIS / Platts",B$6:B238,B239),"")</f>
        <v>42.170000000000073</v>
      </c>
      <c r="X239" s="110" t="s">
        <v>125</v>
      </c>
      <c r="Y239" s="117" t="str">
        <f t="shared" si="10"/>
        <v>OK</v>
      </c>
      <c r="Z239" s="111" t="s">
        <v>115</v>
      </c>
      <c r="AA239" s="111" t="s">
        <v>115</v>
      </c>
      <c r="AB239" s="111" t="s">
        <v>116</v>
      </c>
      <c r="AC239" s="111" t="s">
        <v>116</v>
      </c>
      <c r="AD239" s="111"/>
    </row>
    <row r="240" spans="2:30" ht="24.75" customHeight="1" x14ac:dyDescent="0.25">
      <c r="B240" s="108">
        <v>45334</v>
      </c>
      <c r="C240" s="109" t="s">
        <v>97</v>
      </c>
      <c r="D240" s="109">
        <v>7</v>
      </c>
      <c r="E240" s="110" t="str">
        <f t="shared" si="9"/>
        <v>20240212-235</v>
      </c>
      <c r="F240" s="111" t="s">
        <v>98</v>
      </c>
      <c r="G240" s="111" t="s">
        <v>99</v>
      </c>
      <c r="H240" s="112" t="s">
        <v>1065</v>
      </c>
      <c r="I240" s="113">
        <v>1644.9</v>
      </c>
      <c r="J240" s="111" t="s">
        <v>127</v>
      </c>
      <c r="K240" s="111" t="s">
        <v>1053</v>
      </c>
      <c r="L240" s="111" t="s">
        <v>129</v>
      </c>
      <c r="M240" s="111" t="s">
        <v>104</v>
      </c>
      <c r="N240" s="111" t="s">
        <v>829</v>
      </c>
      <c r="O240" s="111" t="s">
        <v>131</v>
      </c>
      <c r="P240" s="111" t="s">
        <v>830</v>
      </c>
      <c r="Q240" s="110" t="s">
        <v>133</v>
      </c>
      <c r="R240" s="110" t="s">
        <v>831</v>
      </c>
      <c r="S240" s="111" t="s">
        <v>832</v>
      </c>
      <c r="T240" s="111" t="s">
        <v>136</v>
      </c>
      <c r="U240" s="111" t="s">
        <v>129</v>
      </c>
      <c r="V240" s="118">
        <f t="shared" si="11"/>
        <v>1.4919295128091257E-2</v>
      </c>
      <c r="W240" s="114" t="str">
        <f>IFERROR(I240-AVERAGEIFS(I$6:I239,J$6:J239,"ICIS / Platts",B$6:B239,B240),"")</f>
        <v/>
      </c>
      <c r="X240" s="110" t="s">
        <v>137</v>
      </c>
      <c r="Y240" s="117" t="str">
        <f t="shared" si="10"/>
        <v>OK</v>
      </c>
      <c r="Z240" s="111" t="s">
        <v>115</v>
      </c>
      <c r="AA240" s="111" t="s">
        <v>115</v>
      </c>
      <c r="AB240" s="111" t="s">
        <v>116</v>
      </c>
      <c r="AC240" s="111" t="s">
        <v>116</v>
      </c>
      <c r="AD240" s="111"/>
    </row>
    <row r="241" spans="2:30" ht="24.75" customHeight="1" x14ac:dyDescent="0.25">
      <c r="B241" s="115">
        <v>45336</v>
      </c>
      <c r="C241" s="116" t="s">
        <v>126</v>
      </c>
      <c r="D241" s="116">
        <v>7</v>
      </c>
      <c r="E241" s="110" t="str">
        <f t="shared" si="9"/>
        <v>20240214-236</v>
      </c>
      <c r="F241" s="111" t="s">
        <v>98</v>
      </c>
      <c r="G241" s="111" t="s">
        <v>99</v>
      </c>
      <c r="H241" s="112" t="s">
        <v>1065</v>
      </c>
      <c r="I241" s="113">
        <v>1670.31</v>
      </c>
      <c r="J241" s="111" t="s">
        <v>139</v>
      </c>
      <c r="K241" s="111" t="s">
        <v>1068</v>
      </c>
      <c r="L241" s="111" t="s">
        <v>103</v>
      </c>
      <c r="M241" s="111" t="s">
        <v>104</v>
      </c>
      <c r="N241" s="111" t="s">
        <v>824</v>
      </c>
      <c r="O241" s="111" t="s">
        <v>106</v>
      </c>
      <c r="P241" s="111" t="s">
        <v>141</v>
      </c>
      <c r="Q241" s="110" t="s">
        <v>133</v>
      </c>
      <c r="R241" s="110" t="s">
        <v>142</v>
      </c>
      <c r="S241" s="111" t="s">
        <v>825</v>
      </c>
      <c r="T241" s="111" t="s">
        <v>111</v>
      </c>
      <c r="U241" s="111" t="s">
        <v>103</v>
      </c>
      <c r="V241" s="118">
        <f t="shared" si="11"/>
        <v>2.2947747482913224E-2</v>
      </c>
      <c r="W241" s="114" t="str">
        <f>IFERROR(I241-AVERAGEIFS(I$6:I240,J$6:J240,"ICIS / Platts",B$6:B240,B241),"")</f>
        <v/>
      </c>
      <c r="X241" s="110" t="s">
        <v>125</v>
      </c>
      <c r="Y241" s="117" t="str">
        <f t="shared" si="10"/>
        <v>OK</v>
      </c>
      <c r="Z241" s="111" t="s">
        <v>115</v>
      </c>
      <c r="AA241" s="111" t="s">
        <v>115</v>
      </c>
      <c r="AB241" s="111" t="s">
        <v>116</v>
      </c>
      <c r="AC241" s="111" t="s">
        <v>116</v>
      </c>
      <c r="AD241" s="111"/>
    </row>
    <row r="242" spans="2:30" ht="24.75" customHeight="1" x14ac:dyDescent="0.25">
      <c r="B242" s="108">
        <v>45336</v>
      </c>
      <c r="C242" s="109" t="s">
        <v>126</v>
      </c>
      <c r="D242" s="109">
        <v>7</v>
      </c>
      <c r="E242" s="110" t="str">
        <f t="shared" si="9"/>
        <v>20240214-237</v>
      </c>
      <c r="F242" s="111" t="s">
        <v>98</v>
      </c>
      <c r="G242" s="111" t="s">
        <v>99</v>
      </c>
      <c r="H242" s="112" t="s">
        <v>1069</v>
      </c>
      <c r="I242" s="113">
        <v>1635</v>
      </c>
      <c r="J242" s="111" t="s">
        <v>101</v>
      </c>
      <c r="K242" s="111" t="s">
        <v>1070</v>
      </c>
      <c r="L242" s="111" t="s">
        <v>103</v>
      </c>
      <c r="M242" s="111" t="s">
        <v>104</v>
      </c>
      <c r="N242" s="111" t="s">
        <v>824</v>
      </c>
      <c r="O242" s="111" t="s">
        <v>106</v>
      </c>
      <c r="P242" s="111" t="s">
        <v>107</v>
      </c>
      <c r="Q242" s="110" t="s">
        <v>108</v>
      </c>
      <c r="R242" s="110" t="s">
        <v>109</v>
      </c>
      <c r="S242" s="111" t="s">
        <v>825</v>
      </c>
      <c r="T242" s="111" t="s">
        <v>111</v>
      </c>
      <c r="U242" s="111" t="s">
        <v>103</v>
      </c>
      <c r="V242" s="118">
        <f t="shared" si="11"/>
        <v>-3.0487804878048782E-3</v>
      </c>
      <c r="W242" s="114" t="str">
        <f>IFERROR(I242-AVERAGEIFS(I$6:I241,J$6:J241,"ICIS / Platts",B$6:B241,B242),"")</f>
        <v/>
      </c>
      <c r="X242" s="110" t="s">
        <v>113</v>
      </c>
      <c r="Y242" s="117" t="str">
        <f t="shared" si="10"/>
        <v>OK</v>
      </c>
      <c r="Z242" s="111" t="s">
        <v>116</v>
      </c>
      <c r="AA242" s="111" t="s">
        <v>115</v>
      </c>
      <c r="AB242" s="111" t="s">
        <v>116</v>
      </c>
      <c r="AC242" s="111" t="s">
        <v>115</v>
      </c>
      <c r="AD242" s="111"/>
    </row>
    <row r="243" spans="2:30" ht="24.75" customHeight="1" x14ac:dyDescent="0.25">
      <c r="B243" s="115">
        <v>45336</v>
      </c>
      <c r="C243" s="116" t="s">
        <v>126</v>
      </c>
      <c r="D243" s="116">
        <v>7</v>
      </c>
      <c r="E243" s="110" t="str">
        <f t="shared" si="9"/>
        <v>20240214-238</v>
      </c>
      <c r="F243" s="111" t="s">
        <v>98</v>
      </c>
      <c r="G243" s="111" t="s">
        <v>99</v>
      </c>
      <c r="H243" s="112" t="s">
        <v>1069</v>
      </c>
      <c r="I243" s="113">
        <v>1666.41</v>
      </c>
      <c r="J243" s="111" t="s">
        <v>118</v>
      </c>
      <c r="K243" s="111" t="s">
        <v>1071</v>
      </c>
      <c r="L243" s="111" t="s">
        <v>103</v>
      </c>
      <c r="M243" s="111" t="s">
        <v>104</v>
      </c>
      <c r="N243" s="111" t="s">
        <v>827</v>
      </c>
      <c r="O243" s="111" t="s">
        <v>121</v>
      </c>
      <c r="P243" s="111" t="s">
        <v>132</v>
      </c>
      <c r="Q243" s="110" t="s">
        <v>123</v>
      </c>
      <c r="R243" s="110" t="s">
        <v>134</v>
      </c>
      <c r="S243" s="111" t="s">
        <v>825</v>
      </c>
      <c r="T243" s="111" t="s">
        <v>111</v>
      </c>
      <c r="U243" s="111" t="s">
        <v>103</v>
      </c>
      <c r="V243" s="118">
        <f t="shared" si="11"/>
        <v>-9.3688509484772583E-3</v>
      </c>
      <c r="W243" s="114">
        <f>IFERROR(I243-AVERAGEIFS(I$6:I242,J$6:J242,"ICIS / Platts",B$6:B242,B243),"")</f>
        <v>31.410000000000082</v>
      </c>
      <c r="X243" s="110" t="s">
        <v>125</v>
      </c>
      <c r="Y243" s="117" t="str">
        <f t="shared" si="10"/>
        <v>OK</v>
      </c>
      <c r="Z243" s="111" t="s">
        <v>116</v>
      </c>
      <c r="AA243" s="111" t="s">
        <v>115</v>
      </c>
      <c r="AB243" s="111" t="s">
        <v>116</v>
      </c>
      <c r="AC243" s="111" t="s">
        <v>115</v>
      </c>
      <c r="AD243" s="111"/>
    </row>
    <row r="244" spans="2:30" ht="24.75" customHeight="1" x14ac:dyDescent="0.25">
      <c r="B244" s="108">
        <v>45341</v>
      </c>
      <c r="C244" s="109" t="s">
        <v>97</v>
      </c>
      <c r="D244" s="109">
        <v>8</v>
      </c>
      <c r="E244" s="110" t="str">
        <f t="shared" si="9"/>
        <v>20240219-239</v>
      </c>
      <c r="F244" s="111" t="s">
        <v>98</v>
      </c>
      <c r="G244" s="111" t="s">
        <v>99</v>
      </c>
      <c r="H244" s="112" t="s">
        <v>1069</v>
      </c>
      <c r="I244" s="113">
        <v>1658.84</v>
      </c>
      <c r="J244" s="111" t="s">
        <v>127</v>
      </c>
      <c r="K244" s="111" t="s">
        <v>1072</v>
      </c>
      <c r="L244" s="111" t="s">
        <v>129</v>
      </c>
      <c r="M244" s="111" t="s">
        <v>104</v>
      </c>
      <c r="N244" s="111" t="s">
        <v>829</v>
      </c>
      <c r="O244" s="111" t="s">
        <v>131</v>
      </c>
      <c r="P244" s="111" t="s">
        <v>830</v>
      </c>
      <c r="Q244" s="110" t="s">
        <v>133</v>
      </c>
      <c r="R244" s="110" t="s">
        <v>831</v>
      </c>
      <c r="S244" s="111" t="s">
        <v>832</v>
      </c>
      <c r="T244" s="111" t="s">
        <v>136</v>
      </c>
      <c r="U244" s="111" t="s">
        <v>129</v>
      </c>
      <c r="V244" s="118">
        <f t="shared" si="11"/>
        <v>8.4746793118121635E-3</v>
      </c>
      <c r="W244" s="114" t="str">
        <f>IFERROR(I244-AVERAGEIFS(I$6:I243,J$6:J243,"ICIS / Platts",B$6:B243,B244),"")</f>
        <v/>
      </c>
      <c r="X244" s="110" t="s">
        <v>137</v>
      </c>
      <c r="Y244" s="117" t="str">
        <f t="shared" si="10"/>
        <v>OK</v>
      </c>
      <c r="Z244" s="111" t="s">
        <v>116</v>
      </c>
      <c r="AA244" s="111" t="s">
        <v>115</v>
      </c>
      <c r="AB244" s="111" t="s">
        <v>116</v>
      </c>
      <c r="AC244" s="111" t="s">
        <v>115</v>
      </c>
      <c r="AD244" s="111"/>
    </row>
    <row r="245" spans="2:30" ht="24.75" customHeight="1" x14ac:dyDescent="0.25">
      <c r="B245" s="115">
        <v>45343</v>
      </c>
      <c r="C245" s="116" t="s">
        <v>126</v>
      </c>
      <c r="D245" s="116">
        <v>8</v>
      </c>
      <c r="E245" s="110" t="str">
        <f t="shared" si="9"/>
        <v>20240221-240</v>
      </c>
      <c r="F245" s="111" t="s">
        <v>98</v>
      </c>
      <c r="G245" s="111" t="s">
        <v>99</v>
      </c>
      <c r="H245" s="112" t="s">
        <v>1069</v>
      </c>
      <c r="I245" s="113">
        <v>1622.31</v>
      </c>
      <c r="J245" s="111" t="s">
        <v>139</v>
      </c>
      <c r="K245" s="111" t="s">
        <v>1073</v>
      </c>
      <c r="L245" s="111" t="s">
        <v>103</v>
      </c>
      <c r="M245" s="111" t="s">
        <v>104</v>
      </c>
      <c r="N245" s="111" t="s">
        <v>824</v>
      </c>
      <c r="O245" s="111" t="s">
        <v>106</v>
      </c>
      <c r="P245" s="111" t="s">
        <v>141</v>
      </c>
      <c r="Q245" s="110" t="s">
        <v>133</v>
      </c>
      <c r="R245" s="110" t="s">
        <v>142</v>
      </c>
      <c r="S245" s="111" t="s">
        <v>825</v>
      </c>
      <c r="T245" s="111" t="s">
        <v>111</v>
      </c>
      <c r="U245" s="111" t="s">
        <v>103</v>
      </c>
      <c r="V245" s="118">
        <f t="shared" si="11"/>
        <v>-2.8737180523375903E-2</v>
      </c>
      <c r="W245" s="114" t="str">
        <f>IFERROR(I245-AVERAGEIFS(I$6:I244,J$6:J244,"ICIS / Platts",B$6:B244,B245),"")</f>
        <v/>
      </c>
      <c r="X245" s="110" t="s">
        <v>125</v>
      </c>
      <c r="Y245" s="117" t="str">
        <f t="shared" si="10"/>
        <v>OK</v>
      </c>
      <c r="Z245" s="111" t="s">
        <v>116</v>
      </c>
      <c r="AA245" s="111" t="s">
        <v>115</v>
      </c>
      <c r="AB245" s="111" t="s">
        <v>116</v>
      </c>
      <c r="AC245" s="111" t="s">
        <v>115</v>
      </c>
      <c r="AD245" s="111"/>
    </row>
    <row r="246" spans="2:30" ht="24.75" customHeight="1" x14ac:dyDescent="0.25">
      <c r="B246" s="108">
        <v>45343</v>
      </c>
      <c r="C246" s="109" t="s">
        <v>126</v>
      </c>
      <c r="D246" s="109">
        <v>8</v>
      </c>
      <c r="E246" s="110" t="str">
        <f t="shared" si="9"/>
        <v>20240221-241</v>
      </c>
      <c r="F246" s="111" t="s">
        <v>98</v>
      </c>
      <c r="G246" s="111" t="s">
        <v>99</v>
      </c>
      <c r="H246" s="112" t="s">
        <v>1074</v>
      </c>
      <c r="I246" s="113">
        <v>1638</v>
      </c>
      <c r="J246" s="111" t="s">
        <v>101</v>
      </c>
      <c r="K246" s="111" t="s">
        <v>1075</v>
      </c>
      <c r="L246" s="111" t="s">
        <v>103</v>
      </c>
      <c r="M246" s="111" t="s">
        <v>104</v>
      </c>
      <c r="N246" s="111" t="s">
        <v>824</v>
      </c>
      <c r="O246" s="111" t="s">
        <v>106</v>
      </c>
      <c r="P246" s="111" t="s">
        <v>107</v>
      </c>
      <c r="Q246" s="110" t="s">
        <v>108</v>
      </c>
      <c r="R246" s="110" t="s">
        <v>109</v>
      </c>
      <c r="S246" s="111" t="s">
        <v>825</v>
      </c>
      <c r="T246" s="111" t="s">
        <v>111</v>
      </c>
      <c r="U246" s="111" t="s">
        <v>103</v>
      </c>
      <c r="V246" s="118">
        <f t="shared" si="11"/>
        <v>1.834862385321101E-3</v>
      </c>
      <c r="W246" s="114" t="str">
        <f>IFERROR(I246-AVERAGEIFS(I$6:I245,J$6:J245,"ICIS / Platts",B$6:B245,B246),"")</f>
        <v/>
      </c>
      <c r="X246" s="110" t="s">
        <v>113</v>
      </c>
      <c r="Y246" s="117" t="str">
        <f t="shared" si="10"/>
        <v>OK</v>
      </c>
      <c r="Z246" s="111" t="s">
        <v>116</v>
      </c>
      <c r="AA246" s="111" t="s">
        <v>115</v>
      </c>
      <c r="AB246" s="111" t="s">
        <v>116</v>
      </c>
      <c r="AC246" s="111" t="s">
        <v>115</v>
      </c>
      <c r="AD246" s="111"/>
    </row>
    <row r="247" spans="2:30" ht="24.75" customHeight="1" x14ac:dyDescent="0.25">
      <c r="B247" s="115">
        <v>45343</v>
      </c>
      <c r="C247" s="116" t="s">
        <v>126</v>
      </c>
      <c r="D247" s="116">
        <v>8</v>
      </c>
      <c r="E247" s="110" t="str">
        <f t="shared" si="9"/>
        <v>20240221-242</v>
      </c>
      <c r="F247" s="111" t="s">
        <v>98</v>
      </c>
      <c r="G247" s="111" t="s">
        <v>99</v>
      </c>
      <c r="H247" s="112" t="s">
        <v>1074</v>
      </c>
      <c r="I247" s="113">
        <v>1679.69</v>
      </c>
      <c r="J247" s="111" t="s">
        <v>118</v>
      </c>
      <c r="K247" s="111" t="s">
        <v>1076</v>
      </c>
      <c r="L247" s="111" t="s">
        <v>103</v>
      </c>
      <c r="M247" s="111" t="s">
        <v>104</v>
      </c>
      <c r="N247" s="111" t="s">
        <v>827</v>
      </c>
      <c r="O247" s="111" t="s">
        <v>121</v>
      </c>
      <c r="P247" s="111" t="s">
        <v>132</v>
      </c>
      <c r="Q247" s="110" t="s">
        <v>123</v>
      </c>
      <c r="R247" s="110" t="s">
        <v>134</v>
      </c>
      <c r="S247" s="111" t="s">
        <v>825</v>
      </c>
      <c r="T247" s="111" t="s">
        <v>111</v>
      </c>
      <c r="U247" s="111" t="s">
        <v>103</v>
      </c>
      <c r="V247" s="118">
        <f t="shared" si="11"/>
        <v>7.9692272609981768E-3</v>
      </c>
      <c r="W247" s="114">
        <f>IFERROR(I247-AVERAGEIFS(I$6:I246,J$6:J246,"ICIS / Platts",B$6:B246,B247),"")</f>
        <v>41.690000000000055</v>
      </c>
      <c r="X247" s="110" t="s">
        <v>125</v>
      </c>
      <c r="Y247" s="117" t="str">
        <f t="shared" si="10"/>
        <v>OK</v>
      </c>
      <c r="Z247" s="111" t="s">
        <v>116</v>
      </c>
      <c r="AA247" s="111" t="s">
        <v>115</v>
      </c>
      <c r="AB247" s="111" t="s">
        <v>116</v>
      </c>
      <c r="AC247" s="111" t="s">
        <v>115</v>
      </c>
      <c r="AD247" s="111"/>
    </row>
    <row r="248" spans="2:30" ht="24.75" customHeight="1" x14ac:dyDescent="0.25">
      <c r="B248" s="108">
        <v>45348</v>
      </c>
      <c r="C248" s="109" t="s">
        <v>97</v>
      </c>
      <c r="D248" s="109">
        <v>9</v>
      </c>
      <c r="E248" s="110" t="str">
        <f t="shared" si="9"/>
        <v>20240226-243</v>
      </c>
      <c r="F248" s="111" t="s">
        <v>98</v>
      </c>
      <c r="G248" s="111" t="s">
        <v>99</v>
      </c>
      <c r="H248" s="112" t="s">
        <v>1074</v>
      </c>
      <c r="I248" s="113">
        <v>1627.51</v>
      </c>
      <c r="J248" s="111" t="s">
        <v>127</v>
      </c>
      <c r="K248" s="111" t="s">
        <v>1077</v>
      </c>
      <c r="L248" s="111" t="s">
        <v>129</v>
      </c>
      <c r="M248" s="111" t="s">
        <v>104</v>
      </c>
      <c r="N248" s="111" t="s">
        <v>829</v>
      </c>
      <c r="O248" s="111" t="s">
        <v>131</v>
      </c>
      <c r="P248" s="111" t="s">
        <v>830</v>
      </c>
      <c r="Q248" s="110" t="s">
        <v>133</v>
      </c>
      <c r="R248" s="110" t="s">
        <v>831</v>
      </c>
      <c r="S248" s="111" t="s">
        <v>832</v>
      </c>
      <c r="T248" s="111" t="s">
        <v>136</v>
      </c>
      <c r="U248" s="111" t="s">
        <v>129</v>
      </c>
      <c r="V248" s="118">
        <f t="shared" si="11"/>
        <v>-1.8886691905186714E-2</v>
      </c>
      <c r="W248" s="114" t="str">
        <f>IFERROR(I248-AVERAGEIFS(I$6:I247,J$6:J247,"ICIS / Platts",B$6:B247,B248),"")</f>
        <v/>
      </c>
      <c r="X248" s="110" t="s">
        <v>137</v>
      </c>
      <c r="Y248" s="117" t="str">
        <f t="shared" si="10"/>
        <v>OK</v>
      </c>
      <c r="Z248" s="111" t="s">
        <v>116</v>
      </c>
      <c r="AA248" s="111" t="s">
        <v>115</v>
      </c>
      <c r="AB248" s="111" t="s">
        <v>116</v>
      </c>
      <c r="AC248" s="111" t="s">
        <v>115</v>
      </c>
      <c r="AD248" s="111"/>
    </row>
    <row r="249" spans="2:30" ht="24.75" customHeight="1" x14ac:dyDescent="0.25">
      <c r="B249" s="115">
        <v>45350</v>
      </c>
      <c r="C249" s="116" t="s">
        <v>126</v>
      </c>
      <c r="D249" s="116">
        <v>9</v>
      </c>
      <c r="E249" s="110" t="str">
        <f t="shared" si="9"/>
        <v>20240228-244</v>
      </c>
      <c r="F249" s="111" t="s">
        <v>98</v>
      </c>
      <c r="G249" s="111" t="s">
        <v>99</v>
      </c>
      <c r="H249" s="112" t="s">
        <v>1074</v>
      </c>
      <c r="I249" s="113">
        <v>1634.27</v>
      </c>
      <c r="J249" s="111" t="s">
        <v>139</v>
      </c>
      <c r="K249" s="111" t="s">
        <v>1078</v>
      </c>
      <c r="L249" s="111" t="s">
        <v>103</v>
      </c>
      <c r="M249" s="111" t="s">
        <v>104</v>
      </c>
      <c r="N249" s="111" t="s">
        <v>824</v>
      </c>
      <c r="O249" s="111" t="s">
        <v>106</v>
      </c>
      <c r="P249" s="111" t="s">
        <v>141</v>
      </c>
      <c r="Q249" s="110" t="s">
        <v>133</v>
      </c>
      <c r="R249" s="110" t="s">
        <v>142</v>
      </c>
      <c r="S249" s="111" t="s">
        <v>825</v>
      </c>
      <c r="T249" s="111" t="s">
        <v>111</v>
      </c>
      <c r="U249" s="111" t="s">
        <v>103</v>
      </c>
      <c r="V249" s="118">
        <f t="shared" si="11"/>
        <v>7.3722038328063299E-3</v>
      </c>
      <c r="W249" s="114" t="str">
        <f>IFERROR(I249-AVERAGEIFS(I$6:I248,J$6:J248,"ICIS / Platts",B$6:B248,B249),"")</f>
        <v/>
      </c>
      <c r="X249" s="110" t="s">
        <v>125</v>
      </c>
      <c r="Y249" s="117" t="str">
        <f t="shared" si="10"/>
        <v>OK</v>
      </c>
      <c r="Z249" s="111" t="s">
        <v>116</v>
      </c>
      <c r="AA249" s="111" t="s">
        <v>115</v>
      </c>
      <c r="AB249" s="111" t="s">
        <v>116</v>
      </c>
      <c r="AC249" s="111" t="s">
        <v>115</v>
      </c>
      <c r="AD249" s="111"/>
    </row>
    <row r="250" spans="2:30" ht="24.75" customHeight="1" x14ac:dyDescent="0.25">
      <c r="B250" s="108">
        <v>45350</v>
      </c>
      <c r="C250" s="109" t="s">
        <v>126</v>
      </c>
      <c r="D250" s="109">
        <v>9</v>
      </c>
      <c r="E250" s="110" t="str">
        <f t="shared" si="9"/>
        <v>20240228-245</v>
      </c>
      <c r="F250" s="111" t="s">
        <v>98</v>
      </c>
      <c r="G250" s="111" t="s">
        <v>99</v>
      </c>
      <c r="H250" s="112" t="s">
        <v>1079</v>
      </c>
      <c r="I250" s="113">
        <v>1642</v>
      </c>
      <c r="J250" s="111" t="s">
        <v>101</v>
      </c>
      <c r="K250" s="111" t="s">
        <v>1080</v>
      </c>
      <c r="L250" s="111" t="s">
        <v>103</v>
      </c>
      <c r="M250" s="111" t="s">
        <v>104</v>
      </c>
      <c r="N250" s="111" t="s">
        <v>824</v>
      </c>
      <c r="O250" s="111" t="s">
        <v>106</v>
      </c>
      <c r="P250" s="111" t="s">
        <v>107</v>
      </c>
      <c r="Q250" s="110" t="s">
        <v>108</v>
      </c>
      <c r="R250" s="110" t="s">
        <v>109</v>
      </c>
      <c r="S250" s="111" t="s">
        <v>825</v>
      </c>
      <c r="T250" s="111" t="s">
        <v>111</v>
      </c>
      <c r="U250" s="111" t="s">
        <v>103</v>
      </c>
      <c r="V250" s="118">
        <f t="shared" si="11"/>
        <v>2.442002442002442E-3</v>
      </c>
      <c r="W250" s="114" t="str">
        <f>IFERROR(I250-AVERAGEIFS(I$6:I249,J$6:J249,"ICIS / Platts",B$6:B249,B250),"")</f>
        <v/>
      </c>
      <c r="X250" s="110" t="s">
        <v>113</v>
      </c>
      <c r="Y250" s="117" t="str">
        <f t="shared" si="10"/>
        <v>OK</v>
      </c>
      <c r="Z250" s="111" t="s">
        <v>116</v>
      </c>
      <c r="AA250" s="111" t="s">
        <v>115</v>
      </c>
      <c r="AB250" s="111" t="s">
        <v>116</v>
      </c>
      <c r="AC250" s="111" t="s">
        <v>115</v>
      </c>
      <c r="AD250" s="111"/>
    </row>
    <row r="251" spans="2:30" ht="24.75" customHeight="1" x14ac:dyDescent="0.25">
      <c r="B251" s="115">
        <v>45350</v>
      </c>
      <c r="C251" s="116" t="s">
        <v>126</v>
      </c>
      <c r="D251" s="116">
        <v>9</v>
      </c>
      <c r="E251" s="110" t="str">
        <f t="shared" si="9"/>
        <v>20240228-246</v>
      </c>
      <c r="F251" s="111" t="s">
        <v>98</v>
      </c>
      <c r="G251" s="111" t="s">
        <v>99</v>
      </c>
      <c r="H251" s="112" t="s">
        <v>1079</v>
      </c>
      <c r="I251" s="113">
        <v>1667.99</v>
      </c>
      <c r="J251" s="111" t="s">
        <v>118</v>
      </c>
      <c r="K251" s="111" t="s">
        <v>1081</v>
      </c>
      <c r="L251" s="111" t="s">
        <v>103</v>
      </c>
      <c r="M251" s="111" t="s">
        <v>104</v>
      </c>
      <c r="N251" s="111" t="s">
        <v>827</v>
      </c>
      <c r="O251" s="111" t="s">
        <v>121</v>
      </c>
      <c r="P251" s="111" t="s">
        <v>132</v>
      </c>
      <c r="Q251" s="110" t="s">
        <v>123</v>
      </c>
      <c r="R251" s="110" t="s">
        <v>134</v>
      </c>
      <c r="S251" s="111" t="s">
        <v>825</v>
      </c>
      <c r="T251" s="111" t="s">
        <v>111</v>
      </c>
      <c r="U251" s="111" t="s">
        <v>103</v>
      </c>
      <c r="V251" s="118">
        <f t="shared" si="11"/>
        <v>-6.9655710279873341E-3</v>
      </c>
      <c r="W251" s="114">
        <f>IFERROR(I251-AVERAGEIFS(I$6:I250,J$6:J250,"ICIS / Platts",B$6:B250,B251),"")</f>
        <v>25.990000000000009</v>
      </c>
      <c r="X251" s="110" t="s">
        <v>125</v>
      </c>
      <c r="Y251" s="117" t="str">
        <f t="shared" si="10"/>
        <v>OK</v>
      </c>
      <c r="Z251" s="111" t="s">
        <v>116</v>
      </c>
      <c r="AA251" s="111" t="s">
        <v>115</v>
      </c>
      <c r="AB251" s="111" t="s">
        <v>116</v>
      </c>
      <c r="AC251" s="111" t="s">
        <v>115</v>
      </c>
      <c r="AD251" s="111"/>
    </row>
    <row r="252" spans="2:30" ht="24.75" customHeight="1" x14ac:dyDescent="0.25">
      <c r="B252" s="108">
        <v>45355</v>
      </c>
      <c r="C252" s="109" t="s">
        <v>97</v>
      </c>
      <c r="D252" s="109">
        <v>10</v>
      </c>
      <c r="E252" s="110" t="str">
        <f t="shared" si="9"/>
        <v>20240304-247</v>
      </c>
      <c r="F252" s="111" t="s">
        <v>98</v>
      </c>
      <c r="G252" s="111" t="s">
        <v>99</v>
      </c>
      <c r="H252" s="112" t="s">
        <v>1079</v>
      </c>
      <c r="I252" s="113">
        <v>1620.27</v>
      </c>
      <c r="J252" s="111" t="s">
        <v>127</v>
      </c>
      <c r="K252" s="111" t="s">
        <v>1082</v>
      </c>
      <c r="L252" s="111" t="s">
        <v>129</v>
      </c>
      <c r="M252" s="111" t="s">
        <v>104</v>
      </c>
      <c r="N252" s="111" t="s">
        <v>829</v>
      </c>
      <c r="O252" s="111" t="s">
        <v>131</v>
      </c>
      <c r="P252" s="111" t="s">
        <v>830</v>
      </c>
      <c r="Q252" s="110" t="s">
        <v>133</v>
      </c>
      <c r="R252" s="110" t="s">
        <v>831</v>
      </c>
      <c r="S252" s="111" t="s">
        <v>832</v>
      </c>
      <c r="T252" s="111" t="s">
        <v>136</v>
      </c>
      <c r="U252" s="111" t="s">
        <v>129</v>
      </c>
      <c r="V252" s="118">
        <f t="shared" si="11"/>
        <v>-4.4485133731897251E-3</v>
      </c>
      <c r="W252" s="114" t="str">
        <f>IFERROR(I252-AVERAGEIFS(I$6:I251,J$6:J251,"ICIS / Platts",B$6:B251,B252),"")</f>
        <v/>
      </c>
      <c r="X252" s="110" t="s">
        <v>137</v>
      </c>
      <c r="Y252" s="117" t="str">
        <f t="shared" si="10"/>
        <v>OK</v>
      </c>
      <c r="Z252" s="111" t="s">
        <v>116</v>
      </c>
      <c r="AA252" s="111" t="s">
        <v>115</v>
      </c>
      <c r="AB252" s="111" t="s">
        <v>116</v>
      </c>
      <c r="AC252" s="111" t="s">
        <v>115</v>
      </c>
      <c r="AD252" s="111"/>
    </row>
    <row r="253" spans="2:30" ht="24.75" customHeight="1" x14ac:dyDescent="0.25">
      <c r="B253" s="115">
        <v>45357</v>
      </c>
      <c r="C253" s="116" t="s">
        <v>126</v>
      </c>
      <c r="D253" s="116">
        <v>10</v>
      </c>
      <c r="E253" s="110" t="str">
        <f t="shared" si="9"/>
        <v>20240306-248</v>
      </c>
      <c r="F253" s="111" t="s">
        <v>98</v>
      </c>
      <c r="G253" s="111" t="s">
        <v>99</v>
      </c>
      <c r="H253" s="112" t="s">
        <v>1079</v>
      </c>
      <c r="I253" s="113">
        <v>1631.87</v>
      </c>
      <c r="J253" s="111" t="s">
        <v>139</v>
      </c>
      <c r="K253" s="111" t="s">
        <v>1083</v>
      </c>
      <c r="L253" s="111" t="s">
        <v>103</v>
      </c>
      <c r="M253" s="111" t="s">
        <v>104</v>
      </c>
      <c r="N253" s="111" t="s">
        <v>824</v>
      </c>
      <c r="O253" s="111" t="s">
        <v>106</v>
      </c>
      <c r="P253" s="111" t="s">
        <v>141</v>
      </c>
      <c r="Q253" s="110" t="s">
        <v>133</v>
      </c>
      <c r="R253" s="110" t="s">
        <v>142</v>
      </c>
      <c r="S253" s="111" t="s">
        <v>825</v>
      </c>
      <c r="T253" s="111" t="s">
        <v>111</v>
      </c>
      <c r="U253" s="111" t="s">
        <v>103</v>
      </c>
      <c r="V253" s="118">
        <f t="shared" si="11"/>
        <v>-1.4685455891621892E-3</v>
      </c>
      <c r="W253" s="114" t="str">
        <f>IFERROR(I253-AVERAGEIFS(I$6:I252,J$6:J252,"ICIS / Platts",B$6:B252,B253),"")</f>
        <v/>
      </c>
      <c r="X253" s="110" t="s">
        <v>125</v>
      </c>
      <c r="Y253" s="117" t="str">
        <f t="shared" si="10"/>
        <v>OK</v>
      </c>
      <c r="Z253" s="111" t="s">
        <v>116</v>
      </c>
      <c r="AA253" s="111" t="s">
        <v>115</v>
      </c>
      <c r="AB253" s="111" t="s">
        <v>116</v>
      </c>
      <c r="AC253" s="111" t="s">
        <v>115</v>
      </c>
      <c r="AD253" s="111"/>
    </row>
    <row r="254" spans="2:30" ht="24.75" customHeight="1" x14ac:dyDescent="0.25">
      <c r="B254" s="108">
        <v>45357</v>
      </c>
      <c r="C254" s="109" t="s">
        <v>126</v>
      </c>
      <c r="D254" s="109">
        <v>10</v>
      </c>
      <c r="E254" s="110" t="str">
        <f t="shared" si="9"/>
        <v>20240306-249</v>
      </c>
      <c r="F254" s="111" t="s">
        <v>98</v>
      </c>
      <c r="G254" s="111" t="s">
        <v>99</v>
      </c>
      <c r="H254" s="112" t="s">
        <v>1084</v>
      </c>
      <c r="I254" s="113">
        <v>1645</v>
      </c>
      <c r="J254" s="111" t="s">
        <v>101</v>
      </c>
      <c r="K254" s="111" t="s">
        <v>1085</v>
      </c>
      <c r="L254" s="111" t="s">
        <v>103</v>
      </c>
      <c r="M254" s="111" t="s">
        <v>104</v>
      </c>
      <c r="N254" s="111" t="s">
        <v>824</v>
      </c>
      <c r="O254" s="111" t="s">
        <v>106</v>
      </c>
      <c r="P254" s="111" t="s">
        <v>107</v>
      </c>
      <c r="Q254" s="110" t="s">
        <v>108</v>
      </c>
      <c r="R254" s="110" t="s">
        <v>109</v>
      </c>
      <c r="S254" s="111" t="s">
        <v>825</v>
      </c>
      <c r="T254" s="111" t="s">
        <v>111</v>
      </c>
      <c r="U254" s="111" t="s">
        <v>103</v>
      </c>
      <c r="V254" s="118">
        <f t="shared" si="11"/>
        <v>1.8270401948842874E-3</v>
      </c>
      <c r="W254" s="114" t="str">
        <f>IFERROR(I254-AVERAGEIFS(I$6:I253,J$6:J253,"ICIS / Platts",B$6:B253,B254),"")</f>
        <v/>
      </c>
      <c r="X254" s="110" t="s">
        <v>113</v>
      </c>
      <c r="Y254" s="117" t="str">
        <f t="shared" si="10"/>
        <v>OK</v>
      </c>
      <c r="Z254" s="111" t="s">
        <v>116</v>
      </c>
      <c r="AA254" s="111" t="s">
        <v>115</v>
      </c>
      <c r="AB254" s="111" t="s">
        <v>116</v>
      </c>
      <c r="AC254" s="111" t="s">
        <v>116</v>
      </c>
      <c r="AD254" s="111"/>
    </row>
    <row r="255" spans="2:30" ht="24.75" customHeight="1" x14ac:dyDescent="0.25">
      <c r="B255" s="115">
        <v>45357</v>
      </c>
      <c r="C255" s="116" t="s">
        <v>126</v>
      </c>
      <c r="D255" s="116">
        <v>10</v>
      </c>
      <c r="E255" s="110" t="str">
        <f t="shared" si="9"/>
        <v>20240306-250</v>
      </c>
      <c r="F255" s="111" t="s">
        <v>98</v>
      </c>
      <c r="G255" s="111" t="s">
        <v>99</v>
      </c>
      <c r="H255" s="112" t="s">
        <v>1084</v>
      </c>
      <c r="I255" s="113">
        <v>1696.48</v>
      </c>
      <c r="J255" s="111" t="s">
        <v>118</v>
      </c>
      <c r="K255" s="111" t="s">
        <v>1086</v>
      </c>
      <c r="L255" s="111" t="s">
        <v>103</v>
      </c>
      <c r="M255" s="111" t="s">
        <v>104</v>
      </c>
      <c r="N255" s="111" t="s">
        <v>827</v>
      </c>
      <c r="O255" s="111" t="s">
        <v>121</v>
      </c>
      <c r="P255" s="111" t="s">
        <v>132</v>
      </c>
      <c r="Q255" s="110" t="s">
        <v>123</v>
      </c>
      <c r="R255" s="110" t="s">
        <v>134</v>
      </c>
      <c r="S255" s="111" t="s">
        <v>825</v>
      </c>
      <c r="T255" s="111" t="s">
        <v>111</v>
      </c>
      <c r="U255" s="111" t="s">
        <v>103</v>
      </c>
      <c r="V255" s="118">
        <f t="shared" si="11"/>
        <v>1.7080438132123101E-2</v>
      </c>
      <c r="W255" s="114">
        <f>IFERROR(I255-AVERAGEIFS(I$6:I254,J$6:J254,"ICIS / Platts",B$6:B254,B255),"")</f>
        <v>51.480000000000018</v>
      </c>
      <c r="X255" s="110" t="s">
        <v>125</v>
      </c>
      <c r="Y255" s="117" t="str">
        <f t="shared" si="10"/>
        <v>OK</v>
      </c>
      <c r="Z255" s="111" t="s">
        <v>116</v>
      </c>
      <c r="AA255" s="111" t="s">
        <v>115</v>
      </c>
      <c r="AB255" s="111" t="s">
        <v>116</v>
      </c>
      <c r="AC255" s="111" t="s">
        <v>116</v>
      </c>
      <c r="AD255" s="111"/>
    </row>
    <row r="256" spans="2:30" ht="24.75" customHeight="1" x14ac:dyDescent="0.25">
      <c r="B256" s="108">
        <v>45362</v>
      </c>
      <c r="C256" s="109" t="s">
        <v>97</v>
      </c>
      <c r="D256" s="109">
        <v>11</v>
      </c>
      <c r="E256" s="110" t="str">
        <f t="shared" si="9"/>
        <v>20240311-251</v>
      </c>
      <c r="F256" s="111" t="s">
        <v>98</v>
      </c>
      <c r="G256" s="111" t="s">
        <v>99</v>
      </c>
      <c r="H256" s="112" t="s">
        <v>1084</v>
      </c>
      <c r="I256" s="113">
        <v>1669.54</v>
      </c>
      <c r="J256" s="111" t="s">
        <v>127</v>
      </c>
      <c r="K256" s="111" t="s">
        <v>1087</v>
      </c>
      <c r="L256" s="111" t="s">
        <v>129</v>
      </c>
      <c r="M256" s="111" t="s">
        <v>104</v>
      </c>
      <c r="N256" s="111" t="s">
        <v>829</v>
      </c>
      <c r="O256" s="111" t="s">
        <v>131</v>
      </c>
      <c r="P256" s="111" t="s">
        <v>830</v>
      </c>
      <c r="Q256" s="110" t="s">
        <v>133</v>
      </c>
      <c r="R256" s="110" t="s">
        <v>831</v>
      </c>
      <c r="S256" s="111" t="s">
        <v>832</v>
      </c>
      <c r="T256" s="111" t="s">
        <v>136</v>
      </c>
      <c r="U256" s="111" t="s">
        <v>129</v>
      </c>
      <c r="V256" s="118">
        <f t="shared" si="11"/>
        <v>3.0408512161553311E-2</v>
      </c>
      <c r="W256" s="114" t="str">
        <f>IFERROR(I256-AVERAGEIFS(I$6:I255,J$6:J255,"ICIS / Platts",B$6:B255,B256),"")</f>
        <v/>
      </c>
      <c r="X256" s="110" t="s">
        <v>137</v>
      </c>
      <c r="Y256" s="117" t="str">
        <f t="shared" si="10"/>
        <v>OK</v>
      </c>
      <c r="Z256" s="111" t="s">
        <v>116</v>
      </c>
      <c r="AA256" s="111" t="s">
        <v>115</v>
      </c>
      <c r="AB256" s="111" t="s">
        <v>116</v>
      </c>
      <c r="AC256" s="111" t="s">
        <v>116</v>
      </c>
      <c r="AD256" s="111"/>
    </row>
    <row r="257" spans="2:30" ht="24.75" customHeight="1" x14ac:dyDescent="0.25">
      <c r="B257" s="115">
        <v>45364</v>
      </c>
      <c r="C257" s="116" t="s">
        <v>126</v>
      </c>
      <c r="D257" s="116">
        <v>11</v>
      </c>
      <c r="E257" s="110" t="str">
        <f t="shared" si="9"/>
        <v>20240313-252</v>
      </c>
      <c r="F257" s="111" t="s">
        <v>98</v>
      </c>
      <c r="G257" s="111" t="s">
        <v>99</v>
      </c>
      <c r="H257" s="112" t="s">
        <v>1084</v>
      </c>
      <c r="I257" s="113">
        <v>1633.58</v>
      </c>
      <c r="J257" s="111" t="s">
        <v>139</v>
      </c>
      <c r="K257" s="111" t="s">
        <v>1088</v>
      </c>
      <c r="L257" s="111" t="s">
        <v>103</v>
      </c>
      <c r="M257" s="111" t="s">
        <v>104</v>
      </c>
      <c r="N257" s="111" t="s">
        <v>824</v>
      </c>
      <c r="O257" s="111" t="s">
        <v>106</v>
      </c>
      <c r="P257" s="111" t="s">
        <v>141</v>
      </c>
      <c r="Q257" s="110" t="s">
        <v>133</v>
      </c>
      <c r="R257" s="110" t="s">
        <v>142</v>
      </c>
      <c r="S257" s="111" t="s">
        <v>825</v>
      </c>
      <c r="T257" s="111" t="s">
        <v>111</v>
      </c>
      <c r="U257" s="111" t="s">
        <v>103</v>
      </c>
      <c r="V257" s="118">
        <f t="shared" si="11"/>
        <v>1.0478775882883052E-3</v>
      </c>
      <c r="W257" s="114" t="str">
        <f>IFERROR(I257-AVERAGEIFS(I$6:I256,J$6:J256,"ICIS / Platts",B$6:B256,B257),"")</f>
        <v/>
      </c>
      <c r="X257" s="110" t="s">
        <v>125</v>
      </c>
      <c r="Y257" s="117" t="str">
        <f t="shared" si="10"/>
        <v>OK</v>
      </c>
      <c r="Z257" s="111" t="s">
        <v>116</v>
      </c>
      <c r="AA257" s="111" t="s">
        <v>115</v>
      </c>
      <c r="AB257" s="111" t="s">
        <v>116</v>
      </c>
      <c r="AC257" s="111" t="s">
        <v>116</v>
      </c>
      <c r="AD257" s="111"/>
    </row>
    <row r="258" spans="2:30" ht="24.75" customHeight="1" x14ac:dyDescent="0.25">
      <c r="B258" s="108">
        <v>45364</v>
      </c>
      <c r="C258" s="109" t="s">
        <v>126</v>
      </c>
      <c r="D258" s="109">
        <v>11</v>
      </c>
      <c r="E258" s="110" t="str">
        <f t="shared" si="9"/>
        <v>20240313-253</v>
      </c>
      <c r="F258" s="111" t="s">
        <v>98</v>
      </c>
      <c r="G258" s="111" t="s">
        <v>99</v>
      </c>
      <c r="H258" s="112" t="s">
        <v>1089</v>
      </c>
      <c r="I258" s="113">
        <v>1648</v>
      </c>
      <c r="J258" s="111" t="s">
        <v>101</v>
      </c>
      <c r="K258" s="111" t="s">
        <v>1090</v>
      </c>
      <c r="L258" s="111" t="s">
        <v>103</v>
      </c>
      <c r="M258" s="111" t="s">
        <v>104</v>
      </c>
      <c r="N258" s="111" t="s">
        <v>824</v>
      </c>
      <c r="O258" s="111" t="s">
        <v>106</v>
      </c>
      <c r="P258" s="111" t="s">
        <v>107</v>
      </c>
      <c r="Q258" s="110" t="s">
        <v>108</v>
      </c>
      <c r="R258" s="110" t="s">
        <v>109</v>
      </c>
      <c r="S258" s="111" t="s">
        <v>825</v>
      </c>
      <c r="T258" s="111" t="s">
        <v>111</v>
      </c>
      <c r="U258" s="111" t="s">
        <v>103</v>
      </c>
      <c r="V258" s="118">
        <f t="shared" si="11"/>
        <v>1.82370820668693E-3</v>
      </c>
      <c r="W258" s="114" t="str">
        <f>IFERROR(I258-AVERAGEIFS(I$6:I257,J$6:J257,"ICIS / Platts",B$6:B257,B258),"")</f>
        <v/>
      </c>
      <c r="X258" s="110" t="s">
        <v>113</v>
      </c>
      <c r="Y258" s="117" t="str">
        <f t="shared" si="10"/>
        <v>OK</v>
      </c>
      <c r="Z258" s="111" t="s">
        <v>116</v>
      </c>
      <c r="AA258" s="111" t="s">
        <v>115</v>
      </c>
      <c r="AB258" s="111" t="s">
        <v>116</v>
      </c>
      <c r="AC258" s="111" t="s">
        <v>115</v>
      </c>
      <c r="AD258" s="111"/>
    </row>
    <row r="259" spans="2:30" ht="24.75" customHeight="1" x14ac:dyDescent="0.25">
      <c r="B259" s="115">
        <v>45364</v>
      </c>
      <c r="C259" s="116" t="s">
        <v>126</v>
      </c>
      <c r="D259" s="116">
        <v>11</v>
      </c>
      <c r="E259" s="110" t="str">
        <f t="shared" si="9"/>
        <v>20240313-254</v>
      </c>
      <c r="F259" s="111" t="s">
        <v>98</v>
      </c>
      <c r="G259" s="111" t="s">
        <v>99</v>
      </c>
      <c r="H259" s="112" t="s">
        <v>1089</v>
      </c>
      <c r="I259" s="113">
        <v>1640.43</v>
      </c>
      <c r="J259" s="111" t="s">
        <v>118</v>
      </c>
      <c r="K259" s="111" t="s">
        <v>1091</v>
      </c>
      <c r="L259" s="111" t="s">
        <v>103</v>
      </c>
      <c r="M259" s="111" t="s">
        <v>104</v>
      </c>
      <c r="N259" s="111" t="s">
        <v>827</v>
      </c>
      <c r="O259" s="111" t="s">
        <v>121</v>
      </c>
      <c r="P259" s="111" t="s">
        <v>132</v>
      </c>
      <c r="Q259" s="110" t="s">
        <v>123</v>
      </c>
      <c r="R259" s="110" t="s">
        <v>134</v>
      </c>
      <c r="S259" s="111" t="s">
        <v>825</v>
      </c>
      <c r="T259" s="111" t="s">
        <v>111</v>
      </c>
      <c r="U259" s="111" t="s">
        <v>103</v>
      </c>
      <c r="V259" s="118">
        <f t="shared" si="11"/>
        <v>-3.3038998396680161E-2</v>
      </c>
      <c r="W259" s="114">
        <f>IFERROR(I259-AVERAGEIFS(I$6:I258,J$6:J258,"ICIS / Platts",B$6:B258,B259),"")</f>
        <v>-7.5699999999999363</v>
      </c>
      <c r="X259" s="110" t="s">
        <v>125</v>
      </c>
      <c r="Y259" s="117" t="str">
        <f t="shared" si="10"/>
        <v>OK</v>
      </c>
      <c r="Z259" s="111" t="s">
        <v>116</v>
      </c>
      <c r="AA259" s="111" t="s">
        <v>115</v>
      </c>
      <c r="AB259" s="111" t="s">
        <v>116</v>
      </c>
      <c r="AC259" s="111" t="s">
        <v>115</v>
      </c>
      <c r="AD259" s="111"/>
    </row>
    <row r="260" spans="2:30" ht="24.75" customHeight="1" x14ac:dyDescent="0.25">
      <c r="B260" s="108">
        <v>45369</v>
      </c>
      <c r="C260" s="109" t="s">
        <v>97</v>
      </c>
      <c r="D260" s="109">
        <v>12</v>
      </c>
      <c r="E260" s="110" t="str">
        <f t="shared" si="9"/>
        <v>20240318-255</v>
      </c>
      <c r="F260" s="111" t="s">
        <v>98</v>
      </c>
      <c r="G260" s="111" t="s">
        <v>99</v>
      </c>
      <c r="H260" s="112" t="s">
        <v>1089</v>
      </c>
      <c r="I260" s="113">
        <v>1689.13</v>
      </c>
      <c r="J260" s="111" t="s">
        <v>127</v>
      </c>
      <c r="K260" s="111" t="s">
        <v>1092</v>
      </c>
      <c r="L260" s="111" t="s">
        <v>129</v>
      </c>
      <c r="M260" s="111" t="s">
        <v>104</v>
      </c>
      <c r="N260" s="111" t="s">
        <v>829</v>
      </c>
      <c r="O260" s="111" t="s">
        <v>131</v>
      </c>
      <c r="P260" s="111" t="s">
        <v>830</v>
      </c>
      <c r="Q260" s="110" t="s">
        <v>133</v>
      </c>
      <c r="R260" s="110" t="s">
        <v>831</v>
      </c>
      <c r="S260" s="111" t="s">
        <v>832</v>
      </c>
      <c r="T260" s="111" t="s">
        <v>136</v>
      </c>
      <c r="U260" s="111" t="s">
        <v>129</v>
      </c>
      <c r="V260" s="118">
        <f t="shared" si="11"/>
        <v>1.173377097883258E-2</v>
      </c>
      <c r="W260" s="114" t="str">
        <f>IFERROR(I260-AVERAGEIFS(I$6:I259,J$6:J259,"ICIS / Platts",B$6:B259,B260),"")</f>
        <v/>
      </c>
      <c r="X260" s="110" t="s">
        <v>137</v>
      </c>
      <c r="Y260" s="117" t="str">
        <f t="shared" si="10"/>
        <v>OK</v>
      </c>
      <c r="Z260" s="111" t="s">
        <v>116</v>
      </c>
      <c r="AA260" s="111" t="s">
        <v>115</v>
      </c>
      <c r="AB260" s="111" t="s">
        <v>116</v>
      </c>
      <c r="AC260" s="111" t="s">
        <v>115</v>
      </c>
      <c r="AD260" s="111"/>
    </row>
    <row r="261" spans="2:30" ht="24.75" customHeight="1" x14ac:dyDescent="0.25">
      <c r="B261" s="115">
        <v>45371</v>
      </c>
      <c r="C261" s="116" t="s">
        <v>126</v>
      </c>
      <c r="D261" s="116">
        <v>12</v>
      </c>
      <c r="E261" s="110" t="str">
        <f t="shared" si="9"/>
        <v>20240320-256</v>
      </c>
      <c r="F261" s="111" t="s">
        <v>98</v>
      </c>
      <c r="G261" s="111" t="s">
        <v>99</v>
      </c>
      <c r="H261" s="112" t="s">
        <v>1089</v>
      </c>
      <c r="I261" s="113">
        <v>1636.46</v>
      </c>
      <c r="J261" s="111" t="s">
        <v>139</v>
      </c>
      <c r="K261" s="111" t="s">
        <v>1093</v>
      </c>
      <c r="L261" s="111" t="s">
        <v>103</v>
      </c>
      <c r="M261" s="111" t="s">
        <v>104</v>
      </c>
      <c r="N261" s="111" t="s">
        <v>824</v>
      </c>
      <c r="O261" s="111" t="s">
        <v>106</v>
      </c>
      <c r="P261" s="111" t="s">
        <v>141</v>
      </c>
      <c r="Q261" s="110" t="s">
        <v>133</v>
      </c>
      <c r="R261" s="110" t="s">
        <v>142</v>
      </c>
      <c r="S261" s="111" t="s">
        <v>825</v>
      </c>
      <c r="T261" s="111" t="s">
        <v>111</v>
      </c>
      <c r="U261" s="111" t="s">
        <v>103</v>
      </c>
      <c r="V261" s="118">
        <f t="shared" si="11"/>
        <v>1.7629990572852932E-3</v>
      </c>
      <c r="W261" s="114" t="str">
        <f>IFERROR(I261-AVERAGEIFS(I$6:I260,J$6:J260,"ICIS / Platts",B$6:B260,B261),"")</f>
        <v/>
      </c>
      <c r="X261" s="110" t="s">
        <v>125</v>
      </c>
      <c r="Y261" s="117" t="str">
        <f t="shared" si="10"/>
        <v>OK</v>
      </c>
      <c r="Z261" s="111" t="s">
        <v>116</v>
      </c>
      <c r="AA261" s="111" t="s">
        <v>115</v>
      </c>
      <c r="AB261" s="111" t="s">
        <v>116</v>
      </c>
      <c r="AC261" s="111" t="s">
        <v>115</v>
      </c>
      <c r="AD261" s="111"/>
    </row>
    <row r="262" spans="2:30" ht="24.75" customHeight="1" x14ac:dyDescent="0.25">
      <c r="B262" s="108">
        <v>45371</v>
      </c>
      <c r="C262" s="109" t="s">
        <v>126</v>
      </c>
      <c r="D262" s="109">
        <v>12</v>
      </c>
      <c r="E262" s="110" t="str">
        <f t="shared" ref="E262:E325" si="12">TEXT(B262,"YYYYMMDD")&amp;"-"&amp;TEXT(ROW()-5,"000")</f>
        <v>20240320-257</v>
      </c>
      <c r="F262" s="111" t="s">
        <v>98</v>
      </c>
      <c r="G262" s="111" t="s">
        <v>99</v>
      </c>
      <c r="H262" s="112" t="s">
        <v>1094</v>
      </c>
      <c r="I262" s="113">
        <v>1652</v>
      </c>
      <c r="J262" s="111" t="s">
        <v>101</v>
      </c>
      <c r="K262" s="111" t="s">
        <v>1095</v>
      </c>
      <c r="L262" s="111" t="s">
        <v>103</v>
      </c>
      <c r="M262" s="111" t="s">
        <v>104</v>
      </c>
      <c r="N262" s="111" t="s">
        <v>824</v>
      </c>
      <c r="O262" s="111" t="s">
        <v>106</v>
      </c>
      <c r="P262" s="111" t="s">
        <v>107</v>
      </c>
      <c r="Q262" s="110" t="s">
        <v>108</v>
      </c>
      <c r="R262" s="110" t="s">
        <v>109</v>
      </c>
      <c r="S262" s="111" t="s">
        <v>825</v>
      </c>
      <c r="T262" s="111" t="s">
        <v>111</v>
      </c>
      <c r="U262" s="111" t="s">
        <v>103</v>
      </c>
      <c r="V262" s="118">
        <f t="shared" si="11"/>
        <v>2.4271844660194173E-3</v>
      </c>
      <c r="W262" s="114" t="str">
        <f>IFERROR(I262-AVERAGEIFS(I$6:I261,J$6:J261,"ICIS / Platts",B$6:B261,B262),"")</f>
        <v/>
      </c>
      <c r="X262" s="110" t="s">
        <v>113</v>
      </c>
      <c r="Y262" s="117" t="str">
        <f t="shared" si="10"/>
        <v>OK</v>
      </c>
      <c r="Z262" s="111" t="s">
        <v>116</v>
      </c>
      <c r="AA262" s="111" t="s">
        <v>115</v>
      </c>
      <c r="AB262" s="111" t="s">
        <v>116</v>
      </c>
      <c r="AC262" s="111" t="s">
        <v>115</v>
      </c>
      <c r="AD262" s="111"/>
    </row>
    <row r="263" spans="2:30" ht="24.75" customHeight="1" x14ac:dyDescent="0.25">
      <c r="B263" s="115">
        <v>45371</v>
      </c>
      <c r="C263" s="116" t="s">
        <v>126</v>
      </c>
      <c r="D263" s="116">
        <v>12</v>
      </c>
      <c r="E263" s="110" t="str">
        <f t="shared" si="12"/>
        <v>20240320-258</v>
      </c>
      <c r="F263" s="111" t="s">
        <v>98</v>
      </c>
      <c r="G263" s="111" t="s">
        <v>99</v>
      </c>
      <c r="H263" s="112" t="s">
        <v>1094</v>
      </c>
      <c r="I263" s="113">
        <v>1639.31</v>
      </c>
      <c r="J263" s="111" t="s">
        <v>118</v>
      </c>
      <c r="K263" s="111" t="s">
        <v>1096</v>
      </c>
      <c r="L263" s="111" t="s">
        <v>103</v>
      </c>
      <c r="M263" s="111" t="s">
        <v>104</v>
      </c>
      <c r="N263" s="111" t="s">
        <v>827</v>
      </c>
      <c r="O263" s="111" t="s">
        <v>121</v>
      </c>
      <c r="P263" s="111" t="s">
        <v>132</v>
      </c>
      <c r="Q263" s="110" t="s">
        <v>123</v>
      </c>
      <c r="R263" s="110" t="s">
        <v>134</v>
      </c>
      <c r="S263" s="111" t="s">
        <v>825</v>
      </c>
      <c r="T263" s="111" t="s">
        <v>111</v>
      </c>
      <c r="U263" s="111" t="s">
        <v>103</v>
      </c>
      <c r="V263" s="118">
        <f t="shared" si="11"/>
        <v>-6.8274781612145485E-4</v>
      </c>
      <c r="W263" s="114">
        <f>IFERROR(I263-AVERAGEIFS(I$6:I262,J$6:J262,"ICIS / Platts",B$6:B262,B263),"")</f>
        <v>-12.690000000000055</v>
      </c>
      <c r="X263" s="110" t="s">
        <v>125</v>
      </c>
      <c r="Y263" s="117" t="str">
        <f t="shared" si="10"/>
        <v>OK</v>
      </c>
      <c r="Z263" s="111" t="s">
        <v>116</v>
      </c>
      <c r="AA263" s="111" t="s">
        <v>115</v>
      </c>
      <c r="AB263" s="111" t="s">
        <v>116</v>
      </c>
      <c r="AC263" s="111" t="s">
        <v>115</v>
      </c>
      <c r="AD263" s="111"/>
    </row>
    <row r="264" spans="2:30" ht="24.75" customHeight="1" x14ac:dyDescent="0.25">
      <c r="B264" s="108">
        <v>45376</v>
      </c>
      <c r="C264" s="109" t="s">
        <v>97</v>
      </c>
      <c r="D264" s="109">
        <v>13</v>
      </c>
      <c r="E264" s="110" t="str">
        <f t="shared" si="12"/>
        <v>20240325-259</v>
      </c>
      <c r="F264" s="111" t="s">
        <v>98</v>
      </c>
      <c r="G264" s="111" t="s">
        <v>99</v>
      </c>
      <c r="H264" s="112" t="s">
        <v>1094</v>
      </c>
      <c r="I264" s="113">
        <v>1652.43</v>
      </c>
      <c r="J264" s="111" t="s">
        <v>127</v>
      </c>
      <c r="K264" s="111" t="s">
        <v>1097</v>
      </c>
      <c r="L264" s="111" t="s">
        <v>129</v>
      </c>
      <c r="M264" s="111" t="s">
        <v>104</v>
      </c>
      <c r="N264" s="111" t="s">
        <v>829</v>
      </c>
      <c r="O264" s="111" t="s">
        <v>131</v>
      </c>
      <c r="P264" s="111" t="s">
        <v>830</v>
      </c>
      <c r="Q264" s="110" t="s">
        <v>133</v>
      </c>
      <c r="R264" s="110" t="s">
        <v>831</v>
      </c>
      <c r="S264" s="111" t="s">
        <v>832</v>
      </c>
      <c r="T264" s="111" t="s">
        <v>136</v>
      </c>
      <c r="U264" s="111" t="s">
        <v>129</v>
      </c>
      <c r="V264" s="118">
        <f t="shared" si="11"/>
        <v>-2.1727161319732669E-2</v>
      </c>
      <c r="W264" s="114" t="str">
        <f>IFERROR(I264-AVERAGEIFS(I$6:I263,J$6:J263,"ICIS / Platts",B$6:B263,B264),"")</f>
        <v/>
      </c>
      <c r="X264" s="110" t="s">
        <v>137</v>
      </c>
      <c r="Y264" s="117" t="str">
        <f t="shared" si="10"/>
        <v>OK</v>
      </c>
      <c r="Z264" s="111" t="s">
        <v>116</v>
      </c>
      <c r="AA264" s="111" t="s">
        <v>115</v>
      </c>
      <c r="AB264" s="111" t="s">
        <v>116</v>
      </c>
      <c r="AC264" s="111" t="s">
        <v>115</v>
      </c>
      <c r="AD264" s="111"/>
    </row>
    <row r="265" spans="2:30" ht="24.75" customHeight="1" x14ac:dyDescent="0.25">
      <c r="B265" s="115">
        <v>45378</v>
      </c>
      <c r="C265" s="116" t="s">
        <v>126</v>
      </c>
      <c r="D265" s="116">
        <v>13</v>
      </c>
      <c r="E265" s="110" t="str">
        <f t="shared" si="12"/>
        <v>20240327-260</v>
      </c>
      <c r="F265" s="111" t="s">
        <v>98</v>
      </c>
      <c r="G265" s="111" t="s">
        <v>99</v>
      </c>
      <c r="H265" s="112" t="s">
        <v>1094</v>
      </c>
      <c r="I265" s="113">
        <v>1637.08</v>
      </c>
      <c r="J265" s="111" t="s">
        <v>139</v>
      </c>
      <c r="K265" s="111" t="s">
        <v>1098</v>
      </c>
      <c r="L265" s="111" t="s">
        <v>103</v>
      </c>
      <c r="M265" s="111" t="s">
        <v>104</v>
      </c>
      <c r="N265" s="111" t="s">
        <v>824</v>
      </c>
      <c r="O265" s="111" t="s">
        <v>106</v>
      </c>
      <c r="P265" s="111" t="s">
        <v>141</v>
      </c>
      <c r="Q265" s="110" t="s">
        <v>133</v>
      </c>
      <c r="R265" s="110" t="s">
        <v>142</v>
      </c>
      <c r="S265" s="111" t="s">
        <v>825</v>
      </c>
      <c r="T265" s="111" t="s">
        <v>111</v>
      </c>
      <c r="U265" s="111" t="s">
        <v>103</v>
      </c>
      <c r="V265" s="118">
        <f t="shared" si="11"/>
        <v>3.7886657785701506E-4</v>
      </c>
      <c r="W265" s="114" t="str">
        <f>IFERROR(I265-AVERAGEIFS(I$6:I264,J$6:J264,"ICIS / Platts",B$6:B264,B265),"")</f>
        <v/>
      </c>
      <c r="X265" s="110" t="s">
        <v>125</v>
      </c>
      <c r="Y265" s="117" t="str">
        <f t="shared" si="10"/>
        <v>OK</v>
      </c>
      <c r="Z265" s="111" t="s">
        <v>116</v>
      </c>
      <c r="AA265" s="111" t="s">
        <v>115</v>
      </c>
      <c r="AB265" s="111" t="s">
        <v>116</v>
      </c>
      <c r="AC265" s="111" t="s">
        <v>115</v>
      </c>
      <c r="AD265" s="111"/>
    </row>
    <row r="266" spans="2:30" ht="24.75" customHeight="1" x14ac:dyDescent="0.25">
      <c r="B266" s="108">
        <v>45378</v>
      </c>
      <c r="C266" s="109" t="s">
        <v>126</v>
      </c>
      <c r="D266" s="109">
        <v>13</v>
      </c>
      <c r="E266" s="110" t="str">
        <f t="shared" si="12"/>
        <v>20240327-261</v>
      </c>
      <c r="F266" s="111" t="s">
        <v>98</v>
      </c>
      <c r="G266" s="111" t="s">
        <v>99</v>
      </c>
      <c r="H266" s="112" t="s">
        <v>1099</v>
      </c>
      <c r="I266" s="113">
        <v>1658</v>
      </c>
      <c r="J266" s="111" t="s">
        <v>101</v>
      </c>
      <c r="K266" s="111" t="s">
        <v>1100</v>
      </c>
      <c r="L266" s="111" t="s">
        <v>103</v>
      </c>
      <c r="M266" s="111" t="s">
        <v>104</v>
      </c>
      <c r="N266" s="111" t="s">
        <v>824</v>
      </c>
      <c r="O266" s="111" t="s">
        <v>106</v>
      </c>
      <c r="P266" s="111" t="s">
        <v>107</v>
      </c>
      <c r="Q266" s="110" t="s">
        <v>108</v>
      </c>
      <c r="R266" s="110" t="s">
        <v>109</v>
      </c>
      <c r="S266" s="111" t="s">
        <v>825</v>
      </c>
      <c r="T266" s="111" t="s">
        <v>111</v>
      </c>
      <c r="U266" s="111" t="s">
        <v>103</v>
      </c>
      <c r="V266" s="118">
        <f t="shared" si="11"/>
        <v>3.6319612590799033E-3</v>
      </c>
      <c r="W266" s="114" t="str">
        <f>IFERROR(I266-AVERAGEIFS(I$6:I265,J$6:J265,"ICIS / Platts",B$6:B265,B266),"")</f>
        <v/>
      </c>
      <c r="X266" s="110" t="s">
        <v>113</v>
      </c>
      <c r="Y266" s="117" t="str">
        <f t="shared" si="10"/>
        <v>OK</v>
      </c>
      <c r="Z266" s="111" t="s">
        <v>116</v>
      </c>
      <c r="AA266" s="111" t="s">
        <v>115</v>
      </c>
      <c r="AB266" s="111" t="s">
        <v>116</v>
      </c>
      <c r="AC266" s="111" t="s">
        <v>115</v>
      </c>
      <c r="AD266" s="111"/>
    </row>
    <row r="267" spans="2:30" ht="24.75" customHeight="1" x14ac:dyDescent="0.25">
      <c r="B267" s="115">
        <v>45378</v>
      </c>
      <c r="C267" s="116" t="s">
        <v>126</v>
      </c>
      <c r="D267" s="116">
        <v>13</v>
      </c>
      <c r="E267" s="110" t="str">
        <f t="shared" si="12"/>
        <v>20240327-262</v>
      </c>
      <c r="F267" s="111" t="s">
        <v>98</v>
      </c>
      <c r="G267" s="111" t="s">
        <v>99</v>
      </c>
      <c r="H267" s="112" t="s">
        <v>1099</v>
      </c>
      <c r="I267" s="113">
        <v>1651.34</v>
      </c>
      <c r="J267" s="111" t="s">
        <v>118</v>
      </c>
      <c r="K267" s="111" t="s">
        <v>1101</v>
      </c>
      <c r="L267" s="111" t="s">
        <v>103</v>
      </c>
      <c r="M267" s="111" t="s">
        <v>104</v>
      </c>
      <c r="N267" s="111" t="s">
        <v>827</v>
      </c>
      <c r="O267" s="111" t="s">
        <v>121</v>
      </c>
      <c r="P267" s="111" t="s">
        <v>132</v>
      </c>
      <c r="Q267" s="110" t="s">
        <v>123</v>
      </c>
      <c r="R267" s="110" t="s">
        <v>134</v>
      </c>
      <c r="S267" s="111" t="s">
        <v>825</v>
      </c>
      <c r="T267" s="111" t="s">
        <v>111</v>
      </c>
      <c r="U267" s="111" t="s">
        <v>103</v>
      </c>
      <c r="V267" s="118">
        <f t="shared" si="11"/>
        <v>7.3384533736754933E-3</v>
      </c>
      <c r="W267" s="114">
        <f>IFERROR(I267-AVERAGEIFS(I$6:I266,J$6:J266,"ICIS / Platts",B$6:B266,B267),"")</f>
        <v>-6.6600000000000819</v>
      </c>
      <c r="X267" s="110" t="s">
        <v>125</v>
      </c>
      <c r="Y267" s="117" t="str">
        <f t="shared" si="10"/>
        <v>OK</v>
      </c>
      <c r="Z267" s="111" t="s">
        <v>116</v>
      </c>
      <c r="AA267" s="111" t="s">
        <v>115</v>
      </c>
      <c r="AB267" s="111" t="s">
        <v>116</v>
      </c>
      <c r="AC267" s="111" t="s">
        <v>115</v>
      </c>
      <c r="AD267" s="111"/>
    </row>
    <row r="268" spans="2:30" ht="24.75" customHeight="1" x14ac:dyDescent="0.25">
      <c r="B268" s="108">
        <v>45383</v>
      </c>
      <c r="C268" s="109" t="s">
        <v>97</v>
      </c>
      <c r="D268" s="109">
        <v>14</v>
      </c>
      <c r="E268" s="110" t="str">
        <f t="shared" si="12"/>
        <v>20240401-263</v>
      </c>
      <c r="F268" s="111" t="s">
        <v>98</v>
      </c>
      <c r="G268" s="111" t="s">
        <v>99</v>
      </c>
      <c r="H268" s="112" t="s">
        <v>1099</v>
      </c>
      <c r="I268" s="113">
        <v>1649.58</v>
      </c>
      <c r="J268" s="111" t="s">
        <v>127</v>
      </c>
      <c r="K268" s="111" t="s">
        <v>1102</v>
      </c>
      <c r="L268" s="111" t="s">
        <v>129</v>
      </c>
      <c r="M268" s="111" t="s">
        <v>104</v>
      </c>
      <c r="N268" s="111" t="s">
        <v>829</v>
      </c>
      <c r="O268" s="111" t="s">
        <v>131</v>
      </c>
      <c r="P268" s="111" t="s">
        <v>830</v>
      </c>
      <c r="Q268" s="110" t="s">
        <v>133</v>
      </c>
      <c r="R268" s="110" t="s">
        <v>831</v>
      </c>
      <c r="S268" s="111" t="s">
        <v>832</v>
      </c>
      <c r="T268" s="111" t="s">
        <v>136</v>
      </c>
      <c r="U268" s="111" t="s">
        <v>129</v>
      </c>
      <c r="V268" s="118">
        <f t="shared" si="11"/>
        <v>-1.7247326664367848E-3</v>
      </c>
      <c r="W268" s="114" t="str">
        <f>IFERROR(I268-AVERAGEIFS(I$6:I267,J$6:J267,"ICIS / Platts",B$6:B267,B268),"")</f>
        <v/>
      </c>
      <c r="X268" s="110" t="s">
        <v>137</v>
      </c>
      <c r="Y268" s="117" t="str">
        <f t="shared" si="10"/>
        <v>OK</v>
      </c>
      <c r="Z268" s="111" t="s">
        <v>116</v>
      </c>
      <c r="AA268" s="111" t="s">
        <v>115</v>
      </c>
      <c r="AB268" s="111" t="s">
        <v>116</v>
      </c>
      <c r="AC268" s="111" t="s">
        <v>115</v>
      </c>
      <c r="AD268" s="111"/>
    </row>
    <row r="269" spans="2:30" ht="24.75" customHeight="1" x14ac:dyDescent="0.25">
      <c r="B269" s="115">
        <v>45385</v>
      </c>
      <c r="C269" s="116" t="s">
        <v>126</v>
      </c>
      <c r="D269" s="116">
        <v>14</v>
      </c>
      <c r="E269" s="110" t="str">
        <f t="shared" si="12"/>
        <v>20240403-264</v>
      </c>
      <c r="F269" s="111" t="s">
        <v>98</v>
      </c>
      <c r="G269" s="111" t="s">
        <v>99</v>
      </c>
      <c r="H269" s="112" t="s">
        <v>1099</v>
      </c>
      <c r="I269" s="113">
        <v>1638.37</v>
      </c>
      <c r="J269" s="111" t="s">
        <v>139</v>
      </c>
      <c r="K269" s="111" t="s">
        <v>1103</v>
      </c>
      <c r="L269" s="111" t="s">
        <v>103</v>
      </c>
      <c r="M269" s="111" t="s">
        <v>104</v>
      </c>
      <c r="N269" s="111" t="s">
        <v>824</v>
      </c>
      <c r="O269" s="111" t="s">
        <v>106</v>
      </c>
      <c r="P269" s="111" t="s">
        <v>141</v>
      </c>
      <c r="Q269" s="110" t="s">
        <v>133</v>
      </c>
      <c r="R269" s="110" t="s">
        <v>142</v>
      </c>
      <c r="S269" s="111" t="s">
        <v>825</v>
      </c>
      <c r="T269" s="111" t="s">
        <v>111</v>
      </c>
      <c r="U269" s="111" t="s">
        <v>103</v>
      </c>
      <c r="V269" s="118">
        <f t="shared" si="11"/>
        <v>7.8798836953598091E-4</v>
      </c>
      <c r="W269" s="114" t="str">
        <f>IFERROR(I269-AVERAGEIFS(I$6:I268,J$6:J268,"ICIS / Platts",B$6:B268,B269),"")</f>
        <v/>
      </c>
      <c r="X269" s="110" t="s">
        <v>125</v>
      </c>
      <c r="Y269" s="117" t="str">
        <f t="shared" si="10"/>
        <v>OK</v>
      </c>
      <c r="Z269" s="111" t="s">
        <v>116</v>
      </c>
      <c r="AA269" s="111" t="s">
        <v>115</v>
      </c>
      <c r="AB269" s="111" t="s">
        <v>116</v>
      </c>
      <c r="AC269" s="111" t="s">
        <v>115</v>
      </c>
      <c r="AD269" s="111"/>
    </row>
    <row r="270" spans="2:30" ht="24.75" customHeight="1" x14ac:dyDescent="0.25">
      <c r="B270" s="108">
        <v>45385</v>
      </c>
      <c r="C270" s="109" t="s">
        <v>126</v>
      </c>
      <c r="D270" s="109">
        <v>14</v>
      </c>
      <c r="E270" s="110" t="str">
        <f t="shared" si="12"/>
        <v>20240403-265</v>
      </c>
      <c r="F270" s="111" t="s">
        <v>98</v>
      </c>
      <c r="G270" s="111" t="s">
        <v>99</v>
      </c>
      <c r="H270" s="112" t="s">
        <v>1104</v>
      </c>
      <c r="I270" s="113">
        <v>1662</v>
      </c>
      <c r="J270" s="111" t="s">
        <v>101</v>
      </c>
      <c r="K270" s="111" t="s">
        <v>1105</v>
      </c>
      <c r="L270" s="111" t="s">
        <v>103</v>
      </c>
      <c r="M270" s="111" t="s">
        <v>104</v>
      </c>
      <c r="N270" s="111" t="s">
        <v>824</v>
      </c>
      <c r="O270" s="111" t="s">
        <v>106</v>
      </c>
      <c r="P270" s="111" t="s">
        <v>107</v>
      </c>
      <c r="Q270" s="110" t="s">
        <v>108</v>
      </c>
      <c r="R270" s="110" t="s">
        <v>109</v>
      </c>
      <c r="S270" s="111" t="s">
        <v>825</v>
      </c>
      <c r="T270" s="111" t="s">
        <v>111</v>
      </c>
      <c r="U270" s="111" t="s">
        <v>103</v>
      </c>
      <c r="V270" s="118">
        <f t="shared" si="11"/>
        <v>2.4125452352231603E-3</v>
      </c>
      <c r="W270" s="114" t="str">
        <f>IFERROR(I270-AVERAGEIFS(I$6:I269,J$6:J269,"ICIS / Platts",B$6:B269,B270),"")</f>
        <v/>
      </c>
      <c r="X270" s="110" t="s">
        <v>113</v>
      </c>
      <c r="Y270" s="117" t="str">
        <f t="shared" si="10"/>
        <v>OK</v>
      </c>
      <c r="Z270" s="111" t="s">
        <v>116</v>
      </c>
      <c r="AA270" s="111" t="s">
        <v>115</v>
      </c>
      <c r="AB270" s="111" t="s">
        <v>116</v>
      </c>
      <c r="AC270" s="111" t="s">
        <v>115</v>
      </c>
      <c r="AD270" s="111"/>
    </row>
    <row r="271" spans="2:30" ht="24.75" customHeight="1" x14ac:dyDescent="0.25">
      <c r="B271" s="115">
        <v>45385</v>
      </c>
      <c r="C271" s="116" t="s">
        <v>126</v>
      </c>
      <c r="D271" s="116">
        <v>14</v>
      </c>
      <c r="E271" s="110" t="str">
        <f t="shared" si="12"/>
        <v>20240403-266</v>
      </c>
      <c r="F271" s="111" t="s">
        <v>98</v>
      </c>
      <c r="G271" s="111" t="s">
        <v>99</v>
      </c>
      <c r="H271" s="112" t="s">
        <v>1104</v>
      </c>
      <c r="I271" s="113">
        <v>1670.65</v>
      </c>
      <c r="J271" s="111" t="s">
        <v>118</v>
      </c>
      <c r="K271" s="111" t="s">
        <v>1106</v>
      </c>
      <c r="L271" s="111" t="s">
        <v>103</v>
      </c>
      <c r="M271" s="111" t="s">
        <v>104</v>
      </c>
      <c r="N271" s="111" t="s">
        <v>827</v>
      </c>
      <c r="O271" s="111" t="s">
        <v>121</v>
      </c>
      <c r="P271" s="111" t="s">
        <v>132</v>
      </c>
      <c r="Q271" s="110" t="s">
        <v>123</v>
      </c>
      <c r="R271" s="110" t="s">
        <v>134</v>
      </c>
      <c r="S271" s="111" t="s">
        <v>825</v>
      </c>
      <c r="T271" s="111" t="s">
        <v>111</v>
      </c>
      <c r="U271" s="111" t="s">
        <v>103</v>
      </c>
      <c r="V271" s="118">
        <f t="shared" si="11"/>
        <v>1.1693533736238554E-2</v>
      </c>
      <c r="W271" s="114">
        <f>IFERROR(I271-AVERAGEIFS(I$6:I270,J$6:J270,"ICIS / Platts",B$6:B270,B271),"")</f>
        <v>8.6500000000000909</v>
      </c>
      <c r="X271" s="110" t="s">
        <v>125</v>
      </c>
      <c r="Y271" s="117" t="str">
        <f t="shared" si="10"/>
        <v>OK</v>
      </c>
      <c r="Z271" s="111" t="s">
        <v>116</v>
      </c>
      <c r="AA271" s="111" t="s">
        <v>115</v>
      </c>
      <c r="AB271" s="111" t="s">
        <v>116</v>
      </c>
      <c r="AC271" s="111" t="s">
        <v>115</v>
      </c>
      <c r="AD271" s="111"/>
    </row>
    <row r="272" spans="2:30" ht="24.75" customHeight="1" x14ac:dyDescent="0.25">
      <c r="B272" s="108">
        <v>45390</v>
      </c>
      <c r="C272" s="109" t="s">
        <v>97</v>
      </c>
      <c r="D272" s="109">
        <v>15</v>
      </c>
      <c r="E272" s="110" t="str">
        <f t="shared" si="12"/>
        <v>20240408-267</v>
      </c>
      <c r="F272" s="111" t="s">
        <v>98</v>
      </c>
      <c r="G272" s="111" t="s">
        <v>99</v>
      </c>
      <c r="H272" s="112" t="s">
        <v>1104</v>
      </c>
      <c r="I272" s="113">
        <v>1679.22</v>
      </c>
      <c r="J272" s="111" t="s">
        <v>127</v>
      </c>
      <c r="K272" s="111" t="s">
        <v>1107</v>
      </c>
      <c r="L272" s="111" t="s">
        <v>129</v>
      </c>
      <c r="M272" s="111" t="s">
        <v>104</v>
      </c>
      <c r="N272" s="111" t="s">
        <v>829</v>
      </c>
      <c r="O272" s="111" t="s">
        <v>131</v>
      </c>
      <c r="P272" s="111" t="s">
        <v>830</v>
      </c>
      <c r="Q272" s="110" t="s">
        <v>133</v>
      </c>
      <c r="R272" s="110" t="s">
        <v>831</v>
      </c>
      <c r="S272" s="111" t="s">
        <v>832</v>
      </c>
      <c r="T272" s="111" t="s">
        <v>136</v>
      </c>
      <c r="U272" s="111" t="s">
        <v>129</v>
      </c>
      <c r="V272" s="118">
        <f t="shared" si="11"/>
        <v>1.7968210089841112E-2</v>
      </c>
      <c r="W272" s="114" t="str">
        <f>IFERROR(I272-AVERAGEIFS(I$6:I271,J$6:J271,"ICIS / Platts",B$6:B271,B272),"")</f>
        <v/>
      </c>
      <c r="X272" s="110" t="s">
        <v>137</v>
      </c>
      <c r="Y272" s="117" t="str">
        <f t="shared" si="10"/>
        <v>OK</v>
      </c>
      <c r="Z272" s="111" t="s">
        <v>116</v>
      </c>
      <c r="AA272" s="111" t="s">
        <v>115</v>
      </c>
      <c r="AB272" s="111" t="s">
        <v>116</v>
      </c>
      <c r="AC272" s="111" t="s">
        <v>115</v>
      </c>
      <c r="AD272" s="111"/>
    </row>
    <row r="273" spans="2:30" ht="24.75" customHeight="1" x14ac:dyDescent="0.25">
      <c r="B273" s="115">
        <v>45392</v>
      </c>
      <c r="C273" s="116" t="s">
        <v>126</v>
      </c>
      <c r="D273" s="116">
        <v>15</v>
      </c>
      <c r="E273" s="110" t="str">
        <f t="shared" si="12"/>
        <v>20240410-268</v>
      </c>
      <c r="F273" s="111" t="s">
        <v>98</v>
      </c>
      <c r="G273" s="111" t="s">
        <v>99</v>
      </c>
      <c r="H273" s="112" t="s">
        <v>1104</v>
      </c>
      <c r="I273" s="113">
        <v>1657.65</v>
      </c>
      <c r="J273" s="111" t="s">
        <v>139</v>
      </c>
      <c r="K273" s="111" t="s">
        <v>1108</v>
      </c>
      <c r="L273" s="111" t="s">
        <v>103</v>
      </c>
      <c r="M273" s="111" t="s">
        <v>104</v>
      </c>
      <c r="N273" s="111" t="s">
        <v>824</v>
      </c>
      <c r="O273" s="111" t="s">
        <v>106</v>
      </c>
      <c r="P273" s="111" t="s">
        <v>141</v>
      </c>
      <c r="Q273" s="110" t="s">
        <v>133</v>
      </c>
      <c r="R273" s="110" t="s">
        <v>142</v>
      </c>
      <c r="S273" s="111" t="s">
        <v>825</v>
      </c>
      <c r="T273" s="111" t="s">
        <v>111</v>
      </c>
      <c r="U273" s="111" t="s">
        <v>103</v>
      </c>
      <c r="V273" s="118">
        <f t="shared" si="11"/>
        <v>1.1767793599736447E-2</v>
      </c>
      <c r="W273" s="114" t="str">
        <f>IFERROR(I273-AVERAGEIFS(I$6:I272,J$6:J272,"ICIS / Platts",B$6:B272,B273),"")</f>
        <v/>
      </c>
      <c r="X273" s="110" t="s">
        <v>125</v>
      </c>
      <c r="Y273" s="117" t="str">
        <f t="shared" si="10"/>
        <v>OK</v>
      </c>
      <c r="Z273" s="111" t="s">
        <v>116</v>
      </c>
      <c r="AA273" s="111" t="s">
        <v>115</v>
      </c>
      <c r="AB273" s="111" t="s">
        <v>116</v>
      </c>
      <c r="AC273" s="111" t="s">
        <v>115</v>
      </c>
      <c r="AD273" s="111"/>
    </row>
    <row r="274" spans="2:30" ht="24.75" customHeight="1" x14ac:dyDescent="0.25">
      <c r="B274" s="108">
        <v>45392</v>
      </c>
      <c r="C274" s="109" t="s">
        <v>126</v>
      </c>
      <c r="D274" s="109">
        <v>15</v>
      </c>
      <c r="E274" s="110" t="str">
        <f t="shared" si="12"/>
        <v>20240410-269</v>
      </c>
      <c r="F274" s="111" t="s">
        <v>98</v>
      </c>
      <c r="G274" s="111" t="s">
        <v>99</v>
      </c>
      <c r="H274" s="112" t="s">
        <v>1109</v>
      </c>
      <c r="I274" s="113">
        <v>1668</v>
      </c>
      <c r="J274" s="111" t="s">
        <v>101</v>
      </c>
      <c r="K274" s="111" t="s">
        <v>1110</v>
      </c>
      <c r="L274" s="111" t="s">
        <v>103</v>
      </c>
      <c r="M274" s="111" t="s">
        <v>104</v>
      </c>
      <c r="N274" s="111" t="s">
        <v>824</v>
      </c>
      <c r="O274" s="111" t="s">
        <v>106</v>
      </c>
      <c r="P274" s="111" t="s">
        <v>107</v>
      </c>
      <c r="Q274" s="110" t="s">
        <v>108</v>
      </c>
      <c r="R274" s="110" t="s">
        <v>109</v>
      </c>
      <c r="S274" s="111" t="s">
        <v>825</v>
      </c>
      <c r="T274" s="111" t="s">
        <v>111</v>
      </c>
      <c r="U274" s="111" t="s">
        <v>103</v>
      </c>
      <c r="V274" s="118">
        <f t="shared" si="11"/>
        <v>3.6101083032490976E-3</v>
      </c>
      <c r="W274" s="114" t="str">
        <f>IFERROR(I274-AVERAGEIFS(I$6:I273,J$6:J273,"ICIS / Platts",B$6:B273,B274),"")</f>
        <v/>
      </c>
      <c r="X274" s="110" t="s">
        <v>113</v>
      </c>
      <c r="Y274" s="117" t="str">
        <f t="shared" si="10"/>
        <v>OK</v>
      </c>
      <c r="Z274" s="111" t="s">
        <v>116</v>
      </c>
      <c r="AA274" s="111" t="s">
        <v>115</v>
      </c>
      <c r="AB274" s="111" t="s">
        <v>116</v>
      </c>
      <c r="AC274" s="111" t="s">
        <v>115</v>
      </c>
      <c r="AD274" s="111"/>
    </row>
    <row r="275" spans="2:30" ht="24.75" customHeight="1" x14ac:dyDescent="0.25">
      <c r="B275" s="115">
        <v>45392</v>
      </c>
      <c r="C275" s="116" t="s">
        <v>126</v>
      </c>
      <c r="D275" s="116">
        <v>15</v>
      </c>
      <c r="E275" s="110" t="str">
        <f t="shared" si="12"/>
        <v>20240410-270</v>
      </c>
      <c r="F275" s="111" t="s">
        <v>98</v>
      </c>
      <c r="G275" s="111" t="s">
        <v>99</v>
      </c>
      <c r="H275" s="112" t="s">
        <v>1109</v>
      </c>
      <c r="I275" s="113">
        <v>1658.94</v>
      </c>
      <c r="J275" s="111" t="s">
        <v>118</v>
      </c>
      <c r="K275" s="111" t="s">
        <v>1111</v>
      </c>
      <c r="L275" s="111" t="s">
        <v>103</v>
      </c>
      <c r="M275" s="111" t="s">
        <v>104</v>
      </c>
      <c r="N275" s="111" t="s">
        <v>827</v>
      </c>
      <c r="O275" s="111" t="s">
        <v>121</v>
      </c>
      <c r="P275" s="111" t="s">
        <v>132</v>
      </c>
      <c r="Q275" s="110" t="s">
        <v>123</v>
      </c>
      <c r="R275" s="110" t="s">
        <v>134</v>
      </c>
      <c r="S275" s="111" t="s">
        <v>825</v>
      </c>
      <c r="T275" s="111" t="s">
        <v>111</v>
      </c>
      <c r="U275" s="111" t="s">
        <v>103</v>
      </c>
      <c r="V275" s="118">
        <f t="shared" si="11"/>
        <v>-7.0092478975249369E-3</v>
      </c>
      <c r="W275" s="114">
        <f>IFERROR(I275-AVERAGEIFS(I$6:I274,J$6:J274,"ICIS / Platts",B$6:B274,B275),"")</f>
        <v>-9.0599999999999454</v>
      </c>
      <c r="X275" s="110" t="s">
        <v>125</v>
      </c>
      <c r="Y275" s="117" t="str">
        <f t="shared" si="10"/>
        <v>OK</v>
      </c>
      <c r="Z275" s="111" t="s">
        <v>116</v>
      </c>
      <c r="AA275" s="111" t="s">
        <v>115</v>
      </c>
      <c r="AB275" s="111" t="s">
        <v>116</v>
      </c>
      <c r="AC275" s="111" t="s">
        <v>115</v>
      </c>
      <c r="AD275" s="111"/>
    </row>
    <row r="276" spans="2:30" ht="24.75" customHeight="1" x14ac:dyDescent="0.25">
      <c r="B276" s="108">
        <v>45397</v>
      </c>
      <c r="C276" s="109" t="s">
        <v>97</v>
      </c>
      <c r="D276" s="109">
        <v>16</v>
      </c>
      <c r="E276" s="110" t="str">
        <f t="shared" si="12"/>
        <v>20240415-271</v>
      </c>
      <c r="F276" s="111" t="s">
        <v>98</v>
      </c>
      <c r="G276" s="111" t="s">
        <v>99</v>
      </c>
      <c r="H276" s="112" t="s">
        <v>1109</v>
      </c>
      <c r="I276" s="113">
        <v>1642.13</v>
      </c>
      <c r="J276" s="111" t="s">
        <v>127</v>
      </c>
      <c r="K276" s="111" t="s">
        <v>1112</v>
      </c>
      <c r="L276" s="111" t="s">
        <v>129</v>
      </c>
      <c r="M276" s="111" t="s">
        <v>104</v>
      </c>
      <c r="N276" s="111" t="s">
        <v>829</v>
      </c>
      <c r="O276" s="111" t="s">
        <v>131</v>
      </c>
      <c r="P276" s="111" t="s">
        <v>830</v>
      </c>
      <c r="Q276" s="110" t="s">
        <v>133</v>
      </c>
      <c r="R276" s="110" t="s">
        <v>831</v>
      </c>
      <c r="S276" s="111" t="s">
        <v>832</v>
      </c>
      <c r="T276" s="111" t="s">
        <v>136</v>
      </c>
      <c r="U276" s="111" t="s">
        <v>129</v>
      </c>
      <c r="V276" s="118">
        <f t="shared" si="11"/>
        <v>-2.2087635926203785E-2</v>
      </c>
      <c r="W276" s="114" t="str">
        <f>IFERROR(I276-AVERAGEIFS(I$6:I275,J$6:J275,"ICIS / Platts",B$6:B275,B276),"")</f>
        <v/>
      </c>
      <c r="X276" s="110" t="s">
        <v>137</v>
      </c>
      <c r="Y276" s="117" t="str">
        <f t="shared" si="10"/>
        <v>OK</v>
      </c>
      <c r="Z276" s="111" t="s">
        <v>116</v>
      </c>
      <c r="AA276" s="111" t="s">
        <v>115</v>
      </c>
      <c r="AB276" s="111" t="s">
        <v>116</v>
      </c>
      <c r="AC276" s="111" t="s">
        <v>115</v>
      </c>
      <c r="AD276" s="111"/>
    </row>
    <row r="277" spans="2:30" ht="24.75" customHeight="1" x14ac:dyDescent="0.25">
      <c r="B277" s="115">
        <v>45399</v>
      </c>
      <c r="C277" s="116" t="s">
        <v>126</v>
      </c>
      <c r="D277" s="116">
        <v>16</v>
      </c>
      <c r="E277" s="110" t="str">
        <f t="shared" si="12"/>
        <v>20240417-272</v>
      </c>
      <c r="F277" s="111" t="s">
        <v>98</v>
      </c>
      <c r="G277" s="111" t="s">
        <v>99</v>
      </c>
      <c r="H277" s="112" t="s">
        <v>1109</v>
      </c>
      <c r="I277" s="113">
        <v>1657.22</v>
      </c>
      <c r="J277" s="111" t="s">
        <v>139</v>
      </c>
      <c r="K277" s="111" t="s">
        <v>1113</v>
      </c>
      <c r="L277" s="111" t="s">
        <v>103</v>
      </c>
      <c r="M277" s="111" t="s">
        <v>104</v>
      </c>
      <c r="N277" s="111" t="s">
        <v>824</v>
      </c>
      <c r="O277" s="111" t="s">
        <v>106</v>
      </c>
      <c r="P277" s="111" t="s">
        <v>141</v>
      </c>
      <c r="Q277" s="110" t="s">
        <v>133</v>
      </c>
      <c r="R277" s="110" t="s">
        <v>142</v>
      </c>
      <c r="S277" s="111" t="s">
        <v>825</v>
      </c>
      <c r="T277" s="111" t="s">
        <v>111</v>
      </c>
      <c r="U277" s="111" t="s">
        <v>103</v>
      </c>
      <c r="V277" s="118">
        <f t="shared" si="11"/>
        <v>-2.5940337224387755E-4</v>
      </c>
      <c r="W277" s="114" t="str">
        <f>IFERROR(I277-AVERAGEIFS(I$6:I276,J$6:J276,"ICIS / Platts",B$6:B276,B277),"")</f>
        <v/>
      </c>
      <c r="X277" s="110" t="s">
        <v>125</v>
      </c>
      <c r="Y277" s="117" t="str">
        <f t="shared" ref="Y277:Y340" si="13">IFERROR(IF(ABS(I277-AVERAGE(I269:I276))/AVERAGE(I269:I276)&gt;0.1,"⚠ CHECK","OK"),"OK")</f>
        <v>OK</v>
      </c>
      <c r="Z277" s="111" t="s">
        <v>116</v>
      </c>
      <c r="AA277" s="111" t="s">
        <v>115</v>
      </c>
      <c r="AB277" s="111" t="s">
        <v>116</v>
      </c>
      <c r="AC277" s="111" t="s">
        <v>115</v>
      </c>
      <c r="AD277" s="111"/>
    </row>
    <row r="278" spans="2:30" ht="24.75" customHeight="1" x14ac:dyDescent="0.25">
      <c r="B278" s="108">
        <v>45399</v>
      </c>
      <c r="C278" s="109" t="s">
        <v>126</v>
      </c>
      <c r="D278" s="109">
        <v>16</v>
      </c>
      <c r="E278" s="110" t="str">
        <f t="shared" si="12"/>
        <v>20240417-273</v>
      </c>
      <c r="F278" s="111" t="s">
        <v>98</v>
      </c>
      <c r="G278" s="111" t="s">
        <v>99</v>
      </c>
      <c r="H278" s="112" t="s">
        <v>1114</v>
      </c>
      <c r="I278" s="113">
        <v>1672</v>
      </c>
      <c r="J278" s="111" t="s">
        <v>101</v>
      </c>
      <c r="K278" s="111" t="s">
        <v>1115</v>
      </c>
      <c r="L278" s="111" t="s">
        <v>103</v>
      </c>
      <c r="M278" s="111" t="s">
        <v>104</v>
      </c>
      <c r="N278" s="111" t="s">
        <v>824</v>
      </c>
      <c r="O278" s="111" t="s">
        <v>106</v>
      </c>
      <c r="P278" s="111" t="s">
        <v>107</v>
      </c>
      <c r="Q278" s="110" t="s">
        <v>108</v>
      </c>
      <c r="R278" s="110" t="s">
        <v>109</v>
      </c>
      <c r="S278" s="111" t="s">
        <v>825</v>
      </c>
      <c r="T278" s="111" t="s">
        <v>111</v>
      </c>
      <c r="U278" s="111" t="s">
        <v>103</v>
      </c>
      <c r="V278" s="118">
        <f t="shared" si="11"/>
        <v>2.3980815347721821E-3</v>
      </c>
      <c r="W278" s="114" t="str">
        <f>IFERROR(I278-AVERAGEIFS(I$6:I277,J$6:J277,"ICIS / Platts",B$6:B277,B278),"")</f>
        <v/>
      </c>
      <c r="X278" s="110" t="s">
        <v>113</v>
      </c>
      <c r="Y278" s="117" t="str">
        <f t="shared" si="13"/>
        <v>OK</v>
      </c>
      <c r="Z278" s="111" t="s">
        <v>116</v>
      </c>
      <c r="AA278" s="111" t="s">
        <v>115</v>
      </c>
      <c r="AB278" s="111" t="s">
        <v>116</v>
      </c>
      <c r="AC278" s="111" t="s">
        <v>115</v>
      </c>
      <c r="AD278" s="111"/>
    </row>
    <row r="279" spans="2:30" ht="24.75" customHeight="1" x14ac:dyDescent="0.25">
      <c r="B279" s="115">
        <v>45399</v>
      </c>
      <c r="C279" s="116" t="s">
        <v>126</v>
      </c>
      <c r="D279" s="116">
        <v>16</v>
      </c>
      <c r="E279" s="110" t="str">
        <f t="shared" si="12"/>
        <v>20240417-274</v>
      </c>
      <c r="F279" s="111" t="s">
        <v>98</v>
      </c>
      <c r="G279" s="111" t="s">
        <v>99</v>
      </c>
      <c r="H279" s="112" t="s">
        <v>1114</v>
      </c>
      <c r="I279" s="113">
        <v>1682.48</v>
      </c>
      <c r="J279" s="111" t="s">
        <v>118</v>
      </c>
      <c r="K279" s="111" t="s">
        <v>1116</v>
      </c>
      <c r="L279" s="111" t="s">
        <v>103</v>
      </c>
      <c r="M279" s="111" t="s">
        <v>104</v>
      </c>
      <c r="N279" s="111" t="s">
        <v>827</v>
      </c>
      <c r="O279" s="111" t="s">
        <v>121</v>
      </c>
      <c r="P279" s="111" t="s">
        <v>132</v>
      </c>
      <c r="Q279" s="110" t="s">
        <v>123</v>
      </c>
      <c r="R279" s="110" t="s">
        <v>134</v>
      </c>
      <c r="S279" s="111" t="s">
        <v>825</v>
      </c>
      <c r="T279" s="111" t="s">
        <v>111</v>
      </c>
      <c r="U279" s="111" t="s">
        <v>103</v>
      </c>
      <c r="V279" s="118">
        <f t="shared" si="11"/>
        <v>1.4189783837872354E-2</v>
      </c>
      <c r="W279" s="114">
        <f>IFERROR(I279-AVERAGEIFS(I$6:I278,J$6:J278,"ICIS / Platts",B$6:B278,B279),"")</f>
        <v>10.480000000000018</v>
      </c>
      <c r="X279" s="110" t="s">
        <v>125</v>
      </c>
      <c r="Y279" s="117" t="str">
        <f t="shared" si="13"/>
        <v>OK</v>
      </c>
      <c r="Z279" s="111" t="s">
        <v>116</v>
      </c>
      <c r="AA279" s="111" t="s">
        <v>115</v>
      </c>
      <c r="AB279" s="111" t="s">
        <v>116</v>
      </c>
      <c r="AC279" s="111" t="s">
        <v>115</v>
      </c>
      <c r="AD279" s="111"/>
    </row>
    <row r="280" spans="2:30" ht="24.75" customHeight="1" x14ac:dyDescent="0.25">
      <c r="B280" s="108">
        <v>45404</v>
      </c>
      <c r="C280" s="109" t="s">
        <v>97</v>
      </c>
      <c r="D280" s="109">
        <v>17</v>
      </c>
      <c r="E280" s="110" t="str">
        <f t="shared" si="12"/>
        <v>20240422-275</v>
      </c>
      <c r="F280" s="111" t="s">
        <v>98</v>
      </c>
      <c r="G280" s="111" t="s">
        <v>99</v>
      </c>
      <c r="H280" s="112" t="s">
        <v>1114</v>
      </c>
      <c r="I280" s="113">
        <v>1660.77</v>
      </c>
      <c r="J280" s="111" t="s">
        <v>127</v>
      </c>
      <c r="K280" s="111" t="s">
        <v>1117</v>
      </c>
      <c r="L280" s="111" t="s">
        <v>129</v>
      </c>
      <c r="M280" s="111" t="s">
        <v>104</v>
      </c>
      <c r="N280" s="111" t="s">
        <v>829</v>
      </c>
      <c r="O280" s="111" t="s">
        <v>131</v>
      </c>
      <c r="P280" s="111" t="s">
        <v>830</v>
      </c>
      <c r="Q280" s="110" t="s">
        <v>133</v>
      </c>
      <c r="R280" s="110" t="s">
        <v>831</v>
      </c>
      <c r="S280" s="111" t="s">
        <v>832</v>
      </c>
      <c r="T280" s="111" t="s">
        <v>136</v>
      </c>
      <c r="U280" s="111" t="s">
        <v>129</v>
      </c>
      <c r="V280" s="118">
        <f t="shared" si="11"/>
        <v>1.1351111056980794E-2</v>
      </c>
      <c r="W280" s="114" t="str">
        <f>IFERROR(I280-AVERAGEIFS(I$6:I279,J$6:J279,"ICIS / Platts",B$6:B279,B280),"")</f>
        <v/>
      </c>
      <c r="X280" s="110" t="s">
        <v>137</v>
      </c>
      <c r="Y280" s="117" t="str">
        <f t="shared" si="13"/>
        <v>OK</v>
      </c>
      <c r="Z280" s="111" t="s">
        <v>116</v>
      </c>
      <c r="AA280" s="111" t="s">
        <v>115</v>
      </c>
      <c r="AB280" s="111" t="s">
        <v>116</v>
      </c>
      <c r="AC280" s="111" t="s">
        <v>115</v>
      </c>
      <c r="AD280" s="111"/>
    </row>
    <row r="281" spans="2:30" ht="24.75" customHeight="1" x14ac:dyDescent="0.25">
      <c r="B281" s="115">
        <v>45406</v>
      </c>
      <c r="C281" s="116" t="s">
        <v>126</v>
      </c>
      <c r="D281" s="116">
        <v>17</v>
      </c>
      <c r="E281" s="110" t="str">
        <f t="shared" si="12"/>
        <v>20240424-276</v>
      </c>
      <c r="F281" s="111" t="s">
        <v>98</v>
      </c>
      <c r="G281" s="111" t="s">
        <v>99</v>
      </c>
      <c r="H281" s="112" t="s">
        <v>1114</v>
      </c>
      <c r="I281" s="113">
        <v>1672.35</v>
      </c>
      <c r="J281" s="111" t="s">
        <v>139</v>
      </c>
      <c r="K281" s="111" t="s">
        <v>1118</v>
      </c>
      <c r="L281" s="111" t="s">
        <v>103</v>
      </c>
      <c r="M281" s="111" t="s">
        <v>104</v>
      </c>
      <c r="N281" s="111" t="s">
        <v>824</v>
      </c>
      <c r="O281" s="111" t="s">
        <v>106</v>
      </c>
      <c r="P281" s="111" t="s">
        <v>141</v>
      </c>
      <c r="Q281" s="110" t="s">
        <v>133</v>
      </c>
      <c r="R281" s="110" t="s">
        <v>142</v>
      </c>
      <c r="S281" s="111" t="s">
        <v>825</v>
      </c>
      <c r="T281" s="111" t="s">
        <v>111</v>
      </c>
      <c r="U281" s="111" t="s">
        <v>103</v>
      </c>
      <c r="V281" s="118">
        <f t="shared" si="11"/>
        <v>9.1297474083102317E-3</v>
      </c>
      <c r="W281" s="114" t="str">
        <f>IFERROR(I281-AVERAGEIFS(I$6:I280,J$6:J280,"ICIS / Platts",B$6:B280,B281),"")</f>
        <v/>
      </c>
      <c r="X281" s="110" t="s">
        <v>125</v>
      </c>
      <c r="Y281" s="117" t="str">
        <f t="shared" si="13"/>
        <v>OK</v>
      </c>
      <c r="Z281" s="111" t="s">
        <v>116</v>
      </c>
      <c r="AA281" s="111" t="s">
        <v>115</v>
      </c>
      <c r="AB281" s="111" t="s">
        <v>116</v>
      </c>
      <c r="AC281" s="111" t="s">
        <v>115</v>
      </c>
      <c r="AD281" s="111"/>
    </row>
    <row r="282" spans="2:30" ht="24.75" customHeight="1" x14ac:dyDescent="0.25">
      <c r="B282" s="108">
        <v>45406</v>
      </c>
      <c r="C282" s="109" t="s">
        <v>126</v>
      </c>
      <c r="D282" s="109">
        <v>17</v>
      </c>
      <c r="E282" s="110" t="str">
        <f t="shared" si="12"/>
        <v>20240424-277</v>
      </c>
      <c r="F282" s="111" t="s">
        <v>98</v>
      </c>
      <c r="G282" s="111" t="s">
        <v>99</v>
      </c>
      <c r="H282" s="112" t="s">
        <v>1119</v>
      </c>
      <c r="I282" s="113">
        <v>1678</v>
      </c>
      <c r="J282" s="111" t="s">
        <v>101</v>
      </c>
      <c r="K282" s="111" t="s">
        <v>1120</v>
      </c>
      <c r="L282" s="111" t="s">
        <v>103</v>
      </c>
      <c r="M282" s="111" t="s">
        <v>104</v>
      </c>
      <c r="N282" s="111" t="s">
        <v>824</v>
      </c>
      <c r="O282" s="111" t="s">
        <v>106</v>
      </c>
      <c r="P282" s="111" t="s">
        <v>107</v>
      </c>
      <c r="Q282" s="110" t="s">
        <v>108</v>
      </c>
      <c r="R282" s="110" t="s">
        <v>109</v>
      </c>
      <c r="S282" s="111" t="s">
        <v>825</v>
      </c>
      <c r="T282" s="111" t="s">
        <v>111</v>
      </c>
      <c r="U282" s="111" t="s">
        <v>103</v>
      </c>
      <c r="V282" s="118">
        <f t="shared" si="11"/>
        <v>3.5885167464114833E-3</v>
      </c>
      <c r="W282" s="114" t="str">
        <f>IFERROR(I282-AVERAGEIFS(I$6:I281,J$6:J281,"ICIS / Platts",B$6:B281,B282),"")</f>
        <v/>
      </c>
      <c r="X282" s="110" t="s">
        <v>113</v>
      </c>
      <c r="Y282" s="117" t="str">
        <f t="shared" si="13"/>
        <v>OK</v>
      </c>
      <c r="Z282" s="111" t="s">
        <v>116</v>
      </c>
      <c r="AA282" s="111" t="s">
        <v>115</v>
      </c>
      <c r="AB282" s="111" t="s">
        <v>116</v>
      </c>
      <c r="AC282" s="111" t="s">
        <v>116</v>
      </c>
      <c r="AD282" s="111"/>
    </row>
    <row r="283" spans="2:30" ht="24.75" customHeight="1" x14ac:dyDescent="0.25">
      <c r="B283" s="115">
        <v>45406</v>
      </c>
      <c r="C283" s="116" t="s">
        <v>126</v>
      </c>
      <c r="D283" s="116">
        <v>17</v>
      </c>
      <c r="E283" s="110" t="str">
        <f t="shared" si="12"/>
        <v>20240424-278</v>
      </c>
      <c r="F283" s="111" t="s">
        <v>98</v>
      </c>
      <c r="G283" s="111" t="s">
        <v>99</v>
      </c>
      <c r="H283" s="112" t="s">
        <v>1119</v>
      </c>
      <c r="I283" s="113">
        <v>1704.14</v>
      </c>
      <c r="J283" s="111" t="s">
        <v>118</v>
      </c>
      <c r="K283" s="111" t="s">
        <v>1121</v>
      </c>
      <c r="L283" s="111" t="s">
        <v>103</v>
      </c>
      <c r="M283" s="111" t="s">
        <v>104</v>
      </c>
      <c r="N283" s="111" t="s">
        <v>827</v>
      </c>
      <c r="O283" s="111" t="s">
        <v>121</v>
      </c>
      <c r="P283" s="111" t="s">
        <v>132</v>
      </c>
      <c r="Q283" s="110" t="s">
        <v>123</v>
      </c>
      <c r="R283" s="110" t="s">
        <v>134</v>
      </c>
      <c r="S283" s="111" t="s">
        <v>825</v>
      </c>
      <c r="T283" s="111" t="s">
        <v>111</v>
      </c>
      <c r="U283" s="111" t="s">
        <v>103</v>
      </c>
      <c r="V283" s="118">
        <f t="shared" si="11"/>
        <v>1.2873852883838192E-2</v>
      </c>
      <c r="W283" s="114">
        <f>IFERROR(I283-AVERAGEIFS(I$6:I282,J$6:J282,"ICIS / Platts",B$6:B282,B283),"")</f>
        <v>26.1400000000001</v>
      </c>
      <c r="X283" s="110" t="s">
        <v>125</v>
      </c>
      <c r="Y283" s="117" t="str">
        <f t="shared" si="13"/>
        <v>OK</v>
      </c>
      <c r="Z283" s="111" t="s">
        <v>116</v>
      </c>
      <c r="AA283" s="111" t="s">
        <v>115</v>
      </c>
      <c r="AB283" s="111" t="s">
        <v>116</v>
      </c>
      <c r="AC283" s="111" t="s">
        <v>116</v>
      </c>
      <c r="AD283" s="111"/>
    </row>
    <row r="284" spans="2:30" ht="24.75" customHeight="1" x14ac:dyDescent="0.25">
      <c r="B284" s="108">
        <v>45411</v>
      </c>
      <c r="C284" s="109" t="s">
        <v>97</v>
      </c>
      <c r="D284" s="109">
        <v>18</v>
      </c>
      <c r="E284" s="110" t="str">
        <f t="shared" si="12"/>
        <v>20240429-279</v>
      </c>
      <c r="F284" s="111" t="s">
        <v>98</v>
      </c>
      <c r="G284" s="111" t="s">
        <v>99</v>
      </c>
      <c r="H284" s="112" t="s">
        <v>1119</v>
      </c>
      <c r="I284" s="113">
        <v>1713.1</v>
      </c>
      <c r="J284" s="111" t="s">
        <v>127</v>
      </c>
      <c r="K284" s="111" t="s">
        <v>1122</v>
      </c>
      <c r="L284" s="111" t="s">
        <v>129</v>
      </c>
      <c r="M284" s="111" t="s">
        <v>104</v>
      </c>
      <c r="N284" s="111" t="s">
        <v>829</v>
      </c>
      <c r="O284" s="111" t="s">
        <v>131</v>
      </c>
      <c r="P284" s="111" t="s">
        <v>830</v>
      </c>
      <c r="Q284" s="110" t="s">
        <v>133</v>
      </c>
      <c r="R284" s="110" t="s">
        <v>831</v>
      </c>
      <c r="S284" s="111" t="s">
        <v>832</v>
      </c>
      <c r="T284" s="111" t="s">
        <v>136</v>
      </c>
      <c r="U284" s="111" t="s">
        <v>129</v>
      </c>
      <c r="V284" s="118">
        <f t="shared" si="11"/>
        <v>3.150948054215811E-2</v>
      </c>
      <c r="W284" s="114" t="str">
        <f>IFERROR(I284-AVERAGEIFS(I$6:I283,J$6:J283,"ICIS / Platts",B$6:B283,B284),"")</f>
        <v/>
      </c>
      <c r="X284" s="110" t="s">
        <v>137</v>
      </c>
      <c r="Y284" s="117" t="str">
        <f t="shared" si="13"/>
        <v>OK</v>
      </c>
      <c r="Z284" s="111" t="s">
        <v>116</v>
      </c>
      <c r="AA284" s="111" t="s">
        <v>115</v>
      </c>
      <c r="AB284" s="111" t="s">
        <v>116</v>
      </c>
      <c r="AC284" s="111" t="s">
        <v>116</v>
      </c>
      <c r="AD284" s="111"/>
    </row>
    <row r="285" spans="2:30" ht="24.75" customHeight="1" x14ac:dyDescent="0.25">
      <c r="B285" s="115">
        <v>45413</v>
      </c>
      <c r="C285" s="116" t="s">
        <v>126</v>
      </c>
      <c r="D285" s="116">
        <v>18</v>
      </c>
      <c r="E285" s="110" t="str">
        <f t="shared" si="12"/>
        <v>20240501-280</v>
      </c>
      <c r="F285" s="111" t="s">
        <v>98</v>
      </c>
      <c r="G285" s="111" t="s">
        <v>99</v>
      </c>
      <c r="H285" s="112" t="s">
        <v>1119</v>
      </c>
      <c r="I285" s="113">
        <v>1707.77</v>
      </c>
      <c r="J285" s="111" t="s">
        <v>139</v>
      </c>
      <c r="K285" s="111" t="s">
        <v>1123</v>
      </c>
      <c r="L285" s="111" t="s">
        <v>103</v>
      </c>
      <c r="M285" s="111" t="s">
        <v>104</v>
      </c>
      <c r="N285" s="111" t="s">
        <v>824</v>
      </c>
      <c r="O285" s="111" t="s">
        <v>106</v>
      </c>
      <c r="P285" s="111" t="s">
        <v>141</v>
      </c>
      <c r="Q285" s="110" t="s">
        <v>133</v>
      </c>
      <c r="R285" s="110" t="s">
        <v>142</v>
      </c>
      <c r="S285" s="111" t="s">
        <v>825</v>
      </c>
      <c r="T285" s="111" t="s">
        <v>111</v>
      </c>
      <c r="U285" s="111" t="s">
        <v>103</v>
      </c>
      <c r="V285" s="118">
        <f t="shared" si="11"/>
        <v>2.1179776960564521E-2</v>
      </c>
      <c r="W285" s="114" t="str">
        <f>IFERROR(I285-AVERAGEIFS(I$6:I284,J$6:J284,"ICIS / Platts",B$6:B284,B285),"")</f>
        <v/>
      </c>
      <c r="X285" s="110" t="s">
        <v>125</v>
      </c>
      <c r="Y285" s="117" t="str">
        <f t="shared" si="13"/>
        <v>OK</v>
      </c>
      <c r="Z285" s="111" t="s">
        <v>116</v>
      </c>
      <c r="AA285" s="111" t="s">
        <v>115</v>
      </c>
      <c r="AB285" s="111" t="s">
        <v>116</v>
      </c>
      <c r="AC285" s="111" t="s">
        <v>116</v>
      </c>
      <c r="AD285" s="111"/>
    </row>
    <row r="286" spans="2:30" ht="24.75" customHeight="1" x14ac:dyDescent="0.25">
      <c r="B286" s="108">
        <v>45413</v>
      </c>
      <c r="C286" s="109" t="s">
        <v>126</v>
      </c>
      <c r="D286" s="109">
        <v>18</v>
      </c>
      <c r="E286" s="110" t="str">
        <f t="shared" si="12"/>
        <v>20240501-281</v>
      </c>
      <c r="F286" s="111" t="s">
        <v>98</v>
      </c>
      <c r="G286" s="111" t="s">
        <v>99</v>
      </c>
      <c r="H286" s="112" t="s">
        <v>1124</v>
      </c>
      <c r="I286" s="113">
        <v>1682</v>
      </c>
      <c r="J286" s="111" t="s">
        <v>101</v>
      </c>
      <c r="K286" s="111" t="s">
        <v>1125</v>
      </c>
      <c r="L286" s="111" t="s">
        <v>103</v>
      </c>
      <c r="M286" s="111" t="s">
        <v>104</v>
      </c>
      <c r="N286" s="111" t="s">
        <v>824</v>
      </c>
      <c r="O286" s="111" t="s">
        <v>106</v>
      </c>
      <c r="P286" s="111" t="s">
        <v>107</v>
      </c>
      <c r="Q286" s="110" t="s">
        <v>108</v>
      </c>
      <c r="R286" s="110" t="s">
        <v>109</v>
      </c>
      <c r="S286" s="111" t="s">
        <v>825</v>
      </c>
      <c r="T286" s="111" t="s">
        <v>111</v>
      </c>
      <c r="U286" s="111" t="s">
        <v>103</v>
      </c>
      <c r="V286" s="118">
        <f t="shared" si="11"/>
        <v>2.3837902264600714E-3</v>
      </c>
      <c r="W286" s="114" t="str">
        <f>IFERROR(I286-AVERAGEIFS(I$6:I285,J$6:J285,"ICIS / Platts",B$6:B285,B286),"")</f>
        <v/>
      </c>
      <c r="X286" s="110" t="s">
        <v>113</v>
      </c>
      <c r="Y286" s="117" t="str">
        <f t="shared" si="13"/>
        <v>OK</v>
      </c>
      <c r="Z286" s="111" t="s">
        <v>116</v>
      </c>
      <c r="AA286" s="111" t="s">
        <v>115</v>
      </c>
      <c r="AB286" s="111" t="s">
        <v>116</v>
      </c>
      <c r="AC286" s="111" t="s">
        <v>116</v>
      </c>
      <c r="AD286" s="111"/>
    </row>
    <row r="287" spans="2:30" ht="24.75" customHeight="1" x14ac:dyDescent="0.25">
      <c r="B287" s="115">
        <v>45413</v>
      </c>
      <c r="C287" s="116" t="s">
        <v>126</v>
      </c>
      <c r="D287" s="116">
        <v>18</v>
      </c>
      <c r="E287" s="110" t="str">
        <f t="shared" si="12"/>
        <v>20240501-282</v>
      </c>
      <c r="F287" s="111" t="s">
        <v>98</v>
      </c>
      <c r="G287" s="111" t="s">
        <v>99</v>
      </c>
      <c r="H287" s="112" t="s">
        <v>1124</v>
      </c>
      <c r="I287" s="113">
        <v>1668.43</v>
      </c>
      <c r="J287" s="111" t="s">
        <v>118</v>
      </c>
      <c r="K287" s="111" t="s">
        <v>1126</v>
      </c>
      <c r="L287" s="111" t="s">
        <v>103</v>
      </c>
      <c r="M287" s="111" t="s">
        <v>104</v>
      </c>
      <c r="N287" s="111" t="s">
        <v>827</v>
      </c>
      <c r="O287" s="111" t="s">
        <v>121</v>
      </c>
      <c r="P287" s="111" t="s">
        <v>132</v>
      </c>
      <c r="Q287" s="110" t="s">
        <v>123</v>
      </c>
      <c r="R287" s="110" t="s">
        <v>134</v>
      </c>
      <c r="S287" s="111" t="s">
        <v>825</v>
      </c>
      <c r="T287" s="111" t="s">
        <v>111</v>
      </c>
      <c r="U287" s="111" t="s">
        <v>103</v>
      </c>
      <c r="V287" s="118">
        <f t="shared" ref="V287:V350" si="14">IFERROR((I287-I283)/I283,"")</f>
        <v>-2.0954851127254825E-2</v>
      </c>
      <c r="W287" s="114">
        <f>IFERROR(I287-AVERAGEIFS(I$6:I286,J$6:J286,"ICIS / Platts",B$6:B286,B287),"")</f>
        <v>-13.569999999999936</v>
      </c>
      <c r="X287" s="110" t="s">
        <v>125</v>
      </c>
      <c r="Y287" s="117" t="str">
        <f t="shared" si="13"/>
        <v>OK</v>
      </c>
      <c r="Z287" s="111" t="s">
        <v>116</v>
      </c>
      <c r="AA287" s="111" t="s">
        <v>115</v>
      </c>
      <c r="AB287" s="111" t="s">
        <v>116</v>
      </c>
      <c r="AC287" s="111" t="s">
        <v>116</v>
      </c>
      <c r="AD287" s="111"/>
    </row>
    <row r="288" spans="2:30" ht="24.75" customHeight="1" x14ac:dyDescent="0.25">
      <c r="B288" s="108">
        <v>45418</v>
      </c>
      <c r="C288" s="109" t="s">
        <v>97</v>
      </c>
      <c r="D288" s="109">
        <v>19</v>
      </c>
      <c r="E288" s="110" t="str">
        <f t="shared" si="12"/>
        <v>20240506-283</v>
      </c>
      <c r="F288" s="111" t="s">
        <v>98</v>
      </c>
      <c r="G288" s="111" t="s">
        <v>99</v>
      </c>
      <c r="H288" s="112" t="s">
        <v>1124</v>
      </c>
      <c r="I288" s="113">
        <v>1690.31</v>
      </c>
      <c r="J288" s="111" t="s">
        <v>127</v>
      </c>
      <c r="K288" s="111" t="s">
        <v>1127</v>
      </c>
      <c r="L288" s="111" t="s">
        <v>129</v>
      </c>
      <c r="M288" s="111" t="s">
        <v>104</v>
      </c>
      <c r="N288" s="111" t="s">
        <v>829</v>
      </c>
      <c r="O288" s="111" t="s">
        <v>131</v>
      </c>
      <c r="P288" s="111" t="s">
        <v>830</v>
      </c>
      <c r="Q288" s="110" t="s">
        <v>133</v>
      </c>
      <c r="R288" s="110" t="s">
        <v>831</v>
      </c>
      <c r="S288" s="111" t="s">
        <v>832</v>
      </c>
      <c r="T288" s="111" t="s">
        <v>136</v>
      </c>
      <c r="U288" s="111" t="s">
        <v>129</v>
      </c>
      <c r="V288" s="118">
        <f t="shared" si="14"/>
        <v>-1.3303368162979374E-2</v>
      </c>
      <c r="W288" s="114" t="str">
        <f>IFERROR(I288-AVERAGEIFS(I$6:I287,J$6:J287,"ICIS / Platts",B$6:B287,B288),"")</f>
        <v/>
      </c>
      <c r="X288" s="110" t="s">
        <v>137</v>
      </c>
      <c r="Y288" s="117" t="str">
        <f t="shared" si="13"/>
        <v>OK</v>
      </c>
      <c r="Z288" s="111" t="s">
        <v>116</v>
      </c>
      <c r="AA288" s="111" t="s">
        <v>115</v>
      </c>
      <c r="AB288" s="111" t="s">
        <v>116</v>
      </c>
      <c r="AC288" s="111" t="s">
        <v>116</v>
      </c>
      <c r="AD288" s="111"/>
    </row>
    <row r="289" spans="2:30" ht="24.75" customHeight="1" x14ac:dyDescent="0.25">
      <c r="B289" s="115">
        <v>45420</v>
      </c>
      <c r="C289" s="116" t="s">
        <v>126</v>
      </c>
      <c r="D289" s="116">
        <v>19</v>
      </c>
      <c r="E289" s="110" t="str">
        <f t="shared" si="12"/>
        <v>20240508-284</v>
      </c>
      <c r="F289" s="111" t="s">
        <v>98</v>
      </c>
      <c r="G289" s="111" t="s">
        <v>99</v>
      </c>
      <c r="H289" s="112" t="s">
        <v>1124</v>
      </c>
      <c r="I289" s="113">
        <v>1676.52</v>
      </c>
      <c r="J289" s="111" t="s">
        <v>139</v>
      </c>
      <c r="K289" s="111" t="s">
        <v>1128</v>
      </c>
      <c r="L289" s="111" t="s">
        <v>103</v>
      </c>
      <c r="M289" s="111" t="s">
        <v>104</v>
      </c>
      <c r="N289" s="111" t="s">
        <v>824</v>
      </c>
      <c r="O289" s="111" t="s">
        <v>106</v>
      </c>
      <c r="P289" s="111" t="s">
        <v>141</v>
      </c>
      <c r="Q289" s="110" t="s">
        <v>133</v>
      </c>
      <c r="R289" s="110" t="s">
        <v>142</v>
      </c>
      <c r="S289" s="111" t="s">
        <v>825</v>
      </c>
      <c r="T289" s="111" t="s">
        <v>111</v>
      </c>
      <c r="U289" s="111" t="s">
        <v>103</v>
      </c>
      <c r="V289" s="118">
        <f t="shared" si="14"/>
        <v>-1.8298717040350868E-2</v>
      </c>
      <c r="W289" s="114" t="str">
        <f>IFERROR(I289-AVERAGEIFS(I$6:I288,J$6:J288,"ICIS / Platts",B$6:B288,B289),"")</f>
        <v/>
      </c>
      <c r="X289" s="110" t="s">
        <v>125</v>
      </c>
      <c r="Y289" s="117" t="str">
        <f t="shared" si="13"/>
        <v>OK</v>
      </c>
      <c r="Z289" s="111" t="s">
        <v>116</v>
      </c>
      <c r="AA289" s="111" t="s">
        <v>115</v>
      </c>
      <c r="AB289" s="111" t="s">
        <v>116</v>
      </c>
      <c r="AC289" s="111" t="s">
        <v>116</v>
      </c>
      <c r="AD289" s="111"/>
    </row>
    <row r="290" spans="2:30" ht="24.75" customHeight="1" x14ac:dyDescent="0.25">
      <c r="B290" s="108">
        <v>45420</v>
      </c>
      <c r="C290" s="109" t="s">
        <v>126</v>
      </c>
      <c r="D290" s="109">
        <v>19</v>
      </c>
      <c r="E290" s="110" t="str">
        <f t="shared" si="12"/>
        <v>20240508-285</v>
      </c>
      <c r="F290" s="111" t="s">
        <v>98</v>
      </c>
      <c r="G290" s="111" t="s">
        <v>99</v>
      </c>
      <c r="H290" s="112" t="s">
        <v>1129</v>
      </c>
      <c r="I290" s="113">
        <v>1688</v>
      </c>
      <c r="J290" s="111" t="s">
        <v>101</v>
      </c>
      <c r="K290" s="111" t="s">
        <v>1130</v>
      </c>
      <c r="L290" s="111" t="s">
        <v>103</v>
      </c>
      <c r="M290" s="111" t="s">
        <v>104</v>
      </c>
      <c r="N290" s="111" t="s">
        <v>824</v>
      </c>
      <c r="O290" s="111" t="s">
        <v>106</v>
      </c>
      <c r="P290" s="111" t="s">
        <v>107</v>
      </c>
      <c r="Q290" s="110" t="s">
        <v>108</v>
      </c>
      <c r="R290" s="110" t="s">
        <v>109</v>
      </c>
      <c r="S290" s="111" t="s">
        <v>825</v>
      </c>
      <c r="T290" s="111" t="s">
        <v>111</v>
      </c>
      <c r="U290" s="111" t="s">
        <v>103</v>
      </c>
      <c r="V290" s="118">
        <f t="shared" si="14"/>
        <v>3.5671819262782403E-3</v>
      </c>
      <c r="W290" s="114" t="str">
        <f>IFERROR(I290-AVERAGEIFS(I$6:I289,J$6:J289,"ICIS / Platts",B$6:B289,B290),"")</f>
        <v/>
      </c>
      <c r="X290" s="110" t="s">
        <v>113</v>
      </c>
      <c r="Y290" s="117" t="str">
        <f t="shared" si="13"/>
        <v>OK</v>
      </c>
      <c r="Z290" s="111" t="s">
        <v>116</v>
      </c>
      <c r="AA290" s="111" t="s">
        <v>115</v>
      </c>
      <c r="AB290" s="111" t="s">
        <v>116</v>
      </c>
      <c r="AC290" s="111" t="s">
        <v>116</v>
      </c>
      <c r="AD290" s="111"/>
    </row>
    <row r="291" spans="2:30" ht="24.75" customHeight="1" x14ac:dyDescent="0.25">
      <c r="B291" s="115">
        <v>45420</v>
      </c>
      <c r="C291" s="116" t="s">
        <v>126</v>
      </c>
      <c r="D291" s="116">
        <v>19</v>
      </c>
      <c r="E291" s="110" t="str">
        <f t="shared" si="12"/>
        <v>20240508-286</v>
      </c>
      <c r="F291" s="111" t="s">
        <v>98</v>
      </c>
      <c r="G291" s="111" t="s">
        <v>99</v>
      </c>
      <c r="H291" s="112" t="s">
        <v>1129</v>
      </c>
      <c r="I291" s="113">
        <v>1685.72</v>
      </c>
      <c r="J291" s="111" t="s">
        <v>118</v>
      </c>
      <c r="K291" s="111" t="s">
        <v>1131</v>
      </c>
      <c r="L291" s="111" t="s">
        <v>103</v>
      </c>
      <c r="M291" s="111" t="s">
        <v>104</v>
      </c>
      <c r="N291" s="111" t="s">
        <v>827</v>
      </c>
      <c r="O291" s="111" t="s">
        <v>121</v>
      </c>
      <c r="P291" s="111" t="s">
        <v>132</v>
      </c>
      <c r="Q291" s="110" t="s">
        <v>123</v>
      </c>
      <c r="R291" s="110" t="s">
        <v>134</v>
      </c>
      <c r="S291" s="111" t="s">
        <v>825</v>
      </c>
      <c r="T291" s="111" t="s">
        <v>111</v>
      </c>
      <c r="U291" s="111" t="s">
        <v>103</v>
      </c>
      <c r="V291" s="118">
        <f t="shared" si="14"/>
        <v>1.0363035908009305E-2</v>
      </c>
      <c r="W291" s="114">
        <f>IFERROR(I291-AVERAGEIFS(I$6:I290,J$6:J290,"ICIS / Platts",B$6:B290,B291),"")</f>
        <v>-2.2799999999999727</v>
      </c>
      <c r="X291" s="110" t="s">
        <v>125</v>
      </c>
      <c r="Y291" s="117" t="str">
        <f t="shared" si="13"/>
        <v>OK</v>
      </c>
      <c r="Z291" s="111" t="s">
        <v>116</v>
      </c>
      <c r="AA291" s="111" t="s">
        <v>115</v>
      </c>
      <c r="AB291" s="111" t="s">
        <v>116</v>
      </c>
      <c r="AC291" s="111" t="s">
        <v>116</v>
      </c>
      <c r="AD291" s="111"/>
    </row>
    <row r="292" spans="2:30" ht="24.75" customHeight="1" x14ac:dyDescent="0.25">
      <c r="B292" s="108">
        <v>45425</v>
      </c>
      <c r="C292" s="109" t="s">
        <v>97</v>
      </c>
      <c r="D292" s="109">
        <v>20</v>
      </c>
      <c r="E292" s="110" t="str">
        <f t="shared" si="12"/>
        <v>20240513-287</v>
      </c>
      <c r="F292" s="111" t="s">
        <v>98</v>
      </c>
      <c r="G292" s="111" t="s">
        <v>99</v>
      </c>
      <c r="H292" s="112" t="s">
        <v>1129</v>
      </c>
      <c r="I292" s="113">
        <v>1696.42</v>
      </c>
      <c r="J292" s="111" t="s">
        <v>127</v>
      </c>
      <c r="K292" s="111" t="s">
        <v>1132</v>
      </c>
      <c r="L292" s="111" t="s">
        <v>129</v>
      </c>
      <c r="M292" s="111" t="s">
        <v>104</v>
      </c>
      <c r="N292" s="111" t="s">
        <v>829</v>
      </c>
      <c r="O292" s="111" t="s">
        <v>131</v>
      </c>
      <c r="P292" s="111" t="s">
        <v>830</v>
      </c>
      <c r="Q292" s="110" t="s">
        <v>133</v>
      </c>
      <c r="R292" s="110" t="s">
        <v>831</v>
      </c>
      <c r="S292" s="111" t="s">
        <v>832</v>
      </c>
      <c r="T292" s="111" t="s">
        <v>136</v>
      </c>
      <c r="U292" s="111" t="s">
        <v>129</v>
      </c>
      <c r="V292" s="118">
        <f t="shared" si="14"/>
        <v>3.6147215599506171E-3</v>
      </c>
      <c r="W292" s="114" t="str">
        <f>IFERROR(I292-AVERAGEIFS(I$6:I291,J$6:J291,"ICIS / Platts",B$6:B291,B292),"")</f>
        <v/>
      </c>
      <c r="X292" s="110" t="s">
        <v>137</v>
      </c>
      <c r="Y292" s="117" t="str">
        <f t="shared" si="13"/>
        <v>OK</v>
      </c>
      <c r="Z292" s="111" t="s">
        <v>116</v>
      </c>
      <c r="AA292" s="111" t="s">
        <v>115</v>
      </c>
      <c r="AB292" s="111" t="s">
        <v>116</v>
      </c>
      <c r="AC292" s="111" t="s">
        <v>116</v>
      </c>
      <c r="AD292" s="111"/>
    </row>
    <row r="293" spans="2:30" ht="24.75" customHeight="1" x14ac:dyDescent="0.25">
      <c r="B293" s="115">
        <v>45427</v>
      </c>
      <c r="C293" s="116" t="s">
        <v>126</v>
      </c>
      <c r="D293" s="116">
        <v>20</v>
      </c>
      <c r="E293" s="110" t="str">
        <f t="shared" si="12"/>
        <v>20240515-288</v>
      </c>
      <c r="F293" s="111" t="s">
        <v>98</v>
      </c>
      <c r="G293" s="111" t="s">
        <v>99</v>
      </c>
      <c r="H293" s="112" t="s">
        <v>1129</v>
      </c>
      <c r="I293" s="113">
        <v>1699.37</v>
      </c>
      <c r="J293" s="111" t="s">
        <v>139</v>
      </c>
      <c r="K293" s="111" t="s">
        <v>1133</v>
      </c>
      <c r="L293" s="111" t="s">
        <v>103</v>
      </c>
      <c r="M293" s="111" t="s">
        <v>104</v>
      </c>
      <c r="N293" s="111" t="s">
        <v>824</v>
      </c>
      <c r="O293" s="111" t="s">
        <v>106</v>
      </c>
      <c r="P293" s="111" t="s">
        <v>141</v>
      </c>
      <c r="Q293" s="110" t="s">
        <v>133</v>
      </c>
      <c r="R293" s="110" t="s">
        <v>142</v>
      </c>
      <c r="S293" s="111" t="s">
        <v>825</v>
      </c>
      <c r="T293" s="111" t="s">
        <v>111</v>
      </c>
      <c r="U293" s="111" t="s">
        <v>103</v>
      </c>
      <c r="V293" s="118">
        <f t="shared" si="14"/>
        <v>1.362942285209834E-2</v>
      </c>
      <c r="W293" s="114" t="str">
        <f>IFERROR(I293-AVERAGEIFS(I$6:I292,J$6:J292,"ICIS / Platts",B$6:B292,B293),"")</f>
        <v/>
      </c>
      <c r="X293" s="110" t="s">
        <v>125</v>
      </c>
      <c r="Y293" s="117" t="str">
        <f t="shared" si="13"/>
        <v>OK</v>
      </c>
      <c r="Z293" s="111" t="s">
        <v>116</v>
      </c>
      <c r="AA293" s="111" t="s">
        <v>115</v>
      </c>
      <c r="AB293" s="111" t="s">
        <v>116</v>
      </c>
      <c r="AC293" s="111" t="s">
        <v>116</v>
      </c>
      <c r="AD293" s="111"/>
    </row>
    <row r="294" spans="2:30" ht="24.75" customHeight="1" x14ac:dyDescent="0.25">
      <c r="B294" s="108">
        <v>45427</v>
      </c>
      <c r="C294" s="109" t="s">
        <v>126</v>
      </c>
      <c r="D294" s="109">
        <v>20</v>
      </c>
      <c r="E294" s="110" t="str">
        <f t="shared" si="12"/>
        <v>20240515-289</v>
      </c>
      <c r="F294" s="111" t="s">
        <v>98</v>
      </c>
      <c r="G294" s="111" t="s">
        <v>99</v>
      </c>
      <c r="H294" s="112" t="s">
        <v>1134</v>
      </c>
      <c r="I294" s="113">
        <v>1692</v>
      </c>
      <c r="J294" s="111" t="s">
        <v>101</v>
      </c>
      <c r="K294" s="111" t="s">
        <v>1135</v>
      </c>
      <c r="L294" s="111" t="s">
        <v>103</v>
      </c>
      <c r="M294" s="111" t="s">
        <v>104</v>
      </c>
      <c r="N294" s="111" t="s">
        <v>824</v>
      </c>
      <c r="O294" s="111" t="s">
        <v>106</v>
      </c>
      <c r="P294" s="111" t="s">
        <v>107</v>
      </c>
      <c r="Q294" s="110" t="s">
        <v>108</v>
      </c>
      <c r="R294" s="110" t="s">
        <v>109</v>
      </c>
      <c r="S294" s="111" t="s">
        <v>825</v>
      </c>
      <c r="T294" s="111" t="s">
        <v>111</v>
      </c>
      <c r="U294" s="111" t="s">
        <v>103</v>
      </c>
      <c r="V294" s="118">
        <f t="shared" si="14"/>
        <v>2.3696682464454978E-3</v>
      </c>
      <c r="W294" s="114" t="str">
        <f>IFERROR(I294-AVERAGEIFS(I$6:I293,J$6:J293,"ICIS / Platts",B$6:B293,B294),"")</f>
        <v/>
      </c>
      <c r="X294" s="110" t="s">
        <v>113</v>
      </c>
      <c r="Y294" s="117" t="str">
        <f t="shared" si="13"/>
        <v>OK</v>
      </c>
      <c r="Z294" s="111" t="s">
        <v>116</v>
      </c>
      <c r="AA294" s="111" t="s">
        <v>115</v>
      </c>
      <c r="AB294" s="111" t="s">
        <v>116</v>
      </c>
      <c r="AC294" s="111" t="s">
        <v>116</v>
      </c>
      <c r="AD294" s="111"/>
    </row>
    <row r="295" spans="2:30" ht="24.75" customHeight="1" x14ac:dyDescent="0.25">
      <c r="B295" s="115">
        <v>45427</v>
      </c>
      <c r="C295" s="116" t="s">
        <v>126</v>
      </c>
      <c r="D295" s="116">
        <v>20</v>
      </c>
      <c r="E295" s="110" t="str">
        <f t="shared" si="12"/>
        <v>20240515-290</v>
      </c>
      <c r="F295" s="111" t="s">
        <v>98</v>
      </c>
      <c r="G295" s="111" t="s">
        <v>99</v>
      </c>
      <c r="H295" s="112" t="s">
        <v>1134</v>
      </c>
      <c r="I295" s="113">
        <v>1731.28</v>
      </c>
      <c r="J295" s="111" t="s">
        <v>118</v>
      </c>
      <c r="K295" s="111" t="s">
        <v>1136</v>
      </c>
      <c r="L295" s="111" t="s">
        <v>103</v>
      </c>
      <c r="M295" s="111" t="s">
        <v>104</v>
      </c>
      <c r="N295" s="111" t="s">
        <v>827</v>
      </c>
      <c r="O295" s="111" t="s">
        <v>121</v>
      </c>
      <c r="P295" s="111" t="s">
        <v>132</v>
      </c>
      <c r="Q295" s="110" t="s">
        <v>123</v>
      </c>
      <c r="R295" s="110" t="s">
        <v>134</v>
      </c>
      <c r="S295" s="111" t="s">
        <v>825</v>
      </c>
      <c r="T295" s="111" t="s">
        <v>111</v>
      </c>
      <c r="U295" s="111" t="s">
        <v>103</v>
      </c>
      <c r="V295" s="118">
        <f t="shared" si="14"/>
        <v>2.7027027027026994E-2</v>
      </c>
      <c r="W295" s="114">
        <f>IFERROR(I295-AVERAGEIFS(I$6:I294,J$6:J294,"ICIS / Platts",B$6:B294,B295),"")</f>
        <v>39.279999999999973</v>
      </c>
      <c r="X295" s="110" t="s">
        <v>125</v>
      </c>
      <c r="Y295" s="117" t="str">
        <f t="shared" si="13"/>
        <v>OK</v>
      </c>
      <c r="Z295" s="111" t="s">
        <v>116</v>
      </c>
      <c r="AA295" s="111" t="s">
        <v>115</v>
      </c>
      <c r="AB295" s="111" t="s">
        <v>116</v>
      </c>
      <c r="AC295" s="111" t="s">
        <v>116</v>
      </c>
      <c r="AD295" s="111"/>
    </row>
    <row r="296" spans="2:30" ht="24.75" customHeight="1" x14ac:dyDescent="0.25">
      <c r="B296" s="108">
        <v>45432</v>
      </c>
      <c r="C296" s="109" t="s">
        <v>97</v>
      </c>
      <c r="D296" s="109">
        <v>21</v>
      </c>
      <c r="E296" s="110" t="str">
        <f t="shared" si="12"/>
        <v>20240520-291</v>
      </c>
      <c r="F296" s="111" t="s">
        <v>98</v>
      </c>
      <c r="G296" s="111" t="s">
        <v>99</v>
      </c>
      <c r="H296" s="112" t="s">
        <v>1134</v>
      </c>
      <c r="I296" s="113">
        <v>1681.64</v>
      </c>
      <c r="J296" s="111" t="s">
        <v>127</v>
      </c>
      <c r="K296" s="111" t="s">
        <v>1137</v>
      </c>
      <c r="L296" s="111" t="s">
        <v>129</v>
      </c>
      <c r="M296" s="111" t="s">
        <v>104</v>
      </c>
      <c r="N296" s="111" t="s">
        <v>829</v>
      </c>
      <c r="O296" s="111" t="s">
        <v>131</v>
      </c>
      <c r="P296" s="111" t="s">
        <v>830</v>
      </c>
      <c r="Q296" s="110" t="s">
        <v>133</v>
      </c>
      <c r="R296" s="110" t="s">
        <v>831</v>
      </c>
      <c r="S296" s="111" t="s">
        <v>832</v>
      </c>
      <c r="T296" s="111" t="s">
        <v>136</v>
      </c>
      <c r="U296" s="111" t="s">
        <v>129</v>
      </c>
      <c r="V296" s="118">
        <f t="shared" si="14"/>
        <v>-8.7124650735077233E-3</v>
      </c>
      <c r="W296" s="114" t="str">
        <f>IFERROR(I296-AVERAGEIFS(I$6:I295,J$6:J295,"ICIS / Platts",B$6:B295,B296),"")</f>
        <v/>
      </c>
      <c r="X296" s="110" t="s">
        <v>137</v>
      </c>
      <c r="Y296" s="117" t="str">
        <f t="shared" si="13"/>
        <v>OK</v>
      </c>
      <c r="Z296" s="111" t="s">
        <v>116</v>
      </c>
      <c r="AA296" s="111" t="s">
        <v>115</v>
      </c>
      <c r="AB296" s="111" t="s">
        <v>116</v>
      </c>
      <c r="AC296" s="111" t="s">
        <v>116</v>
      </c>
      <c r="AD296" s="111"/>
    </row>
    <row r="297" spans="2:30" ht="24.75" customHeight="1" x14ac:dyDescent="0.25">
      <c r="B297" s="115">
        <v>45434</v>
      </c>
      <c r="C297" s="116" t="s">
        <v>126</v>
      </c>
      <c r="D297" s="116">
        <v>21</v>
      </c>
      <c r="E297" s="110" t="str">
        <f t="shared" si="12"/>
        <v>20240522-292</v>
      </c>
      <c r="F297" s="111" t="s">
        <v>98</v>
      </c>
      <c r="G297" s="111" t="s">
        <v>99</v>
      </c>
      <c r="H297" s="112" t="s">
        <v>1134</v>
      </c>
      <c r="I297" s="113">
        <v>1686.74</v>
      </c>
      <c r="J297" s="111" t="s">
        <v>139</v>
      </c>
      <c r="K297" s="111" t="s">
        <v>1138</v>
      </c>
      <c r="L297" s="111" t="s">
        <v>103</v>
      </c>
      <c r="M297" s="111" t="s">
        <v>104</v>
      </c>
      <c r="N297" s="111" t="s">
        <v>824</v>
      </c>
      <c r="O297" s="111" t="s">
        <v>106</v>
      </c>
      <c r="P297" s="111" t="s">
        <v>141</v>
      </c>
      <c r="Q297" s="110" t="s">
        <v>133</v>
      </c>
      <c r="R297" s="110" t="s">
        <v>142</v>
      </c>
      <c r="S297" s="111" t="s">
        <v>825</v>
      </c>
      <c r="T297" s="111" t="s">
        <v>111</v>
      </c>
      <c r="U297" s="111" t="s">
        <v>103</v>
      </c>
      <c r="V297" s="118">
        <f t="shared" si="14"/>
        <v>-7.4321660380022494E-3</v>
      </c>
      <c r="W297" s="114" t="str">
        <f>IFERROR(I297-AVERAGEIFS(I$6:I296,J$6:J296,"ICIS / Platts",B$6:B296,B297),"")</f>
        <v/>
      </c>
      <c r="X297" s="110" t="s">
        <v>125</v>
      </c>
      <c r="Y297" s="117" t="str">
        <f t="shared" si="13"/>
        <v>OK</v>
      </c>
      <c r="Z297" s="111" t="s">
        <v>116</v>
      </c>
      <c r="AA297" s="111" t="s">
        <v>115</v>
      </c>
      <c r="AB297" s="111" t="s">
        <v>116</v>
      </c>
      <c r="AC297" s="111" t="s">
        <v>116</v>
      </c>
      <c r="AD297" s="111"/>
    </row>
    <row r="298" spans="2:30" ht="24.75" customHeight="1" x14ac:dyDescent="0.25">
      <c r="B298" s="108">
        <v>45434</v>
      </c>
      <c r="C298" s="109" t="s">
        <v>126</v>
      </c>
      <c r="D298" s="109">
        <v>21</v>
      </c>
      <c r="E298" s="110" t="str">
        <f t="shared" si="12"/>
        <v>20240522-293</v>
      </c>
      <c r="F298" s="111" t="s">
        <v>98</v>
      </c>
      <c r="G298" s="111" t="s">
        <v>99</v>
      </c>
      <c r="H298" s="112" t="s">
        <v>1139</v>
      </c>
      <c r="I298" s="113">
        <v>1695</v>
      </c>
      <c r="J298" s="111" t="s">
        <v>101</v>
      </c>
      <c r="K298" s="111" t="s">
        <v>1140</v>
      </c>
      <c r="L298" s="111" t="s">
        <v>103</v>
      </c>
      <c r="M298" s="111" t="s">
        <v>104</v>
      </c>
      <c r="N298" s="111" t="s">
        <v>824</v>
      </c>
      <c r="O298" s="111" t="s">
        <v>106</v>
      </c>
      <c r="P298" s="111" t="s">
        <v>107</v>
      </c>
      <c r="Q298" s="110" t="s">
        <v>108</v>
      </c>
      <c r="R298" s="110" t="s">
        <v>109</v>
      </c>
      <c r="S298" s="111" t="s">
        <v>825</v>
      </c>
      <c r="T298" s="111" t="s">
        <v>111</v>
      </c>
      <c r="U298" s="111" t="s">
        <v>103</v>
      </c>
      <c r="V298" s="118">
        <f t="shared" si="14"/>
        <v>1.7730496453900709E-3</v>
      </c>
      <c r="W298" s="114" t="str">
        <f>IFERROR(I298-AVERAGEIFS(I$6:I297,J$6:J297,"ICIS / Platts",B$6:B297,B298),"")</f>
        <v/>
      </c>
      <c r="X298" s="110" t="s">
        <v>113</v>
      </c>
      <c r="Y298" s="117" t="str">
        <f t="shared" si="13"/>
        <v>OK</v>
      </c>
      <c r="Z298" s="111" t="s">
        <v>116</v>
      </c>
      <c r="AA298" s="111" t="s">
        <v>115</v>
      </c>
      <c r="AB298" s="111" t="s">
        <v>116</v>
      </c>
      <c r="AC298" s="111" t="s">
        <v>116</v>
      </c>
      <c r="AD298" s="111"/>
    </row>
    <row r="299" spans="2:30" ht="24.75" customHeight="1" x14ac:dyDescent="0.25">
      <c r="B299" s="115">
        <v>45434</v>
      </c>
      <c r="C299" s="116" t="s">
        <v>126</v>
      </c>
      <c r="D299" s="116">
        <v>21</v>
      </c>
      <c r="E299" s="110" t="str">
        <f t="shared" si="12"/>
        <v>20240522-294</v>
      </c>
      <c r="F299" s="111" t="s">
        <v>98</v>
      </c>
      <c r="G299" s="111" t="s">
        <v>99</v>
      </c>
      <c r="H299" s="112" t="s">
        <v>1139</v>
      </c>
      <c r="I299" s="113">
        <v>1710.23</v>
      </c>
      <c r="J299" s="111" t="s">
        <v>118</v>
      </c>
      <c r="K299" s="111" t="s">
        <v>1141</v>
      </c>
      <c r="L299" s="111" t="s">
        <v>103</v>
      </c>
      <c r="M299" s="111" t="s">
        <v>104</v>
      </c>
      <c r="N299" s="111" t="s">
        <v>827</v>
      </c>
      <c r="O299" s="111" t="s">
        <v>121</v>
      </c>
      <c r="P299" s="111" t="s">
        <v>132</v>
      </c>
      <c r="Q299" s="110" t="s">
        <v>123</v>
      </c>
      <c r="R299" s="110" t="s">
        <v>134</v>
      </c>
      <c r="S299" s="111" t="s">
        <v>825</v>
      </c>
      <c r="T299" s="111" t="s">
        <v>111</v>
      </c>
      <c r="U299" s="111" t="s">
        <v>103</v>
      </c>
      <c r="V299" s="118">
        <f t="shared" si="14"/>
        <v>-1.2158634074210962E-2</v>
      </c>
      <c r="W299" s="114">
        <f>IFERROR(I299-AVERAGEIFS(I$6:I298,J$6:J298,"ICIS / Platts",B$6:B298,B299),"")</f>
        <v>15.230000000000018</v>
      </c>
      <c r="X299" s="110" t="s">
        <v>125</v>
      </c>
      <c r="Y299" s="117" t="str">
        <f t="shared" si="13"/>
        <v>OK</v>
      </c>
      <c r="Z299" s="111" t="s">
        <v>116</v>
      </c>
      <c r="AA299" s="111" t="s">
        <v>115</v>
      </c>
      <c r="AB299" s="111" t="s">
        <v>116</v>
      </c>
      <c r="AC299" s="111" t="s">
        <v>116</v>
      </c>
      <c r="AD299" s="111"/>
    </row>
    <row r="300" spans="2:30" ht="24.75" customHeight="1" x14ac:dyDescent="0.25">
      <c r="B300" s="108">
        <v>45439</v>
      </c>
      <c r="C300" s="109" t="s">
        <v>97</v>
      </c>
      <c r="D300" s="109">
        <v>22</v>
      </c>
      <c r="E300" s="110" t="str">
        <f t="shared" si="12"/>
        <v>20240527-295</v>
      </c>
      <c r="F300" s="111" t="s">
        <v>98</v>
      </c>
      <c r="G300" s="111" t="s">
        <v>99</v>
      </c>
      <c r="H300" s="112" t="s">
        <v>1139</v>
      </c>
      <c r="I300" s="113">
        <v>1713.07</v>
      </c>
      <c r="J300" s="111" t="s">
        <v>127</v>
      </c>
      <c r="K300" s="111" t="s">
        <v>1142</v>
      </c>
      <c r="L300" s="111" t="s">
        <v>129</v>
      </c>
      <c r="M300" s="111" t="s">
        <v>104</v>
      </c>
      <c r="N300" s="111" t="s">
        <v>829</v>
      </c>
      <c r="O300" s="111" t="s">
        <v>131</v>
      </c>
      <c r="P300" s="111" t="s">
        <v>830</v>
      </c>
      <c r="Q300" s="110" t="s">
        <v>133</v>
      </c>
      <c r="R300" s="110" t="s">
        <v>831</v>
      </c>
      <c r="S300" s="111" t="s">
        <v>832</v>
      </c>
      <c r="T300" s="111" t="s">
        <v>136</v>
      </c>
      <c r="U300" s="111" t="s">
        <v>129</v>
      </c>
      <c r="V300" s="118">
        <f t="shared" si="14"/>
        <v>1.8690088247187171E-2</v>
      </c>
      <c r="W300" s="114" t="str">
        <f>IFERROR(I300-AVERAGEIFS(I$6:I299,J$6:J299,"ICIS / Platts",B$6:B299,B300),"")</f>
        <v/>
      </c>
      <c r="X300" s="110" t="s">
        <v>137</v>
      </c>
      <c r="Y300" s="117" t="str">
        <f t="shared" si="13"/>
        <v>OK</v>
      </c>
      <c r="Z300" s="111" t="s">
        <v>116</v>
      </c>
      <c r="AA300" s="111" t="s">
        <v>115</v>
      </c>
      <c r="AB300" s="111" t="s">
        <v>116</v>
      </c>
      <c r="AC300" s="111" t="s">
        <v>116</v>
      </c>
      <c r="AD300" s="111"/>
    </row>
    <row r="301" spans="2:30" ht="24.75" customHeight="1" x14ac:dyDescent="0.25">
      <c r="B301" s="115">
        <v>45441</v>
      </c>
      <c r="C301" s="116" t="s">
        <v>126</v>
      </c>
      <c r="D301" s="116">
        <v>22</v>
      </c>
      <c r="E301" s="110" t="str">
        <f t="shared" si="12"/>
        <v>20240529-296</v>
      </c>
      <c r="F301" s="111" t="s">
        <v>98</v>
      </c>
      <c r="G301" s="111" t="s">
        <v>99</v>
      </c>
      <c r="H301" s="112" t="s">
        <v>1139</v>
      </c>
      <c r="I301" s="113">
        <v>1715.37</v>
      </c>
      <c r="J301" s="111" t="s">
        <v>139</v>
      </c>
      <c r="K301" s="111" t="s">
        <v>1011</v>
      </c>
      <c r="L301" s="111" t="s">
        <v>103</v>
      </c>
      <c r="M301" s="111" t="s">
        <v>104</v>
      </c>
      <c r="N301" s="111" t="s">
        <v>824</v>
      </c>
      <c r="O301" s="111" t="s">
        <v>106</v>
      </c>
      <c r="P301" s="111" t="s">
        <v>141</v>
      </c>
      <c r="Q301" s="110" t="s">
        <v>133</v>
      </c>
      <c r="R301" s="110" t="s">
        <v>142</v>
      </c>
      <c r="S301" s="111" t="s">
        <v>825</v>
      </c>
      <c r="T301" s="111" t="s">
        <v>111</v>
      </c>
      <c r="U301" s="111" t="s">
        <v>103</v>
      </c>
      <c r="V301" s="118">
        <f t="shared" si="14"/>
        <v>1.6973570319076967E-2</v>
      </c>
      <c r="W301" s="114" t="str">
        <f>IFERROR(I301-AVERAGEIFS(I$6:I300,J$6:J300,"ICIS / Platts",B$6:B300,B301),"")</f>
        <v/>
      </c>
      <c r="X301" s="110" t="s">
        <v>125</v>
      </c>
      <c r="Y301" s="117" t="str">
        <f t="shared" si="13"/>
        <v>OK</v>
      </c>
      <c r="Z301" s="111" t="s">
        <v>116</v>
      </c>
      <c r="AA301" s="111" t="s">
        <v>115</v>
      </c>
      <c r="AB301" s="111" t="s">
        <v>116</v>
      </c>
      <c r="AC301" s="111" t="s">
        <v>116</v>
      </c>
      <c r="AD301" s="111"/>
    </row>
    <row r="302" spans="2:30" ht="24.75" customHeight="1" x14ac:dyDescent="0.25">
      <c r="B302" s="108">
        <v>45441</v>
      </c>
      <c r="C302" s="109" t="s">
        <v>126</v>
      </c>
      <c r="D302" s="109">
        <v>22</v>
      </c>
      <c r="E302" s="110" t="str">
        <f t="shared" si="12"/>
        <v>20240529-297</v>
      </c>
      <c r="F302" s="111" t="s">
        <v>98</v>
      </c>
      <c r="G302" s="111" t="s">
        <v>99</v>
      </c>
      <c r="H302" s="112" t="s">
        <v>1143</v>
      </c>
      <c r="I302" s="113">
        <v>1692</v>
      </c>
      <c r="J302" s="111" t="s">
        <v>101</v>
      </c>
      <c r="K302" s="111" t="s">
        <v>1144</v>
      </c>
      <c r="L302" s="111" t="s">
        <v>103</v>
      </c>
      <c r="M302" s="111" t="s">
        <v>104</v>
      </c>
      <c r="N302" s="111" t="s">
        <v>824</v>
      </c>
      <c r="O302" s="111" t="s">
        <v>106</v>
      </c>
      <c r="P302" s="111" t="s">
        <v>107</v>
      </c>
      <c r="Q302" s="110" t="s">
        <v>108</v>
      </c>
      <c r="R302" s="110" t="s">
        <v>109</v>
      </c>
      <c r="S302" s="111" t="s">
        <v>825</v>
      </c>
      <c r="T302" s="111" t="s">
        <v>111</v>
      </c>
      <c r="U302" s="111" t="s">
        <v>103</v>
      </c>
      <c r="V302" s="118">
        <f t="shared" si="14"/>
        <v>-1.7699115044247787E-3</v>
      </c>
      <c r="W302" s="114" t="str">
        <f>IFERROR(I302-AVERAGEIFS(I$6:I301,J$6:J301,"ICIS / Platts",B$6:B301,B302),"")</f>
        <v/>
      </c>
      <c r="X302" s="110" t="s">
        <v>113</v>
      </c>
      <c r="Y302" s="117" t="str">
        <f t="shared" si="13"/>
        <v>OK</v>
      </c>
      <c r="Z302" s="111" t="s">
        <v>116</v>
      </c>
      <c r="AA302" s="111" t="s">
        <v>115</v>
      </c>
      <c r="AB302" s="111" t="s">
        <v>116</v>
      </c>
      <c r="AC302" s="111" t="s">
        <v>115</v>
      </c>
      <c r="AD302" s="111"/>
    </row>
    <row r="303" spans="2:30" ht="24.75" customHeight="1" x14ac:dyDescent="0.25">
      <c r="B303" s="115">
        <v>45441</v>
      </c>
      <c r="C303" s="116" t="s">
        <v>126</v>
      </c>
      <c r="D303" s="116">
        <v>22</v>
      </c>
      <c r="E303" s="110" t="str">
        <f t="shared" si="12"/>
        <v>20240529-298</v>
      </c>
      <c r="F303" s="111" t="s">
        <v>98</v>
      </c>
      <c r="G303" s="111" t="s">
        <v>99</v>
      </c>
      <c r="H303" s="112" t="s">
        <v>1143</v>
      </c>
      <c r="I303" s="113">
        <v>1703.49</v>
      </c>
      <c r="J303" s="111" t="s">
        <v>118</v>
      </c>
      <c r="K303" s="111" t="s">
        <v>1145</v>
      </c>
      <c r="L303" s="111" t="s">
        <v>103</v>
      </c>
      <c r="M303" s="111" t="s">
        <v>104</v>
      </c>
      <c r="N303" s="111" t="s">
        <v>827</v>
      </c>
      <c r="O303" s="111" t="s">
        <v>121</v>
      </c>
      <c r="P303" s="111" t="s">
        <v>132</v>
      </c>
      <c r="Q303" s="110" t="s">
        <v>123</v>
      </c>
      <c r="R303" s="110" t="s">
        <v>134</v>
      </c>
      <c r="S303" s="111" t="s">
        <v>825</v>
      </c>
      <c r="T303" s="111" t="s">
        <v>111</v>
      </c>
      <c r="U303" s="111" t="s">
        <v>103</v>
      </c>
      <c r="V303" s="118">
        <f t="shared" si="14"/>
        <v>-3.9409903931050261E-3</v>
      </c>
      <c r="W303" s="114">
        <f>IFERROR(I303-AVERAGEIFS(I$6:I302,J$6:J302,"ICIS / Platts",B$6:B302,B303),"")</f>
        <v>11.490000000000009</v>
      </c>
      <c r="X303" s="110" t="s">
        <v>125</v>
      </c>
      <c r="Y303" s="117" t="str">
        <f t="shared" si="13"/>
        <v>OK</v>
      </c>
      <c r="Z303" s="111" t="s">
        <v>116</v>
      </c>
      <c r="AA303" s="111" t="s">
        <v>115</v>
      </c>
      <c r="AB303" s="111" t="s">
        <v>116</v>
      </c>
      <c r="AC303" s="111" t="s">
        <v>115</v>
      </c>
      <c r="AD303" s="111"/>
    </row>
    <row r="304" spans="2:30" ht="24.75" customHeight="1" x14ac:dyDescent="0.25">
      <c r="B304" s="108">
        <v>45446</v>
      </c>
      <c r="C304" s="109" t="s">
        <v>97</v>
      </c>
      <c r="D304" s="109">
        <v>23</v>
      </c>
      <c r="E304" s="110" t="str">
        <f t="shared" si="12"/>
        <v>20240603-299</v>
      </c>
      <c r="F304" s="111" t="s">
        <v>98</v>
      </c>
      <c r="G304" s="111" t="s">
        <v>99</v>
      </c>
      <c r="H304" s="112" t="s">
        <v>1143</v>
      </c>
      <c r="I304" s="113">
        <v>1681.22</v>
      </c>
      <c r="J304" s="111" t="s">
        <v>127</v>
      </c>
      <c r="K304" s="111" t="s">
        <v>1146</v>
      </c>
      <c r="L304" s="111" t="s">
        <v>129</v>
      </c>
      <c r="M304" s="111" t="s">
        <v>104</v>
      </c>
      <c r="N304" s="111" t="s">
        <v>829</v>
      </c>
      <c r="O304" s="111" t="s">
        <v>131</v>
      </c>
      <c r="P304" s="111" t="s">
        <v>830</v>
      </c>
      <c r="Q304" s="110" t="s">
        <v>133</v>
      </c>
      <c r="R304" s="110" t="s">
        <v>831</v>
      </c>
      <c r="S304" s="111" t="s">
        <v>832</v>
      </c>
      <c r="T304" s="111" t="s">
        <v>136</v>
      </c>
      <c r="U304" s="111" t="s">
        <v>129</v>
      </c>
      <c r="V304" s="118">
        <f t="shared" si="14"/>
        <v>-1.8592351742777534E-2</v>
      </c>
      <c r="W304" s="114" t="str">
        <f>IFERROR(I304-AVERAGEIFS(I$6:I303,J$6:J303,"ICIS / Platts",B$6:B303,B304),"")</f>
        <v/>
      </c>
      <c r="X304" s="110" t="s">
        <v>137</v>
      </c>
      <c r="Y304" s="117" t="str">
        <f t="shared" si="13"/>
        <v>OK</v>
      </c>
      <c r="Z304" s="111" t="s">
        <v>116</v>
      </c>
      <c r="AA304" s="111" t="s">
        <v>115</v>
      </c>
      <c r="AB304" s="111" t="s">
        <v>116</v>
      </c>
      <c r="AC304" s="111" t="s">
        <v>115</v>
      </c>
      <c r="AD304" s="111"/>
    </row>
    <row r="305" spans="2:30" ht="24.75" customHeight="1" x14ac:dyDescent="0.25">
      <c r="B305" s="115">
        <v>45448</v>
      </c>
      <c r="C305" s="116" t="s">
        <v>126</v>
      </c>
      <c r="D305" s="116">
        <v>23</v>
      </c>
      <c r="E305" s="110" t="str">
        <f t="shared" si="12"/>
        <v>20240605-300</v>
      </c>
      <c r="F305" s="111" t="s">
        <v>98</v>
      </c>
      <c r="G305" s="111" t="s">
        <v>99</v>
      </c>
      <c r="H305" s="112" t="s">
        <v>1143</v>
      </c>
      <c r="I305" s="113">
        <v>1720.64</v>
      </c>
      <c r="J305" s="111" t="s">
        <v>139</v>
      </c>
      <c r="K305" s="111" t="s">
        <v>1147</v>
      </c>
      <c r="L305" s="111" t="s">
        <v>103</v>
      </c>
      <c r="M305" s="111" t="s">
        <v>104</v>
      </c>
      <c r="N305" s="111" t="s">
        <v>824</v>
      </c>
      <c r="O305" s="111" t="s">
        <v>106</v>
      </c>
      <c r="P305" s="111" t="s">
        <v>141</v>
      </c>
      <c r="Q305" s="110" t="s">
        <v>133</v>
      </c>
      <c r="R305" s="110" t="s">
        <v>142</v>
      </c>
      <c r="S305" s="111" t="s">
        <v>825</v>
      </c>
      <c r="T305" s="111" t="s">
        <v>111</v>
      </c>
      <c r="U305" s="111" t="s">
        <v>103</v>
      </c>
      <c r="V305" s="118">
        <f t="shared" si="14"/>
        <v>3.0722234853123287E-3</v>
      </c>
      <c r="W305" s="114" t="str">
        <f>IFERROR(I305-AVERAGEIFS(I$6:I304,J$6:J304,"ICIS / Platts",B$6:B304,B305),"")</f>
        <v/>
      </c>
      <c r="X305" s="110" t="s">
        <v>125</v>
      </c>
      <c r="Y305" s="117" t="str">
        <f t="shared" si="13"/>
        <v>OK</v>
      </c>
      <c r="Z305" s="111" t="s">
        <v>116</v>
      </c>
      <c r="AA305" s="111" t="s">
        <v>115</v>
      </c>
      <c r="AB305" s="111" t="s">
        <v>116</v>
      </c>
      <c r="AC305" s="111" t="s">
        <v>115</v>
      </c>
      <c r="AD305" s="111"/>
    </row>
    <row r="306" spans="2:30" ht="24.75" customHeight="1" x14ac:dyDescent="0.25">
      <c r="B306" s="108">
        <v>45448</v>
      </c>
      <c r="C306" s="109" t="s">
        <v>126</v>
      </c>
      <c r="D306" s="109">
        <v>23</v>
      </c>
      <c r="E306" s="110" t="str">
        <f t="shared" si="12"/>
        <v>20240605-301</v>
      </c>
      <c r="F306" s="111" t="s">
        <v>98</v>
      </c>
      <c r="G306" s="111" t="s">
        <v>99</v>
      </c>
      <c r="H306" s="112" t="s">
        <v>1148</v>
      </c>
      <c r="I306" s="113">
        <v>1688</v>
      </c>
      <c r="J306" s="111" t="s">
        <v>101</v>
      </c>
      <c r="K306" s="111" t="s">
        <v>1149</v>
      </c>
      <c r="L306" s="111" t="s">
        <v>103</v>
      </c>
      <c r="M306" s="111" t="s">
        <v>104</v>
      </c>
      <c r="N306" s="111" t="s">
        <v>824</v>
      </c>
      <c r="O306" s="111" t="s">
        <v>106</v>
      </c>
      <c r="P306" s="111" t="s">
        <v>107</v>
      </c>
      <c r="Q306" s="110" t="s">
        <v>108</v>
      </c>
      <c r="R306" s="110" t="s">
        <v>109</v>
      </c>
      <c r="S306" s="111" t="s">
        <v>825</v>
      </c>
      <c r="T306" s="111" t="s">
        <v>111</v>
      </c>
      <c r="U306" s="111" t="s">
        <v>103</v>
      </c>
      <c r="V306" s="118">
        <f t="shared" si="14"/>
        <v>-2.3640661938534278E-3</v>
      </c>
      <c r="W306" s="114" t="str">
        <f>IFERROR(I306-AVERAGEIFS(I$6:I305,J$6:J305,"ICIS / Platts",B$6:B305,B306),"")</f>
        <v/>
      </c>
      <c r="X306" s="110" t="s">
        <v>113</v>
      </c>
      <c r="Y306" s="117" t="str">
        <f t="shared" si="13"/>
        <v>OK</v>
      </c>
      <c r="Z306" s="111" t="s">
        <v>116</v>
      </c>
      <c r="AA306" s="111" t="s">
        <v>115</v>
      </c>
      <c r="AB306" s="111" t="s">
        <v>116</v>
      </c>
      <c r="AC306" s="111" t="s">
        <v>115</v>
      </c>
      <c r="AD306" s="111"/>
    </row>
    <row r="307" spans="2:30" ht="24.75" customHeight="1" x14ac:dyDescent="0.25">
      <c r="B307" s="115">
        <v>45448</v>
      </c>
      <c r="C307" s="116" t="s">
        <v>126</v>
      </c>
      <c r="D307" s="116">
        <v>23</v>
      </c>
      <c r="E307" s="110" t="str">
        <f t="shared" si="12"/>
        <v>20240605-302</v>
      </c>
      <c r="F307" s="111" t="s">
        <v>98</v>
      </c>
      <c r="G307" s="111" t="s">
        <v>99</v>
      </c>
      <c r="H307" s="112" t="s">
        <v>1148</v>
      </c>
      <c r="I307" s="113">
        <v>1678.31</v>
      </c>
      <c r="J307" s="111" t="s">
        <v>118</v>
      </c>
      <c r="K307" s="111" t="s">
        <v>1150</v>
      </c>
      <c r="L307" s="111" t="s">
        <v>103</v>
      </c>
      <c r="M307" s="111" t="s">
        <v>104</v>
      </c>
      <c r="N307" s="111" t="s">
        <v>827</v>
      </c>
      <c r="O307" s="111" t="s">
        <v>121</v>
      </c>
      <c r="P307" s="111" t="s">
        <v>132</v>
      </c>
      <c r="Q307" s="110" t="s">
        <v>123</v>
      </c>
      <c r="R307" s="110" t="s">
        <v>134</v>
      </c>
      <c r="S307" s="111" t="s">
        <v>825</v>
      </c>
      <c r="T307" s="111" t="s">
        <v>111</v>
      </c>
      <c r="U307" s="111" t="s">
        <v>103</v>
      </c>
      <c r="V307" s="118">
        <f t="shared" si="14"/>
        <v>-1.4781419321510583E-2</v>
      </c>
      <c r="W307" s="114">
        <f>IFERROR(I307-AVERAGEIFS(I$6:I306,J$6:J306,"ICIS / Platts",B$6:B306,B307),"")</f>
        <v>-9.6900000000000546</v>
      </c>
      <c r="X307" s="110" t="s">
        <v>125</v>
      </c>
      <c r="Y307" s="117" t="str">
        <f t="shared" si="13"/>
        <v>OK</v>
      </c>
      <c r="Z307" s="111" t="s">
        <v>116</v>
      </c>
      <c r="AA307" s="111" t="s">
        <v>115</v>
      </c>
      <c r="AB307" s="111" t="s">
        <v>116</v>
      </c>
      <c r="AC307" s="111" t="s">
        <v>115</v>
      </c>
      <c r="AD307" s="111"/>
    </row>
    <row r="308" spans="2:30" ht="24.75" customHeight="1" x14ac:dyDescent="0.25">
      <c r="B308" s="108">
        <v>45453</v>
      </c>
      <c r="C308" s="109" t="s">
        <v>97</v>
      </c>
      <c r="D308" s="109">
        <v>24</v>
      </c>
      <c r="E308" s="110" t="str">
        <f t="shared" si="12"/>
        <v>20240610-303</v>
      </c>
      <c r="F308" s="111" t="s">
        <v>98</v>
      </c>
      <c r="G308" s="111" t="s">
        <v>99</v>
      </c>
      <c r="H308" s="112" t="s">
        <v>1148</v>
      </c>
      <c r="I308" s="113">
        <v>1693.24</v>
      </c>
      <c r="J308" s="111" t="s">
        <v>127</v>
      </c>
      <c r="K308" s="111" t="s">
        <v>1151</v>
      </c>
      <c r="L308" s="111" t="s">
        <v>129</v>
      </c>
      <c r="M308" s="111" t="s">
        <v>104</v>
      </c>
      <c r="N308" s="111" t="s">
        <v>829</v>
      </c>
      <c r="O308" s="111" t="s">
        <v>131</v>
      </c>
      <c r="P308" s="111" t="s">
        <v>830</v>
      </c>
      <c r="Q308" s="110" t="s">
        <v>133</v>
      </c>
      <c r="R308" s="110" t="s">
        <v>831</v>
      </c>
      <c r="S308" s="111" t="s">
        <v>832</v>
      </c>
      <c r="T308" s="111" t="s">
        <v>136</v>
      </c>
      <c r="U308" s="111" t="s">
        <v>129</v>
      </c>
      <c r="V308" s="118">
        <f t="shared" si="14"/>
        <v>7.1495699551516051E-3</v>
      </c>
      <c r="W308" s="114" t="str">
        <f>IFERROR(I308-AVERAGEIFS(I$6:I307,J$6:J307,"ICIS / Platts",B$6:B307,B308),"")</f>
        <v/>
      </c>
      <c r="X308" s="110" t="s">
        <v>137</v>
      </c>
      <c r="Y308" s="117" t="str">
        <f t="shared" si="13"/>
        <v>OK</v>
      </c>
      <c r="Z308" s="111" t="s">
        <v>116</v>
      </c>
      <c r="AA308" s="111" t="s">
        <v>115</v>
      </c>
      <c r="AB308" s="111" t="s">
        <v>116</v>
      </c>
      <c r="AC308" s="111" t="s">
        <v>115</v>
      </c>
      <c r="AD308" s="111"/>
    </row>
    <row r="309" spans="2:30" ht="24.75" customHeight="1" x14ac:dyDescent="0.25">
      <c r="B309" s="115">
        <v>45455</v>
      </c>
      <c r="C309" s="116" t="s">
        <v>126</v>
      </c>
      <c r="D309" s="116">
        <v>24</v>
      </c>
      <c r="E309" s="110" t="str">
        <f t="shared" si="12"/>
        <v>20240612-304</v>
      </c>
      <c r="F309" s="111" t="s">
        <v>98</v>
      </c>
      <c r="G309" s="111" t="s">
        <v>99</v>
      </c>
      <c r="H309" s="112" t="s">
        <v>1148</v>
      </c>
      <c r="I309" s="113">
        <v>1674.68</v>
      </c>
      <c r="J309" s="111" t="s">
        <v>139</v>
      </c>
      <c r="K309" s="111" t="s">
        <v>1152</v>
      </c>
      <c r="L309" s="111" t="s">
        <v>103</v>
      </c>
      <c r="M309" s="111" t="s">
        <v>104</v>
      </c>
      <c r="N309" s="111" t="s">
        <v>824</v>
      </c>
      <c r="O309" s="111" t="s">
        <v>106</v>
      </c>
      <c r="P309" s="111" t="s">
        <v>141</v>
      </c>
      <c r="Q309" s="110" t="s">
        <v>133</v>
      </c>
      <c r="R309" s="110" t="s">
        <v>142</v>
      </c>
      <c r="S309" s="111" t="s">
        <v>825</v>
      </c>
      <c r="T309" s="111" t="s">
        <v>111</v>
      </c>
      <c r="U309" s="111" t="s">
        <v>103</v>
      </c>
      <c r="V309" s="118">
        <f t="shared" si="14"/>
        <v>-2.6710991259066414E-2</v>
      </c>
      <c r="W309" s="114" t="str">
        <f>IFERROR(I309-AVERAGEIFS(I$6:I308,J$6:J308,"ICIS / Platts",B$6:B308,B309),"")</f>
        <v/>
      </c>
      <c r="X309" s="110" t="s">
        <v>125</v>
      </c>
      <c r="Y309" s="117" t="str">
        <f t="shared" si="13"/>
        <v>OK</v>
      </c>
      <c r="Z309" s="111" t="s">
        <v>116</v>
      </c>
      <c r="AA309" s="111" t="s">
        <v>115</v>
      </c>
      <c r="AB309" s="111" t="s">
        <v>116</v>
      </c>
      <c r="AC309" s="111" t="s">
        <v>115</v>
      </c>
      <c r="AD309" s="111"/>
    </row>
    <row r="310" spans="2:30" ht="24.75" customHeight="1" x14ac:dyDescent="0.25">
      <c r="B310" s="108">
        <v>45455</v>
      </c>
      <c r="C310" s="109" t="s">
        <v>126</v>
      </c>
      <c r="D310" s="109">
        <v>24</v>
      </c>
      <c r="E310" s="110" t="str">
        <f t="shared" si="12"/>
        <v>20240612-305</v>
      </c>
      <c r="F310" s="111" t="s">
        <v>98</v>
      </c>
      <c r="G310" s="111" t="s">
        <v>99</v>
      </c>
      <c r="H310" s="112" t="s">
        <v>1153</v>
      </c>
      <c r="I310" s="113">
        <v>1685</v>
      </c>
      <c r="J310" s="111" t="s">
        <v>101</v>
      </c>
      <c r="K310" s="111" t="s">
        <v>1154</v>
      </c>
      <c r="L310" s="111" t="s">
        <v>103</v>
      </c>
      <c r="M310" s="111" t="s">
        <v>104</v>
      </c>
      <c r="N310" s="111" t="s">
        <v>824</v>
      </c>
      <c r="O310" s="111" t="s">
        <v>106</v>
      </c>
      <c r="P310" s="111" t="s">
        <v>107</v>
      </c>
      <c r="Q310" s="110" t="s">
        <v>108</v>
      </c>
      <c r="R310" s="110" t="s">
        <v>109</v>
      </c>
      <c r="S310" s="111" t="s">
        <v>825</v>
      </c>
      <c r="T310" s="111" t="s">
        <v>111</v>
      </c>
      <c r="U310" s="111" t="s">
        <v>103</v>
      </c>
      <c r="V310" s="118">
        <f t="shared" si="14"/>
        <v>-1.7772511848341231E-3</v>
      </c>
      <c r="W310" s="114" t="str">
        <f>IFERROR(I310-AVERAGEIFS(I$6:I309,J$6:J309,"ICIS / Platts",B$6:B309,B310),"")</f>
        <v/>
      </c>
      <c r="X310" s="110" t="s">
        <v>113</v>
      </c>
      <c r="Y310" s="117" t="str">
        <f t="shared" si="13"/>
        <v>OK</v>
      </c>
      <c r="Z310" s="111" t="s">
        <v>116</v>
      </c>
      <c r="AA310" s="111" t="s">
        <v>115</v>
      </c>
      <c r="AB310" s="111" t="s">
        <v>116</v>
      </c>
      <c r="AC310" s="111" t="s">
        <v>115</v>
      </c>
      <c r="AD310" s="111"/>
    </row>
    <row r="311" spans="2:30" ht="24.75" customHeight="1" x14ac:dyDescent="0.25">
      <c r="B311" s="115">
        <v>45455</v>
      </c>
      <c r="C311" s="116" t="s">
        <v>126</v>
      </c>
      <c r="D311" s="116">
        <v>24</v>
      </c>
      <c r="E311" s="110" t="str">
        <f t="shared" si="12"/>
        <v>20240612-306</v>
      </c>
      <c r="F311" s="111" t="s">
        <v>98</v>
      </c>
      <c r="G311" s="111" t="s">
        <v>99</v>
      </c>
      <c r="H311" s="112" t="s">
        <v>1153</v>
      </c>
      <c r="I311" s="113">
        <v>1703.55</v>
      </c>
      <c r="J311" s="111" t="s">
        <v>118</v>
      </c>
      <c r="K311" s="111" t="s">
        <v>1155</v>
      </c>
      <c r="L311" s="111" t="s">
        <v>103</v>
      </c>
      <c r="M311" s="111" t="s">
        <v>104</v>
      </c>
      <c r="N311" s="111" t="s">
        <v>827</v>
      </c>
      <c r="O311" s="111" t="s">
        <v>121</v>
      </c>
      <c r="P311" s="111" t="s">
        <v>132</v>
      </c>
      <c r="Q311" s="110" t="s">
        <v>123</v>
      </c>
      <c r="R311" s="110" t="s">
        <v>134</v>
      </c>
      <c r="S311" s="111" t="s">
        <v>825</v>
      </c>
      <c r="T311" s="111" t="s">
        <v>111</v>
      </c>
      <c r="U311" s="111" t="s">
        <v>103</v>
      </c>
      <c r="V311" s="118">
        <f t="shared" si="14"/>
        <v>1.5038937979276778E-2</v>
      </c>
      <c r="W311" s="114">
        <f>IFERROR(I311-AVERAGEIFS(I$6:I310,J$6:J310,"ICIS / Platts",B$6:B310,B311),"")</f>
        <v>18.549999999999955</v>
      </c>
      <c r="X311" s="110" t="s">
        <v>125</v>
      </c>
      <c r="Y311" s="117" t="str">
        <f t="shared" si="13"/>
        <v>OK</v>
      </c>
      <c r="Z311" s="111" t="s">
        <v>116</v>
      </c>
      <c r="AA311" s="111" t="s">
        <v>115</v>
      </c>
      <c r="AB311" s="111" t="s">
        <v>116</v>
      </c>
      <c r="AC311" s="111" t="s">
        <v>115</v>
      </c>
      <c r="AD311" s="111"/>
    </row>
    <row r="312" spans="2:30" ht="24.75" customHeight="1" x14ac:dyDescent="0.25">
      <c r="B312" s="108">
        <v>45460</v>
      </c>
      <c r="C312" s="109" t="s">
        <v>97</v>
      </c>
      <c r="D312" s="109">
        <v>25</v>
      </c>
      <c r="E312" s="110" t="str">
        <f t="shared" si="12"/>
        <v>20240617-307</v>
      </c>
      <c r="F312" s="111" t="s">
        <v>98</v>
      </c>
      <c r="G312" s="111" t="s">
        <v>99</v>
      </c>
      <c r="H312" s="112" t="s">
        <v>1153</v>
      </c>
      <c r="I312" s="113">
        <v>1720.02</v>
      </c>
      <c r="J312" s="111" t="s">
        <v>127</v>
      </c>
      <c r="K312" s="111" t="s">
        <v>1156</v>
      </c>
      <c r="L312" s="111" t="s">
        <v>129</v>
      </c>
      <c r="M312" s="111" t="s">
        <v>104</v>
      </c>
      <c r="N312" s="111" t="s">
        <v>829</v>
      </c>
      <c r="O312" s="111" t="s">
        <v>131</v>
      </c>
      <c r="P312" s="111" t="s">
        <v>830</v>
      </c>
      <c r="Q312" s="110" t="s">
        <v>133</v>
      </c>
      <c r="R312" s="110" t="s">
        <v>831</v>
      </c>
      <c r="S312" s="111" t="s">
        <v>832</v>
      </c>
      <c r="T312" s="111" t="s">
        <v>136</v>
      </c>
      <c r="U312" s="111" t="s">
        <v>129</v>
      </c>
      <c r="V312" s="118">
        <f t="shared" si="14"/>
        <v>1.5815832368713222E-2</v>
      </c>
      <c r="W312" s="114" t="str">
        <f>IFERROR(I312-AVERAGEIFS(I$6:I311,J$6:J311,"ICIS / Platts",B$6:B311,B312),"")</f>
        <v/>
      </c>
      <c r="X312" s="110" t="s">
        <v>137</v>
      </c>
      <c r="Y312" s="117" t="str">
        <f t="shared" si="13"/>
        <v>OK</v>
      </c>
      <c r="Z312" s="111" t="s">
        <v>116</v>
      </c>
      <c r="AA312" s="111" t="s">
        <v>115</v>
      </c>
      <c r="AB312" s="111" t="s">
        <v>116</v>
      </c>
      <c r="AC312" s="111" t="s">
        <v>115</v>
      </c>
      <c r="AD312" s="111"/>
    </row>
    <row r="313" spans="2:30" ht="24.75" customHeight="1" x14ac:dyDescent="0.25">
      <c r="B313" s="115">
        <v>45462</v>
      </c>
      <c r="C313" s="116" t="s">
        <v>126</v>
      </c>
      <c r="D313" s="116">
        <v>25</v>
      </c>
      <c r="E313" s="110" t="str">
        <f t="shared" si="12"/>
        <v>20240619-308</v>
      </c>
      <c r="F313" s="111" t="s">
        <v>98</v>
      </c>
      <c r="G313" s="111" t="s">
        <v>99</v>
      </c>
      <c r="H313" s="112" t="s">
        <v>1153</v>
      </c>
      <c r="I313" s="113">
        <v>1698.56</v>
      </c>
      <c r="J313" s="111" t="s">
        <v>139</v>
      </c>
      <c r="K313" s="111" t="s">
        <v>1157</v>
      </c>
      <c r="L313" s="111" t="s">
        <v>103</v>
      </c>
      <c r="M313" s="111" t="s">
        <v>104</v>
      </c>
      <c r="N313" s="111" t="s">
        <v>824</v>
      </c>
      <c r="O313" s="111" t="s">
        <v>106</v>
      </c>
      <c r="P313" s="111" t="s">
        <v>141</v>
      </c>
      <c r="Q313" s="110" t="s">
        <v>133</v>
      </c>
      <c r="R313" s="110" t="s">
        <v>142</v>
      </c>
      <c r="S313" s="111" t="s">
        <v>825</v>
      </c>
      <c r="T313" s="111" t="s">
        <v>111</v>
      </c>
      <c r="U313" s="111" t="s">
        <v>103</v>
      </c>
      <c r="V313" s="118">
        <f t="shared" si="14"/>
        <v>1.4259440609549217E-2</v>
      </c>
      <c r="W313" s="114" t="str">
        <f>IFERROR(I313-AVERAGEIFS(I$6:I312,J$6:J312,"ICIS / Platts",B$6:B312,B313),"")</f>
        <v/>
      </c>
      <c r="X313" s="110" t="s">
        <v>125</v>
      </c>
      <c r="Y313" s="117" t="str">
        <f t="shared" si="13"/>
        <v>OK</v>
      </c>
      <c r="Z313" s="111" t="s">
        <v>116</v>
      </c>
      <c r="AA313" s="111" t="s">
        <v>115</v>
      </c>
      <c r="AB313" s="111" t="s">
        <v>116</v>
      </c>
      <c r="AC313" s="111" t="s">
        <v>115</v>
      </c>
      <c r="AD313" s="111"/>
    </row>
    <row r="314" spans="2:30" ht="24.75" customHeight="1" x14ac:dyDescent="0.25">
      <c r="B314" s="108">
        <v>45462</v>
      </c>
      <c r="C314" s="109" t="s">
        <v>126</v>
      </c>
      <c r="D314" s="109">
        <v>25</v>
      </c>
      <c r="E314" s="110" t="str">
        <f t="shared" si="12"/>
        <v>20240619-309</v>
      </c>
      <c r="F314" s="111" t="s">
        <v>98</v>
      </c>
      <c r="G314" s="111" t="s">
        <v>99</v>
      </c>
      <c r="H314" s="112" t="s">
        <v>1158</v>
      </c>
      <c r="I314" s="113">
        <v>1688</v>
      </c>
      <c r="J314" s="111" t="s">
        <v>101</v>
      </c>
      <c r="K314" s="111" t="s">
        <v>1159</v>
      </c>
      <c r="L314" s="111" t="s">
        <v>103</v>
      </c>
      <c r="M314" s="111" t="s">
        <v>104</v>
      </c>
      <c r="N314" s="111" t="s">
        <v>824</v>
      </c>
      <c r="O314" s="111" t="s">
        <v>106</v>
      </c>
      <c r="P314" s="111" t="s">
        <v>107</v>
      </c>
      <c r="Q314" s="110" t="s">
        <v>108</v>
      </c>
      <c r="R314" s="110" t="s">
        <v>109</v>
      </c>
      <c r="S314" s="111" t="s">
        <v>825</v>
      </c>
      <c r="T314" s="111" t="s">
        <v>111</v>
      </c>
      <c r="U314" s="111" t="s">
        <v>103</v>
      </c>
      <c r="V314" s="118">
        <f t="shared" si="14"/>
        <v>1.7804154302670622E-3</v>
      </c>
      <c r="W314" s="114" t="str">
        <f>IFERROR(I314-AVERAGEIFS(I$6:I313,J$6:J313,"ICIS / Platts",B$6:B313,B314),"")</f>
        <v/>
      </c>
      <c r="X314" s="110" t="s">
        <v>113</v>
      </c>
      <c r="Y314" s="117" t="str">
        <f t="shared" si="13"/>
        <v>OK</v>
      </c>
      <c r="Z314" s="111" t="s">
        <v>116</v>
      </c>
      <c r="AA314" s="111" t="s">
        <v>115</v>
      </c>
      <c r="AB314" s="111" t="s">
        <v>116</v>
      </c>
      <c r="AC314" s="111" t="s">
        <v>115</v>
      </c>
      <c r="AD314" s="111"/>
    </row>
    <row r="315" spans="2:30" ht="24.75" customHeight="1" x14ac:dyDescent="0.25">
      <c r="B315" s="115">
        <v>45462</v>
      </c>
      <c r="C315" s="116" t="s">
        <v>126</v>
      </c>
      <c r="D315" s="116">
        <v>25</v>
      </c>
      <c r="E315" s="110" t="str">
        <f t="shared" si="12"/>
        <v>20240619-310</v>
      </c>
      <c r="F315" s="111" t="s">
        <v>98</v>
      </c>
      <c r="G315" s="111" t="s">
        <v>99</v>
      </c>
      <c r="H315" s="112" t="s">
        <v>1158</v>
      </c>
      <c r="I315" s="113">
        <v>1740.02</v>
      </c>
      <c r="J315" s="111" t="s">
        <v>118</v>
      </c>
      <c r="K315" s="111" t="s">
        <v>1160</v>
      </c>
      <c r="L315" s="111" t="s">
        <v>103</v>
      </c>
      <c r="M315" s="111" t="s">
        <v>104</v>
      </c>
      <c r="N315" s="111" t="s">
        <v>827</v>
      </c>
      <c r="O315" s="111" t="s">
        <v>121</v>
      </c>
      <c r="P315" s="111" t="s">
        <v>132</v>
      </c>
      <c r="Q315" s="110" t="s">
        <v>123</v>
      </c>
      <c r="R315" s="110" t="s">
        <v>134</v>
      </c>
      <c r="S315" s="111" t="s">
        <v>825</v>
      </c>
      <c r="T315" s="111" t="s">
        <v>111</v>
      </c>
      <c r="U315" s="111" t="s">
        <v>103</v>
      </c>
      <c r="V315" s="118">
        <f t="shared" si="14"/>
        <v>2.1408235743007265E-2</v>
      </c>
      <c r="W315" s="114">
        <f>IFERROR(I315-AVERAGEIFS(I$6:I314,J$6:J314,"ICIS / Platts",B$6:B314,B315),"")</f>
        <v>52.019999999999982</v>
      </c>
      <c r="X315" s="110" t="s">
        <v>125</v>
      </c>
      <c r="Y315" s="117" t="str">
        <f t="shared" si="13"/>
        <v>OK</v>
      </c>
      <c r="Z315" s="111" t="s">
        <v>116</v>
      </c>
      <c r="AA315" s="111" t="s">
        <v>115</v>
      </c>
      <c r="AB315" s="111" t="s">
        <v>116</v>
      </c>
      <c r="AC315" s="111" t="s">
        <v>115</v>
      </c>
      <c r="AD315" s="111"/>
    </row>
    <row r="316" spans="2:30" ht="24.75" customHeight="1" x14ac:dyDescent="0.25">
      <c r="B316" s="108">
        <v>45467</v>
      </c>
      <c r="C316" s="109" t="s">
        <v>97</v>
      </c>
      <c r="D316" s="109">
        <v>26</v>
      </c>
      <c r="E316" s="110" t="str">
        <f t="shared" si="12"/>
        <v>20240624-311</v>
      </c>
      <c r="F316" s="111" t="s">
        <v>98</v>
      </c>
      <c r="G316" s="111" t="s">
        <v>99</v>
      </c>
      <c r="H316" s="112" t="s">
        <v>1158</v>
      </c>
      <c r="I316" s="113">
        <v>1674.58</v>
      </c>
      <c r="J316" s="111" t="s">
        <v>127</v>
      </c>
      <c r="K316" s="111" t="s">
        <v>1161</v>
      </c>
      <c r="L316" s="111" t="s">
        <v>129</v>
      </c>
      <c r="M316" s="111" t="s">
        <v>104</v>
      </c>
      <c r="N316" s="111" t="s">
        <v>829</v>
      </c>
      <c r="O316" s="111" t="s">
        <v>131</v>
      </c>
      <c r="P316" s="111" t="s">
        <v>830</v>
      </c>
      <c r="Q316" s="110" t="s">
        <v>133</v>
      </c>
      <c r="R316" s="110" t="s">
        <v>831</v>
      </c>
      <c r="S316" s="111" t="s">
        <v>832</v>
      </c>
      <c r="T316" s="111" t="s">
        <v>136</v>
      </c>
      <c r="U316" s="111" t="s">
        <v>129</v>
      </c>
      <c r="V316" s="118">
        <f t="shared" si="14"/>
        <v>-2.6418297461657456E-2</v>
      </c>
      <c r="W316" s="114" t="str">
        <f>IFERROR(I316-AVERAGEIFS(I$6:I315,J$6:J315,"ICIS / Platts",B$6:B315,B316),"")</f>
        <v/>
      </c>
      <c r="X316" s="110" t="s">
        <v>137</v>
      </c>
      <c r="Y316" s="117" t="str">
        <f t="shared" si="13"/>
        <v>OK</v>
      </c>
      <c r="Z316" s="111" t="s">
        <v>116</v>
      </c>
      <c r="AA316" s="111" t="s">
        <v>115</v>
      </c>
      <c r="AB316" s="111" t="s">
        <v>116</v>
      </c>
      <c r="AC316" s="111" t="s">
        <v>115</v>
      </c>
      <c r="AD316" s="111"/>
    </row>
    <row r="317" spans="2:30" ht="24.75" customHeight="1" x14ac:dyDescent="0.25">
      <c r="B317" s="115">
        <v>45469</v>
      </c>
      <c r="C317" s="116" t="s">
        <v>126</v>
      </c>
      <c r="D317" s="116">
        <v>26</v>
      </c>
      <c r="E317" s="110" t="str">
        <f t="shared" si="12"/>
        <v>20240626-312</v>
      </c>
      <c r="F317" s="111" t="s">
        <v>98</v>
      </c>
      <c r="G317" s="111" t="s">
        <v>99</v>
      </c>
      <c r="H317" s="112" t="s">
        <v>1158</v>
      </c>
      <c r="I317" s="113">
        <v>1697.83</v>
      </c>
      <c r="J317" s="111" t="s">
        <v>139</v>
      </c>
      <c r="K317" s="111" t="s">
        <v>1162</v>
      </c>
      <c r="L317" s="111" t="s">
        <v>103</v>
      </c>
      <c r="M317" s="111" t="s">
        <v>104</v>
      </c>
      <c r="N317" s="111" t="s">
        <v>824</v>
      </c>
      <c r="O317" s="111" t="s">
        <v>106</v>
      </c>
      <c r="P317" s="111" t="s">
        <v>141</v>
      </c>
      <c r="Q317" s="110" t="s">
        <v>133</v>
      </c>
      <c r="R317" s="110" t="s">
        <v>142</v>
      </c>
      <c r="S317" s="111" t="s">
        <v>825</v>
      </c>
      <c r="T317" s="111" t="s">
        <v>111</v>
      </c>
      <c r="U317" s="111" t="s">
        <v>103</v>
      </c>
      <c r="V317" s="118">
        <f t="shared" si="14"/>
        <v>-4.2977581009797608E-4</v>
      </c>
      <c r="W317" s="114" t="str">
        <f>IFERROR(I317-AVERAGEIFS(I$6:I316,J$6:J316,"ICIS / Platts",B$6:B316,B317),"")</f>
        <v/>
      </c>
      <c r="X317" s="110" t="s">
        <v>125</v>
      </c>
      <c r="Y317" s="117" t="str">
        <f t="shared" si="13"/>
        <v>OK</v>
      </c>
      <c r="Z317" s="111" t="s">
        <v>116</v>
      </c>
      <c r="AA317" s="111" t="s">
        <v>115</v>
      </c>
      <c r="AB317" s="111" t="s">
        <v>116</v>
      </c>
      <c r="AC317" s="111" t="s">
        <v>115</v>
      </c>
      <c r="AD317" s="111"/>
    </row>
    <row r="318" spans="2:30" ht="24.75" customHeight="1" x14ac:dyDescent="0.25">
      <c r="B318" s="108">
        <v>45469</v>
      </c>
      <c r="C318" s="109" t="s">
        <v>126</v>
      </c>
      <c r="D318" s="109">
        <v>26</v>
      </c>
      <c r="E318" s="110" t="str">
        <f t="shared" si="12"/>
        <v>20240626-313</v>
      </c>
      <c r="F318" s="111" t="s">
        <v>98</v>
      </c>
      <c r="G318" s="111" t="s">
        <v>99</v>
      </c>
      <c r="H318" s="112" t="s">
        <v>1163</v>
      </c>
      <c r="I318" s="113">
        <v>1692</v>
      </c>
      <c r="J318" s="111" t="s">
        <v>101</v>
      </c>
      <c r="K318" s="111" t="s">
        <v>1164</v>
      </c>
      <c r="L318" s="111" t="s">
        <v>103</v>
      </c>
      <c r="M318" s="111" t="s">
        <v>104</v>
      </c>
      <c r="N318" s="111" t="s">
        <v>824</v>
      </c>
      <c r="O318" s="111" t="s">
        <v>106</v>
      </c>
      <c r="P318" s="111" t="s">
        <v>107</v>
      </c>
      <c r="Q318" s="110" t="s">
        <v>108</v>
      </c>
      <c r="R318" s="110" t="s">
        <v>109</v>
      </c>
      <c r="S318" s="111" t="s">
        <v>825</v>
      </c>
      <c r="T318" s="111" t="s">
        <v>111</v>
      </c>
      <c r="U318" s="111" t="s">
        <v>103</v>
      </c>
      <c r="V318" s="118">
        <f t="shared" si="14"/>
        <v>2.3696682464454978E-3</v>
      </c>
      <c r="W318" s="114" t="str">
        <f>IFERROR(I318-AVERAGEIFS(I$6:I317,J$6:J317,"ICIS / Platts",B$6:B317,B318),"")</f>
        <v/>
      </c>
      <c r="X318" s="110" t="s">
        <v>113</v>
      </c>
      <c r="Y318" s="117" t="str">
        <f t="shared" si="13"/>
        <v>OK</v>
      </c>
      <c r="Z318" s="111" t="s">
        <v>116</v>
      </c>
      <c r="AA318" s="111" t="s">
        <v>115</v>
      </c>
      <c r="AB318" s="111" t="s">
        <v>116</v>
      </c>
      <c r="AC318" s="111" t="s">
        <v>115</v>
      </c>
      <c r="AD318" s="111"/>
    </row>
    <row r="319" spans="2:30" ht="24.75" customHeight="1" x14ac:dyDescent="0.25">
      <c r="B319" s="115">
        <v>45469</v>
      </c>
      <c r="C319" s="116" t="s">
        <v>126</v>
      </c>
      <c r="D319" s="116">
        <v>26</v>
      </c>
      <c r="E319" s="110" t="str">
        <f t="shared" si="12"/>
        <v>20240626-314</v>
      </c>
      <c r="F319" s="111" t="s">
        <v>98</v>
      </c>
      <c r="G319" s="111" t="s">
        <v>99</v>
      </c>
      <c r="H319" s="112" t="s">
        <v>1163</v>
      </c>
      <c r="I319" s="113">
        <v>1736.97</v>
      </c>
      <c r="J319" s="111" t="s">
        <v>118</v>
      </c>
      <c r="K319" s="111" t="s">
        <v>1165</v>
      </c>
      <c r="L319" s="111" t="s">
        <v>103</v>
      </c>
      <c r="M319" s="111" t="s">
        <v>104</v>
      </c>
      <c r="N319" s="111" t="s">
        <v>827</v>
      </c>
      <c r="O319" s="111" t="s">
        <v>121</v>
      </c>
      <c r="P319" s="111" t="s">
        <v>132</v>
      </c>
      <c r="Q319" s="110" t="s">
        <v>123</v>
      </c>
      <c r="R319" s="110" t="s">
        <v>134</v>
      </c>
      <c r="S319" s="111" t="s">
        <v>825</v>
      </c>
      <c r="T319" s="111" t="s">
        <v>111</v>
      </c>
      <c r="U319" s="111" t="s">
        <v>103</v>
      </c>
      <c r="V319" s="118">
        <f t="shared" si="14"/>
        <v>-1.7528534154779569E-3</v>
      </c>
      <c r="W319" s="114">
        <f>IFERROR(I319-AVERAGEIFS(I$6:I318,J$6:J318,"ICIS / Platts",B$6:B318,B319),"")</f>
        <v>44.970000000000027</v>
      </c>
      <c r="X319" s="110" t="s">
        <v>125</v>
      </c>
      <c r="Y319" s="117" t="str">
        <f t="shared" si="13"/>
        <v>OK</v>
      </c>
      <c r="Z319" s="111" t="s">
        <v>116</v>
      </c>
      <c r="AA319" s="111" t="s">
        <v>115</v>
      </c>
      <c r="AB319" s="111" t="s">
        <v>116</v>
      </c>
      <c r="AC319" s="111" t="s">
        <v>115</v>
      </c>
      <c r="AD319" s="111"/>
    </row>
    <row r="320" spans="2:30" ht="24.75" customHeight="1" x14ac:dyDescent="0.25">
      <c r="B320" s="108">
        <v>45474</v>
      </c>
      <c r="C320" s="109" t="s">
        <v>97</v>
      </c>
      <c r="D320" s="109">
        <v>27</v>
      </c>
      <c r="E320" s="110" t="str">
        <f t="shared" si="12"/>
        <v>20240701-315</v>
      </c>
      <c r="F320" s="111" t="s">
        <v>98</v>
      </c>
      <c r="G320" s="111" t="s">
        <v>99</v>
      </c>
      <c r="H320" s="112" t="s">
        <v>1163</v>
      </c>
      <c r="I320" s="113">
        <v>1658.96</v>
      </c>
      <c r="J320" s="111" t="s">
        <v>127</v>
      </c>
      <c r="K320" s="111" t="s">
        <v>1166</v>
      </c>
      <c r="L320" s="111" t="s">
        <v>129</v>
      </c>
      <c r="M320" s="111" t="s">
        <v>104</v>
      </c>
      <c r="N320" s="111" t="s">
        <v>829</v>
      </c>
      <c r="O320" s="111" t="s">
        <v>131</v>
      </c>
      <c r="P320" s="111" t="s">
        <v>830</v>
      </c>
      <c r="Q320" s="110" t="s">
        <v>133</v>
      </c>
      <c r="R320" s="110" t="s">
        <v>831</v>
      </c>
      <c r="S320" s="111" t="s">
        <v>832</v>
      </c>
      <c r="T320" s="111" t="s">
        <v>136</v>
      </c>
      <c r="U320" s="111" t="s">
        <v>129</v>
      </c>
      <c r="V320" s="118">
        <f t="shared" si="14"/>
        <v>-9.3277120233132439E-3</v>
      </c>
      <c r="W320" s="114" t="str">
        <f>IFERROR(I320-AVERAGEIFS(I$6:I319,J$6:J319,"ICIS / Platts",B$6:B319,B320),"")</f>
        <v/>
      </c>
      <c r="X320" s="110" t="s">
        <v>137</v>
      </c>
      <c r="Y320" s="117" t="str">
        <f t="shared" si="13"/>
        <v>OK</v>
      </c>
      <c r="Z320" s="111" t="s">
        <v>116</v>
      </c>
      <c r="AA320" s="111" t="s">
        <v>115</v>
      </c>
      <c r="AB320" s="111" t="s">
        <v>116</v>
      </c>
      <c r="AC320" s="111" t="s">
        <v>115</v>
      </c>
      <c r="AD320" s="111"/>
    </row>
    <row r="321" spans="2:30" ht="24.75" customHeight="1" x14ac:dyDescent="0.25">
      <c r="B321" s="115">
        <v>45476</v>
      </c>
      <c r="C321" s="116" t="s">
        <v>126</v>
      </c>
      <c r="D321" s="116">
        <v>27</v>
      </c>
      <c r="E321" s="110" t="str">
        <f t="shared" si="12"/>
        <v>20240703-316</v>
      </c>
      <c r="F321" s="111" t="s">
        <v>98</v>
      </c>
      <c r="G321" s="111" t="s">
        <v>99</v>
      </c>
      <c r="H321" s="112" t="s">
        <v>1163</v>
      </c>
      <c r="I321" s="113">
        <v>1717.47</v>
      </c>
      <c r="J321" s="111" t="s">
        <v>139</v>
      </c>
      <c r="K321" s="111" t="s">
        <v>1167</v>
      </c>
      <c r="L321" s="111" t="s">
        <v>103</v>
      </c>
      <c r="M321" s="111" t="s">
        <v>104</v>
      </c>
      <c r="N321" s="111" t="s">
        <v>824</v>
      </c>
      <c r="O321" s="111" t="s">
        <v>106</v>
      </c>
      <c r="P321" s="111" t="s">
        <v>141</v>
      </c>
      <c r="Q321" s="110" t="s">
        <v>133</v>
      </c>
      <c r="R321" s="110" t="s">
        <v>142</v>
      </c>
      <c r="S321" s="111" t="s">
        <v>825</v>
      </c>
      <c r="T321" s="111" t="s">
        <v>111</v>
      </c>
      <c r="U321" s="111" t="s">
        <v>103</v>
      </c>
      <c r="V321" s="118">
        <f t="shared" si="14"/>
        <v>1.1567707014247659E-2</v>
      </c>
      <c r="W321" s="114" t="str">
        <f>IFERROR(I321-AVERAGEIFS(I$6:I320,J$6:J320,"ICIS / Platts",B$6:B320,B321),"")</f>
        <v/>
      </c>
      <c r="X321" s="110" t="s">
        <v>125</v>
      </c>
      <c r="Y321" s="117" t="str">
        <f t="shared" si="13"/>
        <v>OK</v>
      </c>
      <c r="Z321" s="111" t="s">
        <v>116</v>
      </c>
      <c r="AA321" s="111" t="s">
        <v>115</v>
      </c>
      <c r="AB321" s="111" t="s">
        <v>116</v>
      </c>
      <c r="AC321" s="111" t="s">
        <v>115</v>
      </c>
      <c r="AD321" s="111"/>
    </row>
    <row r="322" spans="2:30" ht="24.75" customHeight="1" x14ac:dyDescent="0.25">
      <c r="B322" s="108">
        <v>45476</v>
      </c>
      <c r="C322" s="109" t="s">
        <v>126</v>
      </c>
      <c r="D322" s="109">
        <v>27</v>
      </c>
      <c r="E322" s="110" t="str">
        <f t="shared" si="12"/>
        <v>20240703-317</v>
      </c>
      <c r="F322" s="111" t="s">
        <v>98</v>
      </c>
      <c r="G322" s="111" t="s">
        <v>99</v>
      </c>
      <c r="H322" s="112" t="s">
        <v>1168</v>
      </c>
      <c r="I322" s="113">
        <v>1698</v>
      </c>
      <c r="J322" s="111" t="s">
        <v>101</v>
      </c>
      <c r="K322" s="111" t="s">
        <v>1169</v>
      </c>
      <c r="L322" s="111" t="s">
        <v>103</v>
      </c>
      <c r="M322" s="111" t="s">
        <v>104</v>
      </c>
      <c r="N322" s="111" t="s">
        <v>824</v>
      </c>
      <c r="O322" s="111" t="s">
        <v>106</v>
      </c>
      <c r="P322" s="111" t="s">
        <v>107</v>
      </c>
      <c r="Q322" s="110" t="s">
        <v>108</v>
      </c>
      <c r="R322" s="110" t="s">
        <v>109</v>
      </c>
      <c r="S322" s="111" t="s">
        <v>825</v>
      </c>
      <c r="T322" s="111" t="s">
        <v>111</v>
      </c>
      <c r="U322" s="111" t="s">
        <v>103</v>
      </c>
      <c r="V322" s="118">
        <f t="shared" si="14"/>
        <v>3.5460992907801418E-3</v>
      </c>
      <c r="W322" s="114" t="str">
        <f>IFERROR(I322-AVERAGEIFS(I$6:I321,J$6:J321,"ICIS / Platts",B$6:B321,B322),"")</f>
        <v/>
      </c>
      <c r="X322" s="110" t="s">
        <v>113</v>
      </c>
      <c r="Y322" s="117" t="str">
        <f t="shared" si="13"/>
        <v>OK</v>
      </c>
      <c r="Z322" s="111" t="s">
        <v>116</v>
      </c>
      <c r="AA322" s="111" t="s">
        <v>115</v>
      </c>
      <c r="AB322" s="111" t="s">
        <v>116</v>
      </c>
      <c r="AC322" s="111" t="s">
        <v>116</v>
      </c>
      <c r="AD322" s="111"/>
    </row>
    <row r="323" spans="2:30" ht="24.75" customHeight="1" x14ac:dyDescent="0.25">
      <c r="B323" s="115">
        <v>45476</v>
      </c>
      <c r="C323" s="116" t="s">
        <v>126</v>
      </c>
      <c r="D323" s="116">
        <v>27</v>
      </c>
      <c r="E323" s="110" t="str">
        <f t="shared" si="12"/>
        <v>20240703-318</v>
      </c>
      <c r="F323" s="111" t="s">
        <v>98</v>
      </c>
      <c r="G323" s="111" t="s">
        <v>99</v>
      </c>
      <c r="H323" s="112" t="s">
        <v>1168</v>
      </c>
      <c r="I323" s="113">
        <v>1736.84</v>
      </c>
      <c r="J323" s="111" t="s">
        <v>118</v>
      </c>
      <c r="K323" s="111" t="s">
        <v>1170</v>
      </c>
      <c r="L323" s="111" t="s">
        <v>103</v>
      </c>
      <c r="M323" s="111" t="s">
        <v>104</v>
      </c>
      <c r="N323" s="111" t="s">
        <v>827</v>
      </c>
      <c r="O323" s="111" t="s">
        <v>121</v>
      </c>
      <c r="P323" s="111" t="s">
        <v>132</v>
      </c>
      <c r="Q323" s="110" t="s">
        <v>123</v>
      </c>
      <c r="R323" s="110" t="s">
        <v>134</v>
      </c>
      <c r="S323" s="111" t="s">
        <v>825</v>
      </c>
      <c r="T323" s="111" t="s">
        <v>111</v>
      </c>
      <c r="U323" s="111" t="s">
        <v>103</v>
      </c>
      <c r="V323" s="118">
        <f t="shared" si="14"/>
        <v>-7.4842973684121855E-5</v>
      </c>
      <c r="W323" s="114">
        <f>IFERROR(I323-AVERAGEIFS(I$6:I322,J$6:J322,"ICIS / Platts",B$6:B322,B323),"")</f>
        <v>38.839999999999918</v>
      </c>
      <c r="X323" s="110" t="s">
        <v>125</v>
      </c>
      <c r="Y323" s="117" t="str">
        <f t="shared" si="13"/>
        <v>OK</v>
      </c>
      <c r="Z323" s="111" t="s">
        <v>116</v>
      </c>
      <c r="AA323" s="111" t="s">
        <v>115</v>
      </c>
      <c r="AB323" s="111" t="s">
        <v>116</v>
      </c>
      <c r="AC323" s="111" t="s">
        <v>116</v>
      </c>
      <c r="AD323" s="111"/>
    </row>
    <row r="324" spans="2:30" ht="24.75" customHeight="1" x14ac:dyDescent="0.25">
      <c r="B324" s="108">
        <v>45481</v>
      </c>
      <c r="C324" s="109" t="s">
        <v>97</v>
      </c>
      <c r="D324" s="109">
        <v>28</v>
      </c>
      <c r="E324" s="110" t="str">
        <f t="shared" si="12"/>
        <v>20240708-319</v>
      </c>
      <c r="F324" s="111" t="s">
        <v>98</v>
      </c>
      <c r="G324" s="111" t="s">
        <v>99</v>
      </c>
      <c r="H324" s="112" t="s">
        <v>1168</v>
      </c>
      <c r="I324" s="113">
        <v>1690.18</v>
      </c>
      <c r="J324" s="111" t="s">
        <v>127</v>
      </c>
      <c r="K324" s="111" t="s">
        <v>1171</v>
      </c>
      <c r="L324" s="111" t="s">
        <v>129</v>
      </c>
      <c r="M324" s="111" t="s">
        <v>104</v>
      </c>
      <c r="N324" s="111" t="s">
        <v>829</v>
      </c>
      <c r="O324" s="111" t="s">
        <v>131</v>
      </c>
      <c r="P324" s="111" t="s">
        <v>830</v>
      </c>
      <c r="Q324" s="110" t="s">
        <v>133</v>
      </c>
      <c r="R324" s="110" t="s">
        <v>831</v>
      </c>
      <c r="S324" s="111" t="s">
        <v>832</v>
      </c>
      <c r="T324" s="111" t="s">
        <v>136</v>
      </c>
      <c r="U324" s="111" t="s">
        <v>129</v>
      </c>
      <c r="V324" s="118">
        <f t="shared" si="14"/>
        <v>1.8819019144524295E-2</v>
      </c>
      <c r="W324" s="114" t="str">
        <f>IFERROR(I324-AVERAGEIFS(I$6:I323,J$6:J323,"ICIS / Platts",B$6:B323,B324),"")</f>
        <v/>
      </c>
      <c r="X324" s="110" t="s">
        <v>137</v>
      </c>
      <c r="Y324" s="117" t="str">
        <f t="shared" si="13"/>
        <v>OK</v>
      </c>
      <c r="Z324" s="111" t="s">
        <v>116</v>
      </c>
      <c r="AA324" s="111" t="s">
        <v>115</v>
      </c>
      <c r="AB324" s="111" t="s">
        <v>116</v>
      </c>
      <c r="AC324" s="111" t="s">
        <v>116</v>
      </c>
      <c r="AD324" s="111"/>
    </row>
    <row r="325" spans="2:30" ht="24.75" customHeight="1" x14ac:dyDescent="0.25">
      <c r="B325" s="115">
        <v>45483</v>
      </c>
      <c r="C325" s="116" t="s">
        <v>126</v>
      </c>
      <c r="D325" s="116">
        <v>28</v>
      </c>
      <c r="E325" s="110" t="str">
        <f t="shared" si="12"/>
        <v>20240710-320</v>
      </c>
      <c r="F325" s="111" t="s">
        <v>98</v>
      </c>
      <c r="G325" s="111" t="s">
        <v>99</v>
      </c>
      <c r="H325" s="112" t="s">
        <v>1168</v>
      </c>
      <c r="I325" s="113">
        <v>1728.75</v>
      </c>
      <c r="J325" s="111" t="s">
        <v>139</v>
      </c>
      <c r="K325" s="111" t="s">
        <v>1172</v>
      </c>
      <c r="L325" s="111" t="s">
        <v>103</v>
      </c>
      <c r="M325" s="111" t="s">
        <v>104</v>
      </c>
      <c r="N325" s="111" t="s">
        <v>824</v>
      </c>
      <c r="O325" s="111" t="s">
        <v>106</v>
      </c>
      <c r="P325" s="111" t="s">
        <v>141</v>
      </c>
      <c r="Q325" s="110" t="s">
        <v>133</v>
      </c>
      <c r="R325" s="110" t="s">
        <v>142</v>
      </c>
      <c r="S325" s="111" t="s">
        <v>825</v>
      </c>
      <c r="T325" s="111" t="s">
        <v>111</v>
      </c>
      <c r="U325" s="111" t="s">
        <v>103</v>
      </c>
      <c r="V325" s="118">
        <f t="shared" si="14"/>
        <v>6.5678003109224453E-3</v>
      </c>
      <c r="W325" s="114" t="str">
        <f>IFERROR(I325-AVERAGEIFS(I$6:I324,J$6:J324,"ICIS / Platts",B$6:B324,B325),"")</f>
        <v/>
      </c>
      <c r="X325" s="110" t="s">
        <v>125</v>
      </c>
      <c r="Y325" s="117" t="str">
        <f t="shared" si="13"/>
        <v>OK</v>
      </c>
      <c r="Z325" s="111" t="s">
        <v>116</v>
      </c>
      <c r="AA325" s="111" t="s">
        <v>115</v>
      </c>
      <c r="AB325" s="111" t="s">
        <v>116</v>
      </c>
      <c r="AC325" s="111" t="s">
        <v>116</v>
      </c>
      <c r="AD325" s="111"/>
    </row>
    <row r="326" spans="2:30" ht="24.75" customHeight="1" x14ac:dyDescent="0.25">
      <c r="B326" s="108">
        <v>45483</v>
      </c>
      <c r="C326" s="109" t="s">
        <v>126</v>
      </c>
      <c r="D326" s="109">
        <v>28</v>
      </c>
      <c r="E326" s="110" t="str">
        <f t="shared" ref="E326:E389" si="15">TEXT(B326,"YYYYMMDD")&amp;"-"&amp;TEXT(ROW()-5,"000")</f>
        <v>20240710-321</v>
      </c>
      <c r="F326" s="111" t="s">
        <v>98</v>
      </c>
      <c r="G326" s="111" t="s">
        <v>99</v>
      </c>
      <c r="H326" s="112" t="s">
        <v>1173</v>
      </c>
      <c r="I326" s="113">
        <v>1712</v>
      </c>
      <c r="J326" s="111" t="s">
        <v>101</v>
      </c>
      <c r="K326" s="111" t="s">
        <v>1174</v>
      </c>
      <c r="L326" s="111" t="s">
        <v>103</v>
      </c>
      <c r="M326" s="111" t="s">
        <v>104</v>
      </c>
      <c r="N326" s="111" t="s">
        <v>824</v>
      </c>
      <c r="O326" s="111" t="s">
        <v>106</v>
      </c>
      <c r="P326" s="111" t="s">
        <v>107</v>
      </c>
      <c r="Q326" s="110" t="s">
        <v>108</v>
      </c>
      <c r="R326" s="110" t="s">
        <v>109</v>
      </c>
      <c r="S326" s="111" t="s">
        <v>825</v>
      </c>
      <c r="T326" s="111" t="s">
        <v>111</v>
      </c>
      <c r="U326" s="111" t="s">
        <v>103</v>
      </c>
      <c r="V326" s="118">
        <f t="shared" si="14"/>
        <v>8.2449941107184919E-3</v>
      </c>
      <c r="W326" s="114" t="str">
        <f>IFERROR(I326-AVERAGEIFS(I$6:I325,J$6:J325,"ICIS / Platts",B$6:B325,B326),"")</f>
        <v/>
      </c>
      <c r="X326" s="110" t="s">
        <v>113</v>
      </c>
      <c r="Y326" s="117" t="str">
        <f t="shared" si="13"/>
        <v>OK</v>
      </c>
      <c r="Z326" s="111" t="s">
        <v>116</v>
      </c>
      <c r="AA326" s="111" t="s">
        <v>115</v>
      </c>
      <c r="AB326" s="111" t="s">
        <v>116</v>
      </c>
      <c r="AC326" s="111" t="s">
        <v>116</v>
      </c>
      <c r="AD326" s="111"/>
    </row>
    <row r="327" spans="2:30" ht="24.75" customHeight="1" x14ac:dyDescent="0.25">
      <c r="B327" s="115">
        <v>45483</v>
      </c>
      <c r="C327" s="116" t="s">
        <v>126</v>
      </c>
      <c r="D327" s="116">
        <v>28</v>
      </c>
      <c r="E327" s="110" t="str">
        <f t="shared" si="15"/>
        <v>20240710-322</v>
      </c>
      <c r="F327" s="111" t="s">
        <v>98</v>
      </c>
      <c r="G327" s="111" t="s">
        <v>99</v>
      </c>
      <c r="H327" s="112" t="s">
        <v>1173</v>
      </c>
      <c r="I327" s="113">
        <v>1718.3</v>
      </c>
      <c r="J327" s="111" t="s">
        <v>118</v>
      </c>
      <c r="K327" s="111" t="s">
        <v>1175</v>
      </c>
      <c r="L327" s="111" t="s">
        <v>103</v>
      </c>
      <c r="M327" s="111" t="s">
        <v>104</v>
      </c>
      <c r="N327" s="111" t="s">
        <v>827</v>
      </c>
      <c r="O327" s="111" t="s">
        <v>121</v>
      </c>
      <c r="P327" s="111" t="s">
        <v>132</v>
      </c>
      <c r="Q327" s="110" t="s">
        <v>123</v>
      </c>
      <c r="R327" s="110" t="s">
        <v>134</v>
      </c>
      <c r="S327" s="111" t="s">
        <v>825</v>
      </c>
      <c r="T327" s="111" t="s">
        <v>111</v>
      </c>
      <c r="U327" s="111" t="s">
        <v>103</v>
      </c>
      <c r="V327" s="118">
        <f t="shared" si="14"/>
        <v>-1.0674558393404093E-2</v>
      </c>
      <c r="W327" s="114">
        <f>IFERROR(I327-AVERAGEIFS(I$6:I326,J$6:J326,"ICIS / Platts",B$6:B326,B327),"")</f>
        <v>6.2999999999999545</v>
      </c>
      <c r="X327" s="110" t="s">
        <v>125</v>
      </c>
      <c r="Y327" s="117" t="str">
        <f t="shared" si="13"/>
        <v>OK</v>
      </c>
      <c r="Z327" s="111" t="s">
        <v>116</v>
      </c>
      <c r="AA327" s="111" t="s">
        <v>115</v>
      </c>
      <c r="AB327" s="111" t="s">
        <v>116</v>
      </c>
      <c r="AC327" s="111" t="s">
        <v>116</v>
      </c>
      <c r="AD327" s="111"/>
    </row>
    <row r="328" spans="2:30" ht="24.75" customHeight="1" x14ac:dyDescent="0.25">
      <c r="B328" s="108">
        <v>45488</v>
      </c>
      <c r="C328" s="109" t="s">
        <v>97</v>
      </c>
      <c r="D328" s="109">
        <v>29</v>
      </c>
      <c r="E328" s="110" t="str">
        <f t="shared" si="15"/>
        <v>20240715-323</v>
      </c>
      <c r="F328" s="111" t="s">
        <v>98</v>
      </c>
      <c r="G328" s="111" t="s">
        <v>99</v>
      </c>
      <c r="H328" s="112" t="s">
        <v>1173</v>
      </c>
      <c r="I328" s="113">
        <v>1752.52</v>
      </c>
      <c r="J328" s="111" t="s">
        <v>127</v>
      </c>
      <c r="K328" s="111" t="s">
        <v>1176</v>
      </c>
      <c r="L328" s="111" t="s">
        <v>129</v>
      </c>
      <c r="M328" s="111" t="s">
        <v>104</v>
      </c>
      <c r="N328" s="111" t="s">
        <v>829</v>
      </c>
      <c r="O328" s="111" t="s">
        <v>131</v>
      </c>
      <c r="P328" s="111" t="s">
        <v>830</v>
      </c>
      <c r="Q328" s="110" t="s">
        <v>133</v>
      </c>
      <c r="R328" s="110" t="s">
        <v>831</v>
      </c>
      <c r="S328" s="111" t="s">
        <v>832</v>
      </c>
      <c r="T328" s="111" t="s">
        <v>136</v>
      </c>
      <c r="U328" s="111" t="s">
        <v>129</v>
      </c>
      <c r="V328" s="118">
        <f t="shared" si="14"/>
        <v>3.6883645528878531E-2</v>
      </c>
      <c r="W328" s="114" t="str">
        <f>IFERROR(I328-AVERAGEIFS(I$6:I327,J$6:J327,"ICIS / Platts",B$6:B327,B328),"")</f>
        <v/>
      </c>
      <c r="X328" s="110" t="s">
        <v>137</v>
      </c>
      <c r="Y328" s="117" t="str">
        <f t="shared" si="13"/>
        <v>OK</v>
      </c>
      <c r="Z328" s="111" t="s">
        <v>116</v>
      </c>
      <c r="AA328" s="111" t="s">
        <v>115</v>
      </c>
      <c r="AB328" s="111" t="s">
        <v>116</v>
      </c>
      <c r="AC328" s="111" t="s">
        <v>116</v>
      </c>
      <c r="AD328" s="111"/>
    </row>
    <row r="329" spans="2:30" ht="24.75" customHeight="1" x14ac:dyDescent="0.25">
      <c r="B329" s="115">
        <v>45490</v>
      </c>
      <c r="C329" s="116" t="s">
        <v>126</v>
      </c>
      <c r="D329" s="116">
        <v>29</v>
      </c>
      <c r="E329" s="110" t="str">
        <f t="shared" si="15"/>
        <v>20240717-324</v>
      </c>
      <c r="F329" s="111" t="s">
        <v>98</v>
      </c>
      <c r="G329" s="111" t="s">
        <v>99</v>
      </c>
      <c r="H329" s="112" t="s">
        <v>1173</v>
      </c>
      <c r="I329" s="113">
        <v>1703.52</v>
      </c>
      <c r="J329" s="111" t="s">
        <v>139</v>
      </c>
      <c r="K329" s="111" t="s">
        <v>949</v>
      </c>
      <c r="L329" s="111" t="s">
        <v>103</v>
      </c>
      <c r="M329" s="111" t="s">
        <v>104</v>
      </c>
      <c r="N329" s="111" t="s">
        <v>824</v>
      </c>
      <c r="O329" s="111" t="s">
        <v>106</v>
      </c>
      <c r="P329" s="111" t="s">
        <v>141</v>
      </c>
      <c r="Q329" s="110" t="s">
        <v>133</v>
      </c>
      <c r="R329" s="110" t="s">
        <v>142</v>
      </c>
      <c r="S329" s="111" t="s">
        <v>825</v>
      </c>
      <c r="T329" s="111" t="s">
        <v>111</v>
      </c>
      <c r="U329" s="111" t="s">
        <v>103</v>
      </c>
      <c r="V329" s="118">
        <f t="shared" si="14"/>
        <v>-1.4594360086767906E-2</v>
      </c>
      <c r="W329" s="114" t="str">
        <f>IFERROR(I329-AVERAGEIFS(I$6:I328,J$6:J328,"ICIS / Platts",B$6:B328,B329),"")</f>
        <v/>
      </c>
      <c r="X329" s="110" t="s">
        <v>125</v>
      </c>
      <c r="Y329" s="117" t="str">
        <f t="shared" si="13"/>
        <v>OK</v>
      </c>
      <c r="Z329" s="111" t="s">
        <v>116</v>
      </c>
      <c r="AA329" s="111" t="s">
        <v>115</v>
      </c>
      <c r="AB329" s="111" t="s">
        <v>116</v>
      </c>
      <c r="AC329" s="111" t="s">
        <v>116</v>
      </c>
      <c r="AD329" s="111"/>
    </row>
    <row r="330" spans="2:30" ht="24.75" customHeight="1" x14ac:dyDescent="0.25">
      <c r="B330" s="108">
        <v>45490</v>
      </c>
      <c r="C330" s="109" t="s">
        <v>126</v>
      </c>
      <c r="D330" s="109">
        <v>29</v>
      </c>
      <c r="E330" s="110" t="str">
        <f t="shared" si="15"/>
        <v>20240717-325</v>
      </c>
      <c r="F330" s="111" t="s">
        <v>98</v>
      </c>
      <c r="G330" s="111" t="s">
        <v>99</v>
      </c>
      <c r="H330" s="112" t="s">
        <v>1177</v>
      </c>
      <c r="I330" s="113">
        <v>1725</v>
      </c>
      <c r="J330" s="111" t="s">
        <v>101</v>
      </c>
      <c r="K330" s="111" t="s">
        <v>1178</v>
      </c>
      <c r="L330" s="111" t="s">
        <v>103</v>
      </c>
      <c r="M330" s="111" t="s">
        <v>104</v>
      </c>
      <c r="N330" s="111" t="s">
        <v>824</v>
      </c>
      <c r="O330" s="111" t="s">
        <v>106</v>
      </c>
      <c r="P330" s="111" t="s">
        <v>107</v>
      </c>
      <c r="Q330" s="110" t="s">
        <v>108</v>
      </c>
      <c r="R330" s="110" t="s">
        <v>109</v>
      </c>
      <c r="S330" s="111" t="s">
        <v>825</v>
      </c>
      <c r="T330" s="111" t="s">
        <v>111</v>
      </c>
      <c r="U330" s="111" t="s">
        <v>103</v>
      </c>
      <c r="V330" s="118">
        <f t="shared" si="14"/>
        <v>7.5934579439252336E-3</v>
      </c>
      <c r="W330" s="114" t="str">
        <f>IFERROR(I330-AVERAGEIFS(I$6:I329,J$6:J329,"ICIS / Platts",B$6:B329,B330),"")</f>
        <v/>
      </c>
      <c r="X330" s="110" t="s">
        <v>113</v>
      </c>
      <c r="Y330" s="117" t="str">
        <f t="shared" si="13"/>
        <v>OK</v>
      </c>
      <c r="Z330" s="111" t="s">
        <v>116</v>
      </c>
      <c r="AA330" s="111" t="s">
        <v>115</v>
      </c>
      <c r="AB330" s="111" t="s">
        <v>116</v>
      </c>
      <c r="AC330" s="111" t="s">
        <v>116</v>
      </c>
      <c r="AD330" s="111"/>
    </row>
    <row r="331" spans="2:30" ht="24.75" customHeight="1" x14ac:dyDescent="0.25">
      <c r="B331" s="115">
        <v>45490</v>
      </c>
      <c r="C331" s="116" t="s">
        <v>126</v>
      </c>
      <c r="D331" s="116">
        <v>29</v>
      </c>
      <c r="E331" s="110" t="str">
        <f t="shared" si="15"/>
        <v>20240717-326</v>
      </c>
      <c r="F331" s="111" t="s">
        <v>98</v>
      </c>
      <c r="G331" s="111" t="s">
        <v>99</v>
      </c>
      <c r="H331" s="112" t="s">
        <v>1177</v>
      </c>
      <c r="I331" s="113">
        <v>1737.5</v>
      </c>
      <c r="J331" s="111" t="s">
        <v>118</v>
      </c>
      <c r="K331" s="111" t="s">
        <v>1179</v>
      </c>
      <c r="L331" s="111" t="s">
        <v>103</v>
      </c>
      <c r="M331" s="111" t="s">
        <v>104</v>
      </c>
      <c r="N331" s="111" t="s">
        <v>827</v>
      </c>
      <c r="O331" s="111" t="s">
        <v>121</v>
      </c>
      <c r="P331" s="111" t="s">
        <v>132</v>
      </c>
      <c r="Q331" s="110" t="s">
        <v>123</v>
      </c>
      <c r="R331" s="110" t="s">
        <v>134</v>
      </c>
      <c r="S331" s="111" t="s">
        <v>825</v>
      </c>
      <c r="T331" s="111" t="s">
        <v>111</v>
      </c>
      <c r="U331" s="111" t="s">
        <v>103</v>
      </c>
      <c r="V331" s="118">
        <f t="shared" si="14"/>
        <v>1.1173834603969066E-2</v>
      </c>
      <c r="W331" s="114">
        <f>IFERROR(I331-AVERAGEIFS(I$6:I330,J$6:J330,"ICIS / Platts",B$6:B330,B331),"")</f>
        <v>12.5</v>
      </c>
      <c r="X331" s="110" t="s">
        <v>125</v>
      </c>
      <c r="Y331" s="117" t="str">
        <f t="shared" si="13"/>
        <v>OK</v>
      </c>
      <c r="Z331" s="111" t="s">
        <v>116</v>
      </c>
      <c r="AA331" s="111" t="s">
        <v>115</v>
      </c>
      <c r="AB331" s="111" t="s">
        <v>116</v>
      </c>
      <c r="AC331" s="111" t="s">
        <v>116</v>
      </c>
      <c r="AD331" s="111"/>
    </row>
    <row r="332" spans="2:30" ht="24.75" customHeight="1" x14ac:dyDescent="0.25">
      <c r="B332" s="108">
        <v>45495</v>
      </c>
      <c r="C332" s="109" t="s">
        <v>97</v>
      </c>
      <c r="D332" s="109">
        <v>30</v>
      </c>
      <c r="E332" s="110" t="str">
        <f t="shared" si="15"/>
        <v>20240722-327</v>
      </c>
      <c r="F332" s="111" t="s">
        <v>98</v>
      </c>
      <c r="G332" s="111" t="s">
        <v>99</v>
      </c>
      <c r="H332" s="112" t="s">
        <v>1177</v>
      </c>
      <c r="I332" s="113">
        <v>1720.61</v>
      </c>
      <c r="J332" s="111" t="s">
        <v>127</v>
      </c>
      <c r="K332" s="111" t="s">
        <v>1180</v>
      </c>
      <c r="L332" s="111" t="s">
        <v>129</v>
      </c>
      <c r="M332" s="111" t="s">
        <v>104</v>
      </c>
      <c r="N332" s="111" t="s">
        <v>829</v>
      </c>
      <c r="O332" s="111" t="s">
        <v>131</v>
      </c>
      <c r="P332" s="111" t="s">
        <v>830</v>
      </c>
      <c r="Q332" s="110" t="s">
        <v>133</v>
      </c>
      <c r="R332" s="110" t="s">
        <v>831</v>
      </c>
      <c r="S332" s="111" t="s">
        <v>832</v>
      </c>
      <c r="T332" s="111" t="s">
        <v>136</v>
      </c>
      <c r="U332" s="111" t="s">
        <v>129</v>
      </c>
      <c r="V332" s="118">
        <f t="shared" si="14"/>
        <v>-1.8208066099103054E-2</v>
      </c>
      <c r="W332" s="114" t="str">
        <f>IFERROR(I332-AVERAGEIFS(I$6:I331,J$6:J331,"ICIS / Platts",B$6:B331,B332),"")</f>
        <v/>
      </c>
      <c r="X332" s="110" t="s">
        <v>137</v>
      </c>
      <c r="Y332" s="117" t="str">
        <f t="shared" si="13"/>
        <v>OK</v>
      </c>
      <c r="Z332" s="111" t="s">
        <v>116</v>
      </c>
      <c r="AA332" s="111" t="s">
        <v>115</v>
      </c>
      <c r="AB332" s="111" t="s">
        <v>116</v>
      </c>
      <c r="AC332" s="111" t="s">
        <v>116</v>
      </c>
      <c r="AD332" s="111"/>
    </row>
    <row r="333" spans="2:30" ht="24.75" customHeight="1" x14ac:dyDescent="0.25">
      <c r="B333" s="115">
        <v>45497</v>
      </c>
      <c r="C333" s="116" t="s">
        <v>126</v>
      </c>
      <c r="D333" s="116">
        <v>30</v>
      </c>
      <c r="E333" s="110" t="str">
        <f t="shared" si="15"/>
        <v>20240724-328</v>
      </c>
      <c r="F333" s="111" t="s">
        <v>98</v>
      </c>
      <c r="G333" s="111" t="s">
        <v>99</v>
      </c>
      <c r="H333" s="112" t="s">
        <v>1177</v>
      </c>
      <c r="I333" s="113">
        <v>1746.51</v>
      </c>
      <c r="J333" s="111" t="s">
        <v>139</v>
      </c>
      <c r="K333" s="111" t="s">
        <v>1181</v>
      </c>
      <c r="L333" s="111" t="s">
        <v>103</v>
      </c>
      <c r="M333" s="111" t="s">
        <v>104</v>
      </c>
      <c r="N333" s="111" t="s">
        <v>824</v>
      </c>
      <c r="O333" s="111" t="s">
        <v>106</v>
      </c>
      <c r="P333" s="111" t="s">
        <v>141</v>
      </c>
      <c r="Q333" s="110" t="s">
        <v>133</v>
      </c>
      <c r="R333" s="110" t="s">
        <v>142</v>
      </c>
      <c r="S333" s="111" t="s">
        <v>825</v>
      </c>
      <c r="T333" s="111" t="s">
        <v>111</v>
      </c>
      <c r="U333" s="111" t="s">
        <v>103</v>
      </c>
      <c r="V333" s="118">
        <f t="shared" si="14"/>
        <v>2.5235981966751204E-2</v>
      </c>
      <c r="W333" s="114" t="str">
        <f>IFERROR(I333-AVERAGEIFS(I$6:I332,J$6:J332,"ICIS / Platts",B$6:B332,B333),"")</f>
        <v/>
      </c>
      <c r="X333" s="110" t="s">
        <v>125</v>
      </c>
      <c r="Y333" s="117" t="str">
        <f t="shared" si="13"/>
        <v>OK</v>
      </c>
      <c r="Z333" s="111" t="s">
        <v>116</v>
      </c>
      <c r="AA333" s="111" t="s">
        <v>115</v>
      </c>
      <c r="AB333" s="111" t="s">
        <v>116</v>
      </c>
      <c r="AC333" s="111" t="s">
        <v>116</v>
      </c>
      <c r="AD333" s="111"/>
    </row>
    <row r="334" spans="2:30" ht="24.75" customHeight="1" x14ac:dyDescent="0.25">
      <c r="B334" s="108">
        <v>45497</v>
      </c>
      <c r="C334" s="109" t="s">
        <v>126</v>
      </c>
      <c r="D334" s="109">
        <v>30</v>
      </c>
      <c r="E334" s="110" t="str">
        <f t="shared" si="15"/>
        <v>20240724-329</v>
      </c>
      <c r="F334" s="111" t="s">
        <v>98</v>
      </c>
      <c r="G334" s="111" t="s">
        <v>99</v>
      </c>
      <c r="H334" s="112" t="s">
        <v>1182</v>
      </c>
      <c r="I334" s="113">
        <v>1738</v>
      </c>
      <c r="J334" s="111" t="s">
        <v>101</v>
      </c>
      <c r="K334" s="111" t="s">
        <v>1183</v>
      </c>
      <c r="L334" s="111" t="s">
        <v>103</v>
      </c>
      <c r="M334" s="111" t="s">
        <v>104</v>
      </c>
      <c r="N334" s="111" t="s">
        <v>824</v>
      </c>
      <c r="O334" s="111" t="s">
        <v>106</v>
      </c>
      <c r="P334" s="111" t="s">
        <v>107</v>
      </c>
      <c r="Q334" s="110" t="s">
        <v>108</v>
      </c>
      <c r="R334" s="110" t="s">
        <v>109</v>
      </c>
      <c r="S334" s="111" t="s">
        <v>825</v>
      </c>
      <c r="T334" s="111" t="s">
        <v>111</v>
      </c>
      <c r="U334" s="111" t="s">
        <v>103</v>
      </c>
      <c r="V334" s="118">
        <f t="shared" si="14"/>
        <v>7.5362318840579709E-3</v>
      </c>
      <c r="W334" s="114" t="str">
        <f>IFERROR(I334-AVERAGEIFS(I$6:I333,J$6:J333,"ICIS / Platts",B$6:B333,B334),"")</f>
        <v/>
      </c>
      <c r="X334" s="110" t="s">
        <v>113</v>
      </c>
      <c r="Y334" s="117" t="str">
        <f t="shared" si="13"/>
        <v>OK</v>
      </c>
      <c r="Z334" s="111" t="s">
        <v>116</v>
      </c>
      <c r="AA334" s="111" t="s">
        <v>115</v>
      </c>
      <c r="AB334" s="111" t="s">
        <v>116</v>
      </c>
      <c r="AC334" s="111" t="s">
        <v>116</v>
      </c>
      <c r="AD334" s="111"/>
    </row>
    <row r="335" spans="2:30" ht="24.75" customHeight="1" x14ac:dyDescent="0.25">
      <c r="B335" s="115">
        <v>45497</v>
      </c>
      <c r="C335" s="116" t="s">
        <v>126</v>
      </c>
      <c r="D335" s="116">
        <v>30</v>
      </c>
      <c r="E335" s="110" t="str">
        <f t="shared" si="15"/>
        <v>20240724-330</v>
      </c>
      <c r="F335" s="111" t="s">
        <v>98</v>
      </c>
      <c r="G335" s="111" t="s">
        <v>99</v>
      </c>
      <c r="H335" s="112" t="s">
        <v>1182</v>
      </c>
      <c r="I335" s="113">
        <v>1785.31</v>
      </c>
      <c r="J335" s="111" t="s">
        <v>118</v>
      </c>
      <c r="K335" s="111" t="s">
        <v>1184</v>
      </c>
      <c r="L335" s="111" t="s">
        <v>103</v>
      </c>
      <c r="M335" s="111" t="s">
        <v>104</v>
      </c>
      <c r="N335" s="111" t="s">
        <v>827</v>
      </c>
      <c r="O335" s="111" t="s">
        <v>121</v>
      </c>
      <c r="P335" s="111" t="s">
        <v>132</v>
      </c>
      <c r="Q335" s="110" t="s">
        <v>123</v>
      </c>
      <c r="R335" s="110" t="s">
        <v>134</v>
      </c>
      <c r="S335" s="111" t="s">
        <v>825</v>
      </c>
      <c r="T335" s="111" t="s">
        <v>111</v>
      </c>
      <c r="U335" s="111" t="s">
        <v>103</v>
      </c>
      <c r="V335" s="118">
        <f t="shared" si="14"/>
        <v>2.7516546762589897E-2</v>
      </c>
      <c r="W335" s="114">
        <f>IFERROR(I335-AVERAGEIFS(I$6:I334,J$6:J334,"ICIS / Platts",B$6:B334,B335),"")</f>
        <v>47.309999999999945</v>
      </c>
      <c r="X335" s="110" t="s">
        <v>125</v>
      </c>
      <c r="Y335" s="117" t="str">
        <f t="shared" si="13"/>
        <v>OK</v>
      </c>
      <c r="Z335" s="111" t="s">
        <v>116</v>
      </c>
      <c r="AA335" s="111" t="s">
        <v>115</v>
      </c>
      <c r="AB335" s="111" t="s">
        <v>116</v>
      </c>
      <c r="AC335" s="111" t="s">
        <v>116</v>
      </c>
      <c r="AD335" s="111"/>
    </row>
    <row r="336" spans="2:30" ht="24.75" customHeight="1" x14ac:dyDescent="0.25">
      <c r="B336" s="108">
        <v>45502</v>
      </c>
      <c r="C336" s="109" t="s">
        <v>97</v>
      </c>
      <c r="D336" s="109">
        <v>31</v>
      </c>
      <c r="E336" s="110" t="str">
        <f t="shared" si="15"/>
        <v>20240729-331</v>
      </c>
      <c r="F336" s="111" t="s">
        <v>98</v>
      </c>
      <c r="G336" s="111" t="s">
        <v>99</v>
      </c>
      <c r="H336" s="112" t="s">
        <v>1182</v>
      </c>
      <c r="I336" s="113">
        <v>1728.36</v>
      </c>
      <c r="J336" s="111" t="s">
        <v>127</v>
      </c>
      <c r="K336" s="111" t="s">
        <v>1185</v>
      </c>
      <c r="L336" s="111" t="s">
        <v>129</v>
      </c>
      <c r="M336" s="111" t="s">
        <v>104</v>
      </c>
      <c r="N336" s="111" t="s">
        <v>829</v>
      </c>
      <c r="O336" s="111" t="s">
        <v>131</v>
      </c>
      <c r="P336" s="111" t="s">
        <v>830</v>
      </c>
      <c r="Q336" s="110" t="s">
        <v>133</v>
      </c>
      <c r="R336" s="110" t="s">
        <v>831</v>
      </c>
      <c r="S336" s="111" t="s">
        <v>832</v>
      </c>
      <c r="T336" s="111" t="s">
        <v>136</v>
      </c>
      <c r="U336" s="111" t="s">
        <v>129</v>
      </c>
      <c r="V336" s="118">
        <f t="shared" si="14"/>
        <v>4.5042165278593059E-3</v>
      </c>
      <c r="W336" s="114" t="str">
        <f>IFERROR(I336-AVERAGEIFS(I$6:I335,J$6:J335,"ICIS / Platts",B$6:B335,B336),"")</f>
        <v/>
      </c>
      <c r="X336" s="110" t="s">
        <v>137</v>
      </c>
      <c r="Y336" s="117" t="str">
        <f t="shared" si="13"/>
        <v>OK</v>
      </c>
      <c r="Z336" s="111" t="s">
        <v>116</v>
      </c>
      <c r="AA336" s="111" t="s">
        <v>115</v>
      </c>
      <c r="AB336" s="111" t="s">
        <v>116</v>
      </c>
      <c r="AC336" s="111" t="s">
        <v>116</v>
      </c>
      <c r="AD336" s="111"/>
    </row>
    <row r="337" spans="2:30" ht="24.75" customHeight="1" x14ac:dyDescent="0.25">
      <c r="B337" s="115">
        <v>45504</v>
      </c>
      <c r="C337" s="116" t="s">
        <v>126</v>
      </c>
      <c r="D337" s="116">
        <v>31</v>
      </c>
      <c r="E337" s="110" t="str">
        <f t="shared" si="15"/>
        <v>20240731-332</v>
      </c>
      <c r="F337" s="111" t="s">
        <v>98</v>
      </c>
      <c r="G337" s="111" t="s">
        <v>99</v>
      </c>
      <c r="H337" s="112" t="s">
        <v>1182</v>
      </c>
      <c r="I337" s="113">
        <v>1749.99</v>
      </c>
      <c r="J337" s="111" t="s">
        <v>139</v>
      </c>
      <c r="K337" s="111" t="s">
        <v>1186</v>
      </c>
      <c r="L337" s="111" t="s">
        <v>103</v>
      </c>
      <c r="M337" s="111" t="s">
        <v>104</v>
      </c>
      <c r="N337" s="111" t="s">
        <v>824</v>
      </c>
      <c r="O337" s="111" t="s">
        <v>106</v>
      </c>
      <c r="P337" s="111" t="s">
        <v>141</v>
      </c>
      <c r="Q337" s="110" t="s">
        <v>133</v>
      </c>
      <c r="R337" s="110" t="s">
        <v>142</v>
      </c>
      <c r="S337" s="111" t="s">
        <v>825</v>
      </c>
      <c r="T337" s="111" t="s">
        <v>111</v>
      </c>
      <c r="U337" s="111" t="s">
        <v>103</v>
      </c>
      <c r="V337" s="118">
        <f t="shared" si="14"/>
        <v>1.9925451328649812E-3</v>
      </c>
      <c r="W337" s="114" t="str">
        <f>IFERROR(I337-AVERAGEIFS(I$6:I336,J$6:J336,"ICIS / Platts",B$6:B336,B337),"")</f>
        <v/>
      </c>
      <c r="X337" s="110" t="s">
        <v>125</v>
      </c>
      <c r="Y337" s="117" t="str">
        <f t="shared" si="13"/>
        <v>OK</v>
      </c>
      <c r="Z337" s="111" t="s">
        <v>116</v>
      </c>
      <c r="AA337" s="111" t="s">
        <v>115</v>
      </c>
      <c r="AB337" s="111" t="s">
        <v>116</v>
      </c>
      <c r="AC337" s="111" t="s">
        <v>116</v>
      </c>
      <c r="AD337" s="111"/>
    </row>
    <row r="338" spans="2:30" ht="24.75" customHeight="1" x14ac:dyDescent="0.25">
      <c r="B338" s="108">
        <v>45504</v>
      </c>
      <c r="C338" s="109" t="s">
        <v>126</v>
      </c>
      <c r="D338" s="109">
        <v>31</v>
      </c>
      <c r="E338" s="110" t="str">
        <f t="shared" si="15"/>
        <v>20240731-333</v>
      </c>
      <c r="F338" s="111" t="s">
        <v>98</v>
      </c>
      <c r="G338" s="111" t="s">
        <v>99</v>
      </c>
      <c r="H338" s="112" t="s">
        <v>1187</v>
      </c>
      <c r="I338" s="113">
        <v>1748</v>
      </c>
      <c r="J338" s="111" t="s">
        <v>101</v>
      </c>
      <c r="K338" s="111" t="s">
        <v>1188</v>
      </c>
      <c r="L338" s="111" t="s">
        <v>103</v>
      </c>
      <c r="M338" s="111" t="s">
        <v>104</v>
      </c>
      <c r="N338" s="111" t="s">
        <v>824</v>
      </c>
      <c r="O338" s="111" t="s">
        <v>106</v>
      </c>
      <c r="P338" s="111" t="s">
        <v>107</v>
      </c>
      <c r="Q338" s="110" t="s">
        <v>108</v>
      </c>
      <c r="R338" s="110" t="s">
        <v>109</v>
      </c>
      <c r="S338" s="111" t="s">
        <v>825</v>
      </c>
      <c r="T338" s="111" t="s">
        <v>111</v>
      </c>
      <c r="U338" s="111" t="s">
        <v>103</v>
      </c>
      <c r="V338" s="118">
        <f t="shared" si="14"/>
        <v>5.7537399309551211E-3</v>
      </c>
      <c r="W338" s="114" t="str">
        <f>IFERROR(I338-AVERAGEIFS(I$6:I337,J$6:J337,"ICIS / Platts",B$6:B337,B338),"")</f>
        <v/>
      </c>
      <c r="X338" s="110" t="s">
        <v>113</v>
      </c>
      <c r="Y338" s="117" t="str">
        <f t="shared" si="13"/>
        <v>OK</v>
      </c>
      <c r="Z338" s="111" t="s">
        <v>116</v>
      </c>
      <c r="AA338" s="111" t="s">
        <v>115</v>
      </c>
      <c r="AB338" s="111" t="s">
        <v>116</v>
      </c>
      <c r="AC338" s="111" t="s">
        <v>116</v>
      </c>
      <c r="AD338" s="111"/>
    </row>
    <row r="339" spans="2:30" ht="24.75" customHeight="1" x14ac:dyDescent="0.25">
      <c r="B339" s="115">
        <v>45504</v>
      </c>
      <c r="C339" s="116" t="s">
        <v>126</v>
      </c>
      <c r="D339" s="116">
        <v>31</v>
      </c>
      <c r="E339" s="110" t="str">
        <f t="shared" si="15"/>
        <v>20240731-334</v>
      </c>
      <c r="F339" s="111" t="s">
        <v>98</v>
      </c>
      <c r="G339" s="111" t="s">
        <v>99</v>
      </c>
      <c r="H339" s="112" t="s">
        <v>1187</v>
      </c>
      <c r="I339" s="113">
        <v>1808.95</v>
      </c>
      <c r="J339" s="111" t="s">
        <v>118</v>
      </c>
      <c r="K339" s="111" t="s">
        <v>1189</v>
      </c>
      <c r="L339" s="111" t="s">
        <v>103</v>
      </c>
      <c r="M339" s="111" t="s">
        <v>104</v>
      </c>
      <c r="N339" s="111" t="s">
        <v>827</v>
      </c>
      <c r="O339" s="111" t="s">
        <v>121</v>
      </c>
      <c r="P339" s="111" t="s">
        <v>132</v>
      </c>
      <c r="Q339" s="110" t="s">
        <v>123</v>
      </c>
      <c r="R339" s="110" t="s">
        <v>134</v>
      </c>
      <c r="S339" s="111" t="s">
        <v>825</v>
      </c>
      <c r="T339" s="111" t="s">
        <v>111</v>
      </c>
      <c r="U339" s="111" t="s">
        <v>103</v>
      </c>
      <c r="V339" s="118">
        <f t="shared" si="14"/>
        <v>1.3241397852473857E-2</v>
      </c>
      <c r="W339" s="114">
        <f>IFERROR(I339-AVERAGEIFS(I$6:I338,J$6:J338,"ICIS / Platts",B$6:B338,B339),"")</f>
        <v>60.950000000000045</v>
      </c>
      <c r="X339" s="110" t="s">
        <v>125</v>
      </c>
      <c r="Y339" s="117" t="str">
        <f t="shared" si="13"/>
        <v>OK</v>
      </c>
      <c r="Z339" s="111" t="s">
        <v>116</v>
      </c>
      <c r="AA339" s="111" t="s">
        <v>115</v>
      </c>
      <c r="AB339" s="111" t="s">
        <v>116</v>
      </c>
      <c r="AC339" s="111" t="s">
        <v>116</v>
      </c>
      <c r="AD339" s="111"/>
    </row>
    <row r="340" spans="2:30" ht="24.75" customHeight="1" x14ac:dyDescent="0.25">
      <c r="B340" s="108">
        <v>45509</v>
      </c>
      <c r="C340" s="109" t="s">
        <v>97</v>
      </c>
      <c r="D340" s="109">
        <v>32</v>
      </c>
      <c r="E340" s="110" t="str">
        <f t="shared" si="15"/>
        <v>20240805-335</v>
      </c>
      <c r="F340" s="111" t="s">
        <v>98</v>
      </c>
      <c r="G340" s="111" t="s">
        <v>99</v>
      </c>
      <c r="H340" s="112" t="s">
        <v>1187</v>
      </c>
      <c r="I340" s="113">
        <v>1786.46</v>
      </c>
      <c r="J340" s="111" t="s">
        <v>127</v>
      </c>
      <c r="K340" s="111" t="s">
        <v>1190</v>
      </c>
      <c r="L340" s="111" t="s">
        <v>129</v>
      </c>
      <c r="M340" s="111" t="s">
        <v>104</v>
      </c>
      <c r="N340" s="111" t="s">
        <v>829</v>
      </c>
      <c r="O340" s="111" t="s">
        <v>131</v>
      </c>
      <c r="P340" s="111" t="s">
        <v>830</v>
      </c>
      <c r="Q340" s="110" t="s">
        <v>133</v>
      </c>
      <c r="R340" s="110" t="s">
        <v>831</v>
      </c>
      <c r="S340" s="111" t="s">
        <v>832</v>
      </c>
      <c r="T340" s="111" t="s">
        <v>136</v>
      </c>
      <c r="U340" s="111" t="s">
        <v>129</v>
      </c>
      <c r="V340" s="118">
        <f t="shared" si="14"/>
        <v>3.3615681918118992E-2</v>
      </c>
      <c r="W340" s="114" t="str">
        <f>IFERROR(I340-AVERAGEIFS(I$6:I339,J$6:J339,"ICIS / Platts",B$6:B339,B340),"")</f>
        <v/>
      </c>
      <c r="X340" s="110" t="s">
        <v>137</v>
      </c>
      <c r="Y340" s="117" t="str">
        <f t="shared" si="13"/>
        <v>OK</v>
      </c>
      <c r="Z340" s="111" t="s">
        <v>116</v>
      </c>
      <c r="AA340" s="111" t="s">
        <v>115</v>
      </c>
      <c r="AB340" s="111" t="s">
        <v>116</v>
      </c>
      <c r="AC340" s="111" t="s">
        <v>116</v>
      </c>
      <c r="AD340" s="111"/>
    </row>
    <row r="341" spans="2:30" ht="24.75" customHeight="1" x14ac:dyDescent="0.25">
      <c r="B341" s="115">
        <v>45511</v>
      </c>
      <c r="C341" s="116" t="s">
        <v>126</v>
      </c>
      <c r="D341" s="116">
        <v>32</v>
      </c>
      <c r="E341" s="110" t="str">
        <f t="shared" si="15"/>
        <v>20240807-336</v>
      </c>
      <c r="F341" s="111" t="s">
        <v>98</v>
      </c>
      <c r="G341" s="111" t="s">
        <v>99</v>
      </c>
      <c r="H341" s="112" t="s">
        <v>1187</v>
      </c>
      <c r="I341" s="113">
        <v>1733.01</v>
      </c>
      <c r="J341" s="111" t="s">
        <v>139</v>
      </c>
      <c r="K341" s="111" t="s">
        <v>1191</v>
      </c>
      <c r="L341" s="111" t="s">
        <v>103</v>
      </c>
      <c r="M341" s="111" t="s">
        <v>104</v>
      </c>
      <c r="N341" s="111" t="s">
        <v>824</v>
      </c>
      <c r="O341" s="111" t="s">
        <v>106</v>
      </c>
      <c r="P341" s="111" t="s">
        <v>141</v>
      </c>
      <c r="Q341" s="110" t="s">
        <v>133</v>
      </c>
      <c r="R341" s="110" t="s">
        <v>142</v>
      </c>
      <c r="S341" s="111" t="s">
        <v>825</v>
      </c>
      <c r="T341" s="111" t="s">
        <v>111</v>
      </c>
      <c r="U341" s="111" t="s">
        <v>103</v>
      </c>
      <c r="V341" s="118">
        <f t="shared" si="14"/>
        <v>-9.7029125880719429E-3</v>
      </c>
      <c r="W341" s="114" t="str">
        <f>IFERROR(I341-AVERAGEIFS(I$6:I340,J$6:J340,"ICIS / Platts",B$6:B340,B341),"")</f>
        <v/>
      </c>
      <c r="X341" s="110" t="s">
        <v>125</v>
      </c>
      <c r="Y341" s="117" t="str">
        <f t="shared" ref="Y341:Y404" si="16">IFERROR(IF(ABS(I341-AVERAGE(I333:I340))/AVERAGE(I333:I340)&gt;0.1,"⚠ CHECK","OK"),"OK")</f>
        <v>OK</v>
      </c>
      <c r="Z341" s="111" t="s">
        <v>116</v>
      </c>
      <c r="AA341" s="111" t="s">
        <v>115</v>
      </c>
      <c r="AB341" s="111" t="s">
        <v>116</v>
      </c>
      <c r="AC341" s="111" t="s">
        <v>116</v>
      </c>
      <c r="AD341" s="111"/>
    </row>
    <row r="342" spans="2:30" ht="24.75" customHeight="1" x14ac:dyDescent="0.25">
      <c r="B342" s="108">
        <v>45511</v>
      </c>
      <c r="C342" s="109" t="s">
        <v>126</v>
      </c>
      <c r="D342" s="109">
        <v>32</v>
      </c>
      <c r="E342" s="110" t="str">
        <f t="shared" si="15"/>
        <v>20240807-337</v>
      </c>
      <c r="F342" s="111" t="s">
        <v>98</v>
      </c>
      <c r="G342" s="111" t="s">
        <v>99</v>
      </c>
      <c r="H342" s="112" t="s">
        <v>1192</v>
      </c>
      <c r="I342" s="113">
        <v>1752</v>
      </c>
      <c r="J342" s="111" t="s">
        <v>101</v>
      </c>
      <c r="K342" s="111" t="s">
        <v>1193</v>
      </c>
      <c r="L342" s="111" t="s">
        <v>103</v>
      </c>
      <c r="M342" s="111" t="s">
        <v>104</v>
      </c>
      <c r="N342" s="111" t="s">
        <v>824</v>
      </c>
      <c r="O342" s="111" t="s">
        <v>106</v>
      </c>
      <c r="P342" s="111" t="s">
        <v>107</v>
      </c>
      <c r="Q342" s="110" t="s">
        <v>108</v>
      </c>
      <c r="R342" s="110" t="s">
        <v>109</v>
      </c>
      <c r="S342" s="111" t="s">
        <v>825</v>
      </c>
      <c r="T342" s="111" t="s">
        <v>111</v>
      </c>
      <c r="U342" s="111" t="s">
        <v>103</v>
      </c>
      <c r="V342" s="118">
        <f t="shared" si="14"/>
        <v>2.2883295194508009E-3</v>
      </c>
      <c r="W342" s="114" t="str">
        <f>IFERROR(I342-AVERAGEIFS(I$6:I341,J$6:J341,"ICIS / Platts",B$6:B341,B342),"")</f>
        <v/>
      </c>
      <c r="X342" s="110" t="s">
        <v>113</v>
      </c>
      <c r="Y342" s="117" t="str">
        <f t="shared" si="16"/>
        <v>OK</v>
      </c>
      <c r="Z342" s="111" t="s">
        <v>116</v>
      </c>
      <c r="AA342" s="111" t="s">
        <v>115</v>
      </c>
      <c r="AB342" s="111" t="s">
        <v>116</v>
      </c>
      <c r="AC342" s="111" t="s">
        <v>116</v>
      </c>
      <c r="AD342" s="111"/>
    </row>
    <row r="343" spans="2:30" ht="24.75" customHeight="1" x14ac:dyDescent="0.25">
      <c r="B343" s="115">
        <v>45511</v>
      </c>
      <c r="C343" s="116" t="s">
        <v>126</v>
      </c>
      <c r="D343" s="116">
        <v>32</v>
      </c>
      <c r="E343" s="110" t="str">
        <f t="shared" si="15"/>
        <v>20240807-338</v>
      </c>
      <c r="F343" s="111" t="s">
        <v>98</v>
      </c>
      <c r="G343" s="111" t="s">
        <v>99</v>
      </c>
      <c r="H343" s="112" t="s">
        <v>1192</v>
      </c>
      <c r="I343" s="113">
        <v>1737.91</v>
      </c>
      <c r="J343" s="111" t="s">
        <v>118</v>
      </c>
      <c r="K343" s="111" t="s">
        <v>1194</v>
      </c>
      <c r="L343" s="111" t="s">
        <v>103</v>
      </c>
      <c r="M343" s="111" t="s">
        <v>104</v>
      </c>
      <c r="N343" s="111" t="s">
        <v>827</v>
      </c>
      <c r="O343" s="111" t="s">
        <v>121</v>
      </c>
      <c r="P343" s="111" t="s">
        <v>132</v>
      </c>
      <c r="Q343" s="110" t="s">
        <v>123</v>
      </c>
      <c r="R343" s="110" t="s">
        <v>134</v>
      </c>
      <c r="S343" s="111" t="s">
        <v>825</v>
      </c>
      <c r="T343" s="111" t="s">
        <v>111</v>
      </c>
      <c r="U343" s="111" t="s">
        <v>103</v>
      </c>
      <c r="V343" s="118">
        <f t="shared" si="14"/>
        <v>-3.9271400536222648E-2</v>
      </c>
      <c r="W343" s="114">
        <f>IFERROR(I343-AVERAGEIFS(I$6:I342,J$6:J342,"ICIS / Platts",B$6:B342,B343),"")</f>
        <v>-14.089999999999918</v>
      </c>
      <c r="X343" s="110" t="s">
        <v>125</v>
      </c>
      <c r="Y343" s="117" t="str">
        <f t="shared" si="16"/>
        <v>OK</v>
      </c>
      <c r="Z343" s="111" t="s">
        <v>116</v>
      </c>
      <c r="AA343" s="111" t="s">
        <v>115</v>
      </c>
      <c r="AB343" s="111" t="s">
        <v>116</v>
      </c>
      <c r="AC343" s="111" t="s">
        <v>116</v>
      </c>
      <c r="AD343" s="111"/>
    </row>
    <row r="344" spans="2:30" ht="24.75" customHeight="1" x14ac:dyDescent="0.25">
      <c r="B344" s="108">
        <v>45516</v>
      </c>
      <c r="C344" s="109" t="s">
        <v>97</v>
      </c>
      <c r="D344" s="109">
        <v>33</v>
      </c>
      <c r="E344" s="110" t="str">
        <f t="shared" si="15"/>
        <v>20240812-339</v>
      </c>
      <c r="F344" s="111" t="s">
        <v>98</v>
      </c>
      <c r="G344" s="111" t="s">
        <v>99</v>
      </c>
      <c r="H344" s="112" t="s">
        <v>1192</v>
      </c>
      <c r="I344" s="113">
        <v>1757.96</v>
      </c>
      <c r="J344" s="111" t="s">
        <v>127</v>
      </c>
      <c r="K344" s="111" t="s">
        <v>1195</v>
      </c>
      <c r="L344" s="111" t="s">
        <v>129</v>
      </c>
      <c r="M344" s="111" t="s">
        <v>104</v>
      </c>
      <c r="N344" s="111" t="s">
        <v>829</v>
      </c>
      <c r="O344" s="111" t="s">
        <v>131</v>
      </c>
      <c r="P344" s="111" t="s">
        <v>830</v>
      </c>
      <c r="Q344" s="110" t="s">
        <v>133</v>
      </c>
      <c r="R344" s="110" t="s">
        <v>831</v>
      </c>
      <c r="S344" s="111" t="s">
        <v>832</v>
      </c>
      <c r="T344" s="111" t="s">
        <v>136</v>
      </c>
      <c r="U344" s="111" t="s">
        <v>129</v>
      </c>
      <c r="V344" s="118">
        <f t="shared" si="14"/>
        <v>-1.5953337886098765E-2</v>
      </c>
      <c r="W344" s="114" t="str">
        <f>IFERROR(I344-AVERAGEIFS(I$6:I343,J$6:J343,"ICIS / Platts",B$6:B343,B344),"")</f>
        <v/>
      </c>
      <c r="X344" s="110" t="s">
        <v>137</v>
      </c>
      <c r="Y344" s="117" t="str">
        <f t="shared" si="16"/>
        <v>OK</v>
      </c>
      <c r="Z344" s="111" t="s">
        <v>116</v>
      </c>
      <c r="AA344" s="111" t="s">
        <v>115</v>
      </c>
      <c r="AB344" s="111" t="s">
        <v>116</v>
      </c>
      <c r="AC344" s="111" t="s">
        <v>116</v>
      </c>
      <c r="AD344" s="111"/>
    </row>
    <row r="345" spans="2:30" ht="24.75" customHeight="1" x14ac:dyDescent="0.25">
      <c r="B345" s="115">
        <v>45518</v>
      </c>
      <c r="C345" s="116" t="s">
        <v>126</v>
      </c>
      <c r="D345" s="116">
        <v>33</v>
      </c>
      <c r="E345" s="110" t="str">
        <f t="shared" si="15"/>
        <v>20240814-340</v>
      </c>
      <c r="F345" s="111" t="s">
        <v>98</v>
      </c>
      <c r="G345" s="111" t="s">
        <v>99</v>
      </c>
      <c r="H345" s="112" t="s">
        <v>1192</v>
      </c>
      <c r="I345" s="113">
        <v>1735.57</v>
      </c>
      <c r="J345" s="111" t="s">
        <v>139</v>
      </c>
      <c r="K345" s="111" t="s">
        <v>1196</v>
      </c>
      <c r="L345" s="111" t="s">
        <v>103</v>
      </c>
      <c r="M345" s="111" t="s">
        <v>104</v>
      </c>
      <c r="N345" s="111" t="s">
        <v>824</v>
      </c>
      <c r="O345" s="111" t="s">
        <v>106</v>
      </c>
      <c r="P345" s="111" t="s">
        <v>141</v>
      </c>
      <c r="Q345" s="110" t="s">
        <v>133</v>
      </c>
      <c r="R345" s="110" t="s">
        <v>142</v>
      </c>
      <c r="S345" s="111" t="s">
        <v>825</v>
      </c>
      <c r="T345" s="111" t="s">
        <v>111</v>
      </c>
      <c r="U345" s="111" t="s">
        <v>103</v>
      </c>
      <c r="V345" s="118">
        <f t="shared" si="14"/>
        <v>1.4771986312831118E-3</v>
      </c>
      <c r="W345" s="114" t="str">
        <f>IFERROR(I345-AVERAGEIFS(I$6:I344,J$6:J344,"ICIS / Platts",B$6:B344,B345),"")</f>
        <v/>
      </c>
      <c r="X345" s="110" t="s">
        <v>125</v>
      </c>
      <c r="Y345" s="117" t="str">
        <f t="shared" si="16"/>
        <v>OK</v>
      </c>
      <c r="Z345" s="111" t="s">
        <v>116</v>
      </c>
      <c r="AA345" s="111" t="s">
        <v>115</v>
      </c>
      <c r="AB345" s="111" t="s">
        <v>116</v>
      </c>
      <c r="AC345" s="111" t="s">
        <v>116</v>
      </c>
      <c r="AD345" s="111"/>
    </row>
    <row r="346" spans="2:30" ht="24.75" customHeight="1" x14ac:dyDescent="0.25">
      <c r="B346" s="108">
        <v>45518</v>
      </c>
      <c r="C346" s="109" t="s">
        <v>126</v>
      </c>
      <c r="D346" s="109">
        <v>33</v>
      </c>
      <c r="E346" s="110" t="str">
        <f t="shared" si="15"/>
        <v>20240814-341</v>
      </c>
      <c r="F346" s="111" t="s">
        <v>98</v>
      </c>
      <c r="G346" s="111" t="s">
        <v>99</v>
      </c>
      <c r="H346" s="112" t="s">
        <v>1197</v>
      </c>
      <c r="I346" s="113">
        <v>1748</v>
      </c>
      <c r="J346" s="111" t="s">
        <v>101</v>
      </c>
      <c r="K346" s="111" t="s">
        <v>1198</v>
      </c>
      <c r="L346" s="111" t="s">
        <v>103</v>
      </c>
      <c r="M346" s="111" t="s">
        <v>104</v>
      </c>
      <c r="N346" s="111" t="s">
        <v>824</v>
      </c>
      <c r="O346" s="111" t="s">
        <v>106</v>
      </c>
      <c r="P346" s="111" t="s">
        <v>107</v>
      </c>
      <c r="Q346" s="110" t="s">
        <v>108</v>
      </c>
      <c r="R346" s="110" t="s">
        <v>109</v>
      </c>
      <c r="S346" s="111" t="s">
        <v>825</v>
      </c>
      <c r="T346" s="111" t="s">
        <v>111</v>
      </c>
      <c r="U346" s="111" t="s">
        <v>103</v>
      </c>
      <c r="V346" s="118">
        <f t="shared" si="14"/>
        <v>-2.2831050228310501E-3</v>
      </c>
      <c r="W346" s="114" t="str">
        <f>IFERROR(I346-AVERAGEIFS(I$6:I345,J$6:J345,"ICIS / Platts",B$6:B345,B346),"")</f>
        <v/>
      </c>
      <c r="X346" s="110" t="s">
        <v>113</v>
      </c>
      <c r="Y346" s="117" t="str">
        <f t="shared" si="16"/>
        <v>OK</v>
      </c>
      <c r="Z346" s="111" t="s">
        <v>116</v>
      </c>
      <c r="AA346" s="111" t="s">
        <v>115</v>
      </c>
      <c r="AB346" s="111" t="s">
        <v>116</v>
      </c>
      <c r="AC346" s="111" t="s">
        <v>116</v>
      </c>
      <c r="AD346" s="111"/>
    </row>
    <row r="347" spans="2:30" ht="24.75" customHeight="1" x14ac:dyDescent="0.25">
      <c r="B347" s="115">
        <v>45518</v>
      </c>
      <c r="C347" s="116" t="s">
        <v>126</v>
      </c>
      <c r="D347" s="116">
        <v>33</v>
      </c>
      <c r="E347" s="110" t="str">
        <f t="shared" si="15"/>
        <v>20240814-342</v>
      </c>
      <c r="F347" s="111" t="s">
        <v>98</v>
      </c>
      <c r="G347" s="111" t="s">
        <v>99</v>
      </c>
      <c r="H347" s="112" t="s">
        <v>1197</v>
      </c>
      <c r="I347" s="113">
        <v>1765.03</v>
      </c>
      <c r="J347" s="111" t="s">
        <v>118</v>
      </c>
      <c r="K347" s="111" t="s">
        <v>1199</v>
      </c>
      <c r="L347" s="111" t="s">
        <v>103</v>
      </c>
      <c r="M347" s="111" t="s">
        <v>104</v>
      </c>
      <c r="N347" s="111" t="s">
        <v>827</v>
      </c>
      <c r="O347" s="111" t="s">
        <v>121</v>
      </c>
      <c r="P347" s="111" t="s">
        <v>132</v>
      </c>
      <c r="Q347" s="110" t="s">
        <v>123</v>
      </c>
      <c r="R347" s="110" t="s">
        <v>134</v>
      </c>
      <c r="S347" s="111" t="s">
        <v>825</v>
      </c>
      <c r="T347" s="111" t="s">
        <v>111</v>
      </c>
      <c r="U347" s="111" t="s">
        <v>103</v>
      </c>
      <c r="V347" s="118">
        <f t="shared" si="14"/>
        <v>1.5604950774205735E-2</v>
      </c>
      <c r="W347" s="114">
        <f>IFERROR(I347-AVERAGEIFS(I$6:I346,J$6:J346,"ICIS / Platts",B$6:B346,B347),"")</f>
        <v>17.029999999999973</v>
      </c>
      <c r="X347" s="110" t="s">
        <v>125</v>
      </c>
      <c r="Y347" s="117" t="str">
        <f t="shared" si="16"/>
        <v>OK</v>
      </c>
      <c r="Z347" s="111" t="s">
        <v>116</v>
      </c>
      <c r="AA347" s="111" t="s">
        <v>115</v>
      </c>
      <c r="AB347" s="111" t="s">
        <v>116</v>
      </c>
      <c r="AC347" s="111" t="s">
        <v>116</v>
      </c>
      <c r="AD347" s="111"/>
    </row>
    <row r="348" spans="2:30" ht="24.75" customHeight="1" x14ac:dyDescent="0.25">
      <c r="B348" s="108">
        <v>45523</v>
      </c>
      <c r="C348" s="109" t="s">
        <v>97</v>
      </c>
      <c r="D348" s="109">
        <v>34</v>
      </c>
      <c r="E348" s="110" t="str">
        <f t="shared" si="15"/>
        <v>20240819-343</v>
      </c>
      <c r="F348" s="111" t="s">
        <v>98</v>
      </c>
      <c r="G348" s="111" t="s">
        <v>99</v>
      </c>
      <c r="H348" s="112" t="s">
        <v>1197</v>
      </c>
      <c r="I348" s="113">
        <v>1744.86</v>
      </c>
      <c r="J348" s="111" t="s">
        <v>127</v>
      </c>
      <c r="K348" s="111" t="s">
        <v>1200</v>
      </c>
      <c r="L348" s="111" t="s">
        <v>129</v>
      </c>
      <c r="M348" s="111" t="s">
        <v>104</v>
      </c>
      <c r="N348" s="111" t="s">
        <v>829</v>
      </c>
      <c r="O348" s="111" t="s">
        <v>131</v>
      </c>
      <c r="P348" s="111" t="s">
        <v>830</v>
      </c>
      <c r="Q348" s="110" t="s">
        <v>133</v>
      </c>
      <c r="R348" s="110" t="s">
        <v>831</v>
      </c>
      <c r="S348" s="111" t="s">
        <v>832</v>
      </c>
      <c r="T348" s="111" t="s">
        <v>136</v>
      </c>
      <c r="U348" s="111" t="s">
        <v>129</v>
      </c>
      <c r="V348" s="118">
        <f t="shared" si="14"/>
        <v>-7.4518191540195091E-3</v>
      </c>
      <c r="W348" s="114" t="str">
        <f>IFERROR(I348-AVERAGEIFS(I$6:I347,J$6:J347,"ICIS / Platts",B$6:B347,B348),"")</f>
        <v/>
      </c>
      <c r="X348" s="110" t="s">
        <v>137</v>
      </c>
      <c r="Y348" s="117" t="str">
        <f t="shared" si="16"/>
        <v>OK</v>
      </c>
      <c r="Z348" s="111" t="s">
        <v>116</v>
      </c>
      <c r="AA348" s="111" t="s">
        <v>115</v>
      </c>
      <c r="AB348" s="111" t="s">
        <v>116</v>
      </c>
      <c r="AC348" s="111" t="s">
        <v>116</v>
      </c>
      <c r="AD348" s="111"/>
    </row>
    <row r="349" spans="2:30" ht="24.75" customHeight="1" x14ac:dyDescent="0.25">
      <c r="B349" s="115">
        <v>45525</v>
      </c>
      <c r="C349" s="116" t="s">
        <v>126</v>
      </c>
      <c r="D349" s="116">
        <v>34</v>
      </c>
      <c r="E349" s="110" t="str">
        <f t="shared" si="15"/>
        <v>20240821-344</v>
      </c>
      <c r="F349" s="111" t="s">
        <v>98</v>
      </c>
      <c r="G349" s="111" t="s">
        <v>99</v>
      </c>
      <c r="H349" s="112" t="s">
        <v>1197</v>
      </c>
      <c r="I349" s="113">
        <v>1732.17</v>
      </c>
      <c r="J349" s="111" t="s">
        <v>139</v>
      </c>
      <c r="K349" s="111" t="s">
        <v>1201</v>
      </c>
      <c r="L349" s="111" t="s">
        <v>103</v>
      </c>
      <c r="M349" s="111" t="s">
        <v>104</v>
      </c>
      <c r="N349" s="111" t="s">
        <v>824</v>
      </c>
      <c r="O349" s="111" t="s">
        <v>106</v>
      </c>
      <c r="P349" s="111" t="s">
        <v>141</v>
      </c>
      <c r="Q349" s="110" t="s">
        <v>133</v>
      </c>
      <c r="R349" s="110" t="s">
        <v>142</v>
      </c>
      <c r="S349" s="111" t="s">
        <v>825</v>
      </c>
      <c r="T349" s="111" t="s">
        <v>111</v>
      </c>
      <c r="U349" s="111" t="s">
        <v>103</v>
      </c>
      <c r="V349" s="118">
        <f t="shared" si="14"/>
        <v>-1.9590105844188733E-3</v>
      </c>
      <c r="W349" s="114" t="str">
        <f>IFERROR(I349-AVERAGEIFS(I$6:I348,J$6:J348,"ICIS / Platts",B$6:B348,B349),"")</f>
        <v/>
      </c>
      <c r="X349" s="110" t="s">
        <v>125</v>
      </c>
      <c r="Y349" s="117" t="str">
        <f t="shared" si="16"/>
        <v>OK</v>
      </c>
      <c r="Z349" s="111" t="s">
        <v>116</v>
      </c>
      <c r="AA349" s="111" t="s">
        <v>115</v>
      </c>
      <c r="AB349" s="111" t="s">
        <v>116</v>
      </c>
      <c r="AC349" s="111" t="s">
        <v>116</v>
      </c>
      <c r="AD349" s="111"/>
    </row>
    <row r="350" spans="2:30" ht="24.75" customHeight="1" x14ac:dyDescent="0.25">
      <c r="B350" s="108">
        <v>45525</v>
      </c>
      <c r="C350" s="109" t="s">
        <v>126</v>
      </c>
      <c r="D350" s="109">
        <v>34</v>
      </c>
      <c r="E350" s="110" t="str">
        <f t="shared" si="15"/>
        <v>20240821-345</v>
      </c>
      <c r="F350" s="111" t="s">
        <v>98</v>
      </c>
      <c r="G350" s="111" t="s">
        <v>99</v>
      </c>
      <c r="H350" s="112" t="s">
        <v>1202</v>
      </c>
      <c r="I350" s="113">
        <v>1742</v>
      </c>
      <c r="J350" s="111" t="s">
        <v>101</v>
      </c>
      <c r="K350" s="111" t="s">
        <v>1203</v>
      </c>
      <c r="L350" s="111" t="s">
        <v>103</v>
      </c>
      <c r="M350" s="111" t="s">
        <v>104</v>
      </c>
      <c r="N350" s="111" t="s">
        <v>824</v>
      </c>
      <c r="O350" s="111" t="s">
        <v>106</v>
      </c>
      <c r="P350" s="111" t="s">
        <v>107</v>
      </c>
      <c r="Q350" s="110" t="s">
        <v>108</v>
      </c>
      <c r="R350" s="110" t="s">
        <v>109</v>
      </c>
      <c r="S350" s="111" t="s">
        <v>825</v>
      </c>
      <c r="T350" s="111" t="s">
        <v>111</v>
      </c>
      <c r="U350" s="111" t="s">
        <v>103</v>
      </c>
      <c r="V350" s="118">
        <f t="shared" si="14"/>
        <v>-3.4324942791762012E-3</v>
      </c>
      <c r="W350" s="114" t="str">
        <f>IFERROR(I350-AVERAGEIFS(I$6:I349,J$6:J349,"ICIS / Platts",B$6:B349,B350),"")</f>
        <v/>
      </c>
      <c r="X350" s="110" t="s">
        <v>113</v>
      </c>
      <c r="Y350" s="117" t="str">
        <f t="shared" si="16"/>
        <v>OK</v>
      </c>
      <c r="Z350" s="111" t="s">
        <v>116</v>
      </c>
      <c r="AA350" s="111" t="s">
        <v>115</v>
      </c>
      <c r="AB350" s="111" t="s">
        <v>116</v>
      </c>
      <c r="AC350" s="111" t="s">
        <v>116</v>
      </c>
      <c r="AD350" s="111"/>
    </row>
    <row r="351" spans="2:30" ht="24.75" customHeight="1" x14ac:dyDescent="0.25">
      <c r="B351" s="115">
        <v>45525</v>
      </c>
      <c r="C351" s="116" t="s">
        <v>126</v>
      </c>
      <c r="D351" s="116">
        <v>34</v>
      </c>
      <c r="E351" s="110" t="str">
        <f t="shared" si="15"/>
        <v>20240821-346</v>
      </c>
      <c r="F351" s="111" t="s">
        <v>98</v>
      </c>
      <c r="G351" s="111" t="s">
        <v>99</v>
      </c>
      <c r="H351" s="112" t="s">
        <v>1202</v>
      </c>
      <c r="I351" s="113">
        <v>1775.48</v>
      </c>
      <c r="J351" s="111" t="s">
        <v>118</v>
      </c>
      <c r="K351" s="111" t="s">
        <v>1204</v>
      </c>
      <c r="L351" s="111" t="s">
        <v>103</v>
      </c>
      <c r="M351" s="111" t="s">
        <v>104</v>
      </c>
      <c r="N351" s="111" t="s">
        <v>827</v>
      </c>
      <c r="O351" s="111" t="s">
        <v>121</v>
      </c>
      <c r="P351" s="111" t="s">
        <v>132</v>
      </c>
      <c r="Q351" s="110" t="s">
        <v>123</v>
      </c>
      <c r="R351" s="110" t="s">
        <v>134</v>
      </c>
      <c r="S351" s="111" t="s">
        <v>825</v>
      </c>
      <c r="T351" s="111" t="s">
        <v>111</v>
      </c>
      <c r="U351" s="111" t="s">
        <v>103</v>
      </c>
      <c r="V351" s="118">
        <f t="shared" ref="V351:V414" si="17">IFERROR((I351-I347)/I347,"")</f>
        <v>5.9205792536104465E-3</v>
      </c>
      <c r="W351" s="114">
        <f>IFERROR(I351-AVERAGEIFS(I$6:I350,J$6:J350,"ICIS / Platts",B$6:B350,B351),"")</f>
        <v>33.480000000000018</v>
      </c>
      <c r="X351" s="110" t="s">
        <v>125</v>
      </c>
      <c r="Y351" s="117" t="str">
        <f t="shared" si="16"/>
        <v>OK</v>
      </c>
      <c r="Z351" s="111" t="s">
        <v>116</v>
      </c>
      <c r="AA351" s="111" t="s">
        <v>115</v>
      </c>
      <c r="AB351" s="111" t="s">
        <v>116</v>
      </c>
      <c r="AC351" s="111" t="s">
        <v>116</v>
      </c>
      <c r="AD351" s="111"/>
    </row>
    <row r="352" spans="2:30" ht="24.75" customHeight="1" x14ac:dyDescent="0.25">
      <c r="B352" s="108">
        <v>45530</v>
      </c>
      <c r="C352" s="109" t="s">
        <v>97</v>
      </c>
      <c r="D352" s="109">
        <v>35</v>
      </c>
      <c r="E352" s="110" t="str">
        <f t="shared" si="15"/>
        <v>20240826-347</v>
      </c>
      <c r="F352" s="111" t="s">
        <v>98</v>
      </c>
      <c r="G352" s="111" t="s">
        <v>99</v>
      </c>
      <c r="H352" s="112" t="s">
        <v>1202</v>
      </c>
      <c r="I352" s="113">
        <v>1781.55</v>
      </c>
      <c r="J352" s="111" t="s">
        <v>127</v>
      </c>
      <c r="K352" s="111" t="s">
        <v>1205</v>
      </c>
      <c r="L352" s="111" t="s">
        <v>129</v>
      </c>
      <c r="M352" s="111" t="s">
        <v>104</v>
      </c>
      <c r="N352" s="111" t="s">
        <v>829</v>
      </c>
      <c r="O352" s="111" t="s">
        <v>131</v>
      </c>
      <c r="P352" s="111" t="s">
        <v>830</v>
      </c>
      <c r="Q352" s="110" t="s">
        <v>133</v>
      </c>
      <c r="R352" s="110" t="s">
        <v>831</v>
      </c>
      <c r="S352" s="111" t="s">
        <v>832</v>
      </c>
      <c r="T352" s="111" t="s">
        <v>136</v>
      </c>
      <c r="U352" s="111" t="s">
        <v>129</v>
      </c>
      <c r="V352" s="118">
        <f t="shared" si="17"/>
        <v>2.1027474983666344E-2</v>
      </c>
      <c r="W352" s="114" t="str">
        <f>IFERROR(I352-AVERAGEIFS(I$6:I351,J$6:J351,"ICIS / Platts",B$6:B351,B352),"")</f>
        <v/>
      </c>
      <c r="X352" s="110" t="s">
        <v>137</v>
      </c>
      <c r="Y352" s="117" t="str">
        <f t="shared" si="16"/>
        <v>OK</v>
      </c>
      <c r="Z352" s="111" t="s">
        <v>116</v>
      </c>
      <c r="AA352" s="111" t="s">
        <v>115</v>
      </c>
      <c r="AB352" s="111" t="s">
        <v>116</v>
      </c>
      <c r="AC352" s="111" t="s">
        <v>116</v>
      </c>
      <c r="AD352" s="111"/>
    </row>
    <row r="353" spans="2:30" ht="24.75" customHeight="1" x14ac:dyDescent="0.25">
      <c r="B353" s="115">
        <v>45532</v>
      </c>
      <c r="C353" s="116" t="s">
        <v>126</v>
      </c>
      <c r="D353" s="116">
        <v>35</v>
      </c>
      <c r="E353" s="110" t="str">
        <f t="shared" si="15"/>
        <v>20240828-348</v>
      </c>
      <c r="F353" s="111" t="s">
        <v>98</v>
      </c>
      <c r="G353" s="111" t="s">
        <v>99</v>
      </c>
      <c r="H353" s="112" t="s">
        <v>1202</v>
      </c>
      <c r="I353" s="113">
        <v>1727.29</v>
      </c>
      <c r="J353" s="111" t="s">
        <v>139</v>
      </c>
      <c r="K353" s="111" t="s">
        <v>1157</v>
      </c>
      <c r="L353" s="111" t="s">
        <v>103</v>
      </c>
      <c r="M353" s="111" t="s">
        <v>104</v>
      </c>
      <c r="N353" s="111" t="s">
        <v>824</v>
      </c>
      <c r="O353" s="111" t="s">
        <v>106</v>
      </c>
      <c r="P353" s="111" t="s">
        <v>141</v>
      </c>
      <c r="Q353" s="110" t="s">
        <v>133</v>
      </c>
      <c r="R353" s="110" t="s">
        <v>142</v>
      </c>
      <c r="S353" s="111" t="s">
        <v>825</v>
      </c>
      <c r="T353" s="111" t="s">
        <v>111</v>
      </c>
      <c r="U353" s="111" t="s">
        <v>103</v>
      </c>
      <c r="V353" s="118">
        <f t="shared" si="17"/>
        <v>-2.8172754406323333E-3</v>
      </c>
      <c r="W353" s="114" t="str">
        <f>IFERROR(I353-AVERAGEIFS(I$6:I352,J$6:J352,"ICIS / Platts",B$6:B352,B353),"")</f>
        <v/>
      </c>
      <c r="X353" s="110" t="s">
        <v>125</v>
      </c>
      <c r="Y353" s="117" t="str">
        <f t="shared" si="16"/>
        <v>OK</v>
      </c>
      <c r="Z353" s="111" t="s">
        <v>116</v>
      </c>
      <c r="AA353" s="111" t="s">
        <v>115</v>
      </c>
      <c r="AB353" s="111" t="s">
        <v>116</v>
      </c>
      <c r="AC353" s="111" t="s">
        <v>116</v>
      </c>
      <c r="AD353" s="111"/>
    </row>
    <row r="354" spans="2:30" ht="24.75" customHeight="1" x14ac:dyDescent="0.25">
      <c r="B354" s="108">
        <v>45532</v>
      </c>
      <c r="C354" s="109" t="s">
        <v>126</v>
      </c>
      <c r="D354" s="109">
        <v>35</v>
      </c>
      <c r="E354" s="110" t="str">
        <f t="shared" si="15"/>
        <v>20240828-349</v>
      </c>
      <c r="F354" s="111" t="s">
        <v>98</v>
      </c>
      <c r="G354" s="111" t="s">
        <v>99</v>
      </c>
      <c r="H354" s="112" t="s">
        <v>1206</v>
      </c>
      <c r="I354" s="113">
        <v>1738</v>
      </c>
      <c r="J354" s="111" t="s">
        <v>101</v>
      </c>
      <c r="K354" s="111" t="s">
        <v>1207</v>
      </c>
      <c r="L354" s="111" t="s">
        <v>103</v>
      </c>
      <c r="M354" s="111" t="s">
        <v>104</v>
      </c>
      <c r="N354" s="111" t="s">
        <v>824</v>
      </c>
      <c r="O354" s="111" t="s">
        <v>106</v>
      </c>
      <c r="P354" s="111" t="s">
        <v>107</v>
      </c>
      <c r="Q354" s="110" t="s">
        <v>108</v>
      </c>
      <c r="R354" s="110" t="s">
        <v>109</v>
      </c>
      <c r="S354" s="111" t="s">
        <v>825</v>
      </c>
      <c r="T354" s="111" t="s">
        <v>111</v>
      </c>
      <c r="U354" s="111" t="s">
        <v>103</v>
      </c>
      <c r="V354" s="118">
        <f t="shared" si="17"/>
        <v>-2.2962112514351321E-3</v>
      </c>
      <c r="W354" s="114" t="str">
        <f>IFERROR(I354-AVERAGEIFS(I$6:I353,J$6:J353,"ICIS / Platts",B$6:B353,B354),"")</f>
        <v/>
      </c>
      <c r="X354" s="110" t="s">
        <v>113</v>
      </c>
      <c r="Y354" s="117" t="str">
        <f t="shared" si="16"/>
        <v>OK</v>
      </c>
      <c r="Z354" s="111" t="s">
        <v>116</v>
      </c>
      <c r="AA354" s="111" t="s">
        <v>115</v>
      </c>
      <c r="AB354" s="111" t="s">
        <v>116</v>
      </c>
      <c r="AC354" s="111" t="s">
        <v>116</v>
      </c>
      <c r="AD354" s="111"/>
    </row>
    <row r="355" spans="2:30" ht="24.75" customHeight="1" x14ac:dyDescent="0.25">
      <c r="B355" s="115">
        <v>45532</v>
      </c>
      <c r="C355" s="116" t="s">
        <v>126</v>
      </c>
      <c r="D355" s="116">
        <v>35</v>
      </c>
      <c r="E355" s="110" t="str">
        <f t="shared" si="15"/>
        <v>20240828-350</v>
      </c>
      <c r="F355" s="111" t="s">
        <v>98</v>
      </c>
      <c r="G355" s="111" t="s">
        <v>99</v>
      </c>
      <c r="H355" s="112" t="s">
        <v>1206</v>
      </c>
      <c r="I355" s="113">
        <v>1730.43</v>
      </c>
      <c r="J355" s="111" t="s">
        <v>118</v>
      </c>
      <c r="K355" s="111" t="s">
        <v>1208</v>
      </c>
      <c r="L355" s="111" t="s">
        <v>103</v>
      </c>
      <c r="M355" s="111" t="s">
        <v>104</v>
      </c>
      <c r="N355" s="111" t="s">
        <v>827</v>
      </c>
      <c r="O355" s="111" t="s">
        <v>121</v>
      </c>
      <c r="P355" s="111" t="s">
        <v>132</v>
      </c>
      <c r="Q355" s="110" t="s">
        <v>123</v>
      </c>
      <c r="R355" s="110" t="s">
        <v>134</v>
      </c>
      <c r="S355" s="111" t="s">
        <v>825</v>
      </c>
      <c r="T355" s="111" t="s">
        <v>111</v>
      </c>
      <c r="U355" s="111" t="s">
        <v>103</v>
      </c>
      <c r="V355" s="118">
        <f t="shared" si="17"/>
        <v>-2.5373420145538082E-2</v>
      </c>
      <c r="W355" s="114">
        <f>IFERROR(I355-AVERAGEIFS(I$6:I354,J$6:J354,"ICIS / Platts",B$6:B354,B355),"")</f>
        <v>-7.5699999999999363</v>
      </c>
      <c r="X355" s="110" t="s">
        <v>125</v>
      </c>
      <c r="Y355" s="117" t="str">
        <f t="shared" si="16"/>
        <v>OK</v>
      </c>
      <c r="Z355" s="111" t="s">
        <v>116</v>
      </c>
      <c r="AA355" s="111" t="s">
        <v>115</v>
      </c>
      <c r="AB355" s="111" t="s">
        <v>116</v>
      </c>
      <c r="AC355" s="111" t="s">
        <v>116</v>
      </c>
      <c r="AD355" s="111"/>
    </row>
    <row r="356" spans="2:30" ht="24.75" customHeight="1" x14ac:dyDescent="0.25">
      <c r="B356" s="108">
        <v>45537</v>
      </c>
      <c r="C356" s="109" t="s">
        <v>97</v>
      </c>
      <c r="D356" s="109">
        <v>36</v>
      </c>
      <c r="E356" s="110" t="str">
        <f t="shared" si="15"/>
        <v>20240902-351</v>
      </c>
      <c r="F356" s="111" t="s">
        <v>98</v>
      </c>
      <c r="G356" s="111" t="s">
        <v>99</v>
      </c>
      <c r="H356" s="112" t="s">
        <v>1206</v>
      </c>
      <c r="I356" s="113">
        <v>1750.5</v>
      </c>
      <c r="J356" s="111" t="s">
        <v>127</v>
      </c>
      <c r="K356" s="111" t="s">
        <v>1209</v>
      </c>
      <c r="L356" s="111" t="s">
        <v>129</v>
      </c>
      <c r="M356" s="111" t="s">
        <v>104</v>
      </c>
      <c r="N356" s="111" t="s">
        <v>829</v>
      </c>
      <c r="O356" s="111" t="s">
        <v>131</v>
      </c>
      <c r="P356" s="111" t="s">
        <v>830</v>
      </c>
      <c r="Q356" s="110" t="s">
        <v>133</v>
      </c>
      <c r="R356" s="110" t="s">
        <v>831</v>
      </c>
      <c r="S356" s="111" t="s">
        <v>832</v>
      </c>
      <c r="T356" s="111" t="s">
        <v>136</v>
      </c>
      <c r="U356" s="111" t="s">
        <v>129</v>
      </c>
      <c r="V356" s="118">
        <f t="shared" si="17"/>
        <v>-1.7428643596867872E-2</v>
      </c>
      <c r="W356" s="114" t="str">
        <f>IFERROR(I356-AVERAGEIFS(I$6:I355,J$6:J355,"ICIS / Platts",B$6:B355,B356),"")</f>
        <v/>
      </c>
      <c r="X356" s="110" t="s">
        <v>137</v>
      </c>
      <c r="Y356" s="117" t="str">
        <f t="shared" si="16"/>
        <v>OK</v>
      </c>
      <c r="Z356" s="111" t="s">
        <v>116</v>
      </c>
      <c r="AA356" s="111" t="s">
        <v>115</v>
      </c>
      <c r="AB356" s="111" t="s">
        <v>116</v>
      </c>
      <c r="AC356" s="111" t="s">
        <v>116</v>
      </c>
      <c r="AD356" s="111"/>
    </row>
    <row r="357" spans="2:30" ht="24.75" customHeight="1" x14ac:dyDescent="0.25">
      <c r="B357" s="115">
        <v>45539</v>
      </c>
      <c r="C357" s="116" t="s">
        <v>126</v>
      </c>
      <c r="D357" s="116">
        <v>36</v>
      </c>
      <c r="E357" s="110" t="str">
        <f t="shared" si="15"/>
        <v>20240904-352</v>
      </c>
      <c r="F357" s="111" t="s">
        <v>98</v>
      </c>
      <c r="G357" s="111" t="s">
        <v>99</v>
      </c>
      <c r="H357" s="112" t="s">
        <v>1206</v>
      </c>
      <c r="I357" s="113">
        <v>1769.77</v>
      </c>
      <c r="J357" s="111" t="s">
        <v>139</v>
      </c>
      <c r="K357" s="111" t="s">
        <v>1210</v>
      </c>
      <c r="L357" s="111" t="s">
        <v>103</v>
      </c>
      <c r="M357" s="111" t="s">
        <v>104</v>
      </c>
      <c r="N357" s="111" t="s">
        <v>824</v>
      </c>
      <c r="O357" s="111" t="s">
        <v>106</v>
      </c>
      <c r="P357" s="111" t="s">
        <v>141</v>
      </c>
      <c r="Q357" s="110" t="s">
        <v>133</v>
      </c>
      <c r="R357" s="110" t="s">
        <v>142</v>
      </c>
      <c r="S357" s="111" t="s">
        <v>825</v>
      </c>
      <c r="T357" s="111" t="s">
        <v>111</v>
      </c>
      <c r="U357" s="111" t="s">
        <v>103</v>
      </c>
      <c r="V357" s="118">
        <f t="shared" si="17"/>
        <v>2.4593438276143565E-2</v>
      </c>
      <c r="W357" s="114" t="str">
        <f>IFERROR(I357-AVERAGEIFS(I$6:I356,J$6:J356,"ICIS / Platts",B$6:B356,B357),"")</f>
        <v/>
      </c>
      <c r="X357" s="110" t="s">
        <v>125</v>
      </c>
      <c r="Y357" s="117" t="str">
        <f t="shared" si="16"/>
        <v>OK</v>
      </c>
      <c r="Z357" s="111" t="s">
        <v>116</v>
      </c>
      <c r="AA357" s="111" t="s">
        <v>115</v>
      </c>
      <c r="AB357" s="111" t="s">
        <v>116</v>
      </c>
      <c r="AC357" s="111" t="s">
        <v>116</v>
      </c>
      <c r="AD357" s="111"/>
    </row>
    <row r="358" spans="2:30" ht="24.75" customHeight="1" x14ac:dyDescent="0.25">
      <c r="B358" s="108">
        <v>45539</v>
      </c>
      <c r="C358" s="109" t="s">
        <v>126</v>
      </c>
      <c r="D358" s="109">
        <v>36</v>
      </c>
      <c r="E358" s="110" t="str">
        <f t="shared" si="15"/>
        <v>20240904-353</v>
      </c>
      <c r="F358" s="111" t="s">
        <v>98</v>
      </c>
      <c r="G358" s="111" t="s">
        <v>99</v>
      </c>
      <c r="H358" s="112" t="s">
        <v>1211</v>
      </c>
      <c r="I358" s="113">
        <v>1742</v>
      </c>
      <c r="J358" s="111" t="s">
        <v>101</v>
      </c>
      <c r="K358" s="111" t="s">
        <v>1212</v>
      </c>
      <c r="L358" s="111" t="s">
        <v>103</v>
      </c>
      <c r="M358" s="111" t="s">
        <v>104</v>
      </c>
      <c r="N358" s="111" t="s">
        <v>824</v>
      </c>
      <c r="O358" s="111" t="s">
        <v>106</v>
      </c>
      <c r="P358" s="111" t="s">
        <v>107</v>
      </c>
      <c r="Q358" s="110" t="s">
        <v>108</v>
      </c>
      <c r="R358" s="110" t="s">
        <v>109</v>
      </c>
      <c r="S358" s="111" t="s">
        <v>825</v>
      </c>
      <c r="T358" s="111" t="s">
        <v>111</v>
      </c>
      <c r="U358" s="111" t="s">
        <v>103</v>
      </c>
      <c r="V358" s="118">
        <f t="shared" si="17"/>
        <v>2.3014959723820483E-3</v>
      </c>
      <c r="W358" s="114" t="str">
        <f>IFERROR(I358-AVERAGEIFS(I$6:I357,J$6:J357,"ICIS / Platts",B$6:B357,B358),"")</f>
        <v/>
      </c>
      <c r="X358" s="110" t="s">
        <v>113</v>
      </c>
      <c r="Y358" s="117" t="str">
        <f t="shared" si="16"/>
        <v>OK</v>
      </c>
      <c r="Z358" s="111" t="s">
        <v>116</v>
      </c>
      <c r="AA358" s="111" t="s">
        <v>115</v>
      </c>
      <c r="AB358" s="111" t="s">
        <v>116</v>
      </c>
      <c r="AC358" s="111" t="s">
        <v>116</v>
      </c>
      <c r="AD358" s="111"/>
    </row>
    <row r="359" spans="2:30" ht="24.75" customHeight="1" x14ac:dyDescent="0.25">
      <c r="B359" s="115">
        <v>45539</v>
      </c>
      <c r="C359" s="116" t="s">
        <v>126</v>
      </c>
      <c r="D359" s="116">
        <v>36</v>
      </c>
      <c r="E359" s="110" t="str">
        <f t="shared" si="15"/>
        <v>20240904-354</v>
      </c>
      <c r="F359" s="111" t="s">
        <v>98</v>
      </c>
      <c r="G359" s="111" t="s">
        <v>99</v>
      </c>
      <c r="H359" s="112" t="s">
        <v>1211</v>
      </c>
      <c r="I359" s="113">
        <v>1734.13</v>
      </c>
      <c r="J359" s="111" t="s">
        <v>118</v>
      </c>
      <c r="K359" s="111" t="s">
        <v>1213</v>
      </c>
      <c r="L359" s="111" t="s">
        <v>103</v>
      </c>
      <c r="M359" s="111" t="s">
        <v>104</v>
      </c>
      <c r="N359" s="111" t="s">
        <v>827</v>
      </c>
      <c r="O359" s="111" t="s">
        <v>121</v>
      </c>
      <c r="P359" s="111" t="s">
        <v>132</v>
      </c>
      <c r="Q359" s="110" t="s">
        <v>123</v>
      </c>
      <c r="R359" s="110" t="s">
        <v>134</v>
      </c>
      <c r="S359" s="111" t="s">
        <v>825</v>
      </c>
      <c r="T359" s="111" t="s">
        <v>111</v>
      </c>
      <c r="U359" s="111" t="s">
        <v>103</v>
      </c>
      <c r="V359" s="118">
        <f t="shared" si="17"/>
        <v>2.1381968643632192E-3</v>
      </c>
      <c r="W359" s="114">
        <f>IFERROR(I359-AVERAGEIFS(I$6:I358,J$6:J358,"ICIS / Platts",B$6:B358,B359),"")</f>
        <v>-7.8699999999998909</v>
      </c>
      <c r="X359" s="110" t="s">
        <v>125</v>
      </c>
      <c r="Y359" s="117" t="str">
        <f t="shared" si="16"/>
        <v>OK</v>
      </c>
      <c r="Z359" s="111" t="s">
        <v>116</v>
      </c>
      <c r="AA359" s="111" t="s">
        <v>115</v>
      </c>
      <c r="AB359" s="111" t="s">
        <v>116</v>
      </c>
      <c r="AC359" s="111" t="s">
        <v>116</v>
      </c>
      <c r="AD359" s="111"/>
    </row>
    <row r="360" spans="2:30" ht="24.75" customHeight="1" x14ac:dyDescent="0.25">
      <c r="B360" s="108">
        <v>45544</v>
      </c>
      <c r="C360" s="109" t="s">
        <v>97</v>
      </c>
      <c r="D360" s="109">
        <v>37</v>
      </c>
      <c r="E360" s="110" t="str">
        <f t="shared" si="15"/>
        <v>20240909-355</v>
      </c>
      <c r="F360" s="111" t="s">
        <v>98</v>
      </c>
      <c r="G360" s="111" t="s">
        <v>99</v>
      </c>
      <c r="H360" s="112" t="s">
        <v>1211</v>
      </c>
      <c r="I360" s="113">
        <v>1760.93</v>
      </c>
      <c r="J360" s="111" t="s">
        <v>127</v>
      </c>
      <c r="K360" s="111" t="s">
        <v>1214</v>
      </c>
      <c r="L360" s="111" t="s">
        <v>129</v>
      </c>
      <c r="M360" s="111" t="s">
        <v>104</v>
      </c>
      <c r="N360" s="111" t="s">
        <v>829</v>
      </c>
      <c r="O360" s="111" t="s">
        <v>131</v>
      </c>
      <c r="P360" s="111" t="s">
        <v>830</v>
      </c>
      <c r="Q360" s="110" t="s">
        <v>133</v>
      </c>
      <c r="R360" s="110" t="s">
        <v>831</v>
      </c>
      <c r="S360" s="111" t="s">
        <v>832</v>
      </c>
      <c r="T360" s="111" t="s">
        <v>136</v>
      </c>
      <c r="U360" s="111" t="s">
        <v>129</v>
      </c>
      <c r="V360" s="118">
        <f t="shared" si="17"/>
        <v>5.9582976292488227E-3</v>
      </c>
      <c r="W360" s="114" t="str">
        <f>IFERROR(I360-AVERAGEIFS(I$6:I359,J$6:J359,"ICIS / Platts",B$6:B359,B360),"")</f>
        <v/>
      </c>
      <c r="X360" s="110" t="s">
        <v>137</v>
      </c>
      <c r="Y360" s="117" t="str">
        <f t="shared" si="16"/>
        <v>OK</v>
      </c>
      <c r="Z360" s="111" t="s">
        <v>116</v>
      </c>
      <c r="AA360" s="111" t="s">
        <v>115</v>
      </c>
      <c r="AB360" s="111" t="s">
        <v>116</v>
      </c>
      <c r="AC360" s="111" t="s">
        <v>116</v>
      </c>
      <c r="AD360" s="111"/>
    </row>
    <row r="361" spans="2:30" ht="24.75" customHeight="1" x14ac:dyDescent="0.25">
      <c r="B361" s="115">
        <v>45546</v>
      </c>
      <c r="C361" s="116" t="s">
        <v>126</v>
      </c>
      <c r="D361" s="116">
        <v>37</v>
      </c>
      <c r="E361" s="110" t="str">
        <f t="shared" si="15"/>
        <v>20240911-356</v>
      </c>
      <c r="F361" s="111" t="s">
        <v>98</v>
      </c>
      <c r="G361" s="111" t="s">
        <v>99</v>
      </c>
      <c r="H361" s="112" t="s">
        <v>1211</v>
      </c>
      <c r="I361" s="113">
        <v>1729.78</v>
      </c>
      <c r="J361" s="111" t="s">
        <v>139</v>
      </c>
      <c r="K361" s="111" t="s">
        <v>1215</v>
      </c>
      <c r="L361" s="111" t="s">
        <v>103</v>
      </c>
      <c r="M361" s="111" t="s">
        <v>104</v>
      </c>
      <c r="N361" s="111" t="s">
        <v>824</v>
      </c>
      <c r="O361" s="111" t="s">
        <v>106</v>
      </c>
      <c r="P361" s="111" t="s">
        <v>141</v>
      </c>
      <c r="Q361" s="110" t="s">
        <v>133</v>
      </c>
      <c r="R361" s="110" t="s">
        <v>142</v>
      </c>
      <c r="S361" s="111" t="s">
        <v>825</v>
      </c>
      <c r="T361" s="111" t="s">
        <v>111</v>
      </c>
      <c r="U361" s="111" t="s">
        <v>103</v>
      </c>
      <c r="V361" s="118">
        <f t="shared" si="17"/>
        <v>-2.2596156562717195E-2</v>
      </c>
      <c r="W361" s="114" t="str">
        <f>IFERROR(I361-AVERAGEIFS(I$6:I360,J$6:J360,"ICIS / Platts",B$6:B360,B361),"")</f>
        <v/>
      </c>
      <c r="X361" s="110" t="s">
        <v>125</v>
      </c>
      <c r="Y361" s="117" t="str">
        <f t="shared" si="16"/>
        <v>OK</v>
      </c>
      <c r="Z361" s="111" t="s">
        <v>116</v>
      </c>
      <c r="AA361" s="111" t="s">
        <v>115</v>
      </c>
      <c r="AB361" s="111" t="s">
        <v>116</v>
      </c>
      <c r="AC361" s="111" t="s">
        <v>116</v>
      </c>
      <c r="AD361" s="111"/>
    </row>
    <row r="362" spans="2:30" ht="24.75" customHeight="1" x14ac:dyDescent="0.25">
      <c r="B362" s="108">
        <v>45546</v>
      </c>
      <c r="C362" s="109" t="s">
        <v>126</v>
      </c>
      <c r="D362" s="109">
        <v>37</v>
      </c>
      <c r="E362" s="110" t="str">
        <f t="shared" si="15"/>
        <v>20240911-357</v>
      </c>
      <c r="F362" s="111" t="s">
        <v>98</v>
      </c>
      <c r="G362" s="111" t="s">
        <v>99</v>
      </c>
      <c r="H362" s="112" t="s">
        <v>1216</v>
      </c>
      <c r="I362" s="113">
        <v>1748</v>
      </c>
      <c r="J362" s="111" t="s">
        <v>101</v>
      </c>
      <c r="K362" s="111" t="s">
        <v>1217</v>
      </c>
      <c r="L362" s="111" t="s">
        <v>103</v>
      </c>
      <c r="M362" s="111" t="s">
        <v>104</v>
      </c>
      <c r="N362" s="111" t="s">
        <v>824</v>
      </c>
      <c r="O362" s="111" t="s">
        <v>106</v>
      </c>
      <c r="P362" s="111" t="s">
        <v>107</v>
      </c>
      <c r="Q362" s="110" t="s">
        <v>108</v>
      </c>
      <c r="R362" s="110" t="s">
        <v>109</v>
      </c>
      <c r="S362" s="111" t="s">
        <v>825</v>
      </c>
      <c r="T362" s="111" t="s">
        <v>111</v>
      </c>
      <c r="U362" s="111" t="s">
        <v>103</v>
      </c>
      <c r="V362" s="118">
        <f t="shared" si="17"/>
        <v>3.4443168771526979E-3</v>
      </c>
      <c r="W362" s="114" t="str">
        <f>IFERROR(I362-AVERAGEIFS(I$6:I361,J$6:J361,"ICIS / Platts",B$6:B361,B362),"")</f>
        <v/>
      </c>
      <c r="X362" s="110" t="s">
        <v>113</v>
      </c>
      <c r="Y362" s="117" t="str">
        <f t="shared" si="16"/>
        <v>OK</v>
      </c>
      <c r="Z362" s="111" t="s">
        <v>116</v>
      </c>
      <c r="AA362" s="111" t="s">
        <v>115</v>
      </c>
      <c r="AB362" s="111" t="s">
        <v>116</v>
      </c>
      <c r="AC362" s="111" t="s">
        <v>116</v>
      </c>
      <c r="AD362" s="111"/>
    </row>
    <row r="363" spans="2:30" ht="24.75" customHeight="1" x14ac:dyDescent="0.25">
      <c r="B363" s="115">
        <v>45546</v>
      </c>
      <c r="C363" s="116" t="s">
        <v>126</v>
      </c>
      <c r="D363" s="116">
        <v>37</v>
      </c>
      <c r="E363" s="110" t="str">
        <f t="shared" si="15"/>
        <v>20240911-358</v>
      </c>
      <c r="F363" s="111" t="s">
        <v>98</v>
      </c>
      <c r="G363" s="111" t="s">
        <v>99</v>
      </c>
      <c r="H363" s="112" t="s">
        <v>1216</v>
      </c>
      <c r="I363" s="113">
        <v>1789.23</v>
      </c>
      <c r="J363" s="111" t="s">
        <v>118</v>
      </c>
      <c r="K363" s="111" t="s">
        <v>1218</v>
      </c>
      <c r="L363" s="111" t="s">
        <v>103</v>
      </c>
      <c r="M363" s="111" t="s">
        <v>104</v>
      </c>
      <c r="N363" s="111" t="s">
        <v>827</v>
      </c>
      <c r="O363" s="111" t="s">
        <v>121</v>
      </c>
      <c r="P363" s="111" t="s">
        <v>132</v>
      </c>
      <c r="Q363" s="110" t="s">
        <v>123</v>
      </c>
      <c r="R363" s="110" t="s">
        <v>134</v>
      </c>
      <c r="S363" s="111" t="s">
        <v>825</v>
      </c>
      <c r="T363" s="111" t="s">
        <v>111</v>
      </c>
      <c r="U363" s="111" t="s">
        <v>103</v>
      </c>
      <c r="V363" s="118">
        <f t="shared" si="17"/>
        <v>3.17738577845951E-2</v>
      </c>
      <c r="W363" s="114">
        <f>IFERROR(I363-AVERAGEIFS(I$6:I362,J$6:J362,"ICIS / Platts",B$6:B362,B363),"")</f>
        <v>41.230000000000018</v>
      </c>
      <c r="X363" s="110" t="s">
        <v>125</v>
      </c>
      <c r="Y363" s="117" t="str">
        <f t="shared" si="16"/>
        <v>OK</v>
      </c>
      <c r="Z363" s="111" t="s">
        <v>116</v>
      </c>
      <c r="AA363" s="111" t="s">
        <v>115</v>
      </c>
      <c r="AB363" s="111" t="s">
        <v>116</v>
      </c>
      <c r="AC363" s="111" t="s">
        <v>116</v>
      </c>
      <c r="AD363" s="111"/>
    </row>
    <row r="364" spans="2:30" ht="24.75" customHeight="1" x14ac:dyDescent="0.25">
      <c r="B364" s="108">
        <v>45551</v>
      </c>
      <c r="C364" s="109" t="s">
        <v>97</v>
      </c>
      <c r="D364" s="109">
        <v>38</v>
      </c>
      <c r="E364" s="110" t="str">
        <f t="shared" si="15"/>
        <v>20240916-359</v>
      </c>
      <c r="F364" s="111" t="s">
        <v>98</v>
      </c>
      <c r="G364" s="111" t="s">
        <v>99</v>
      </c>
      <c r="H364" s="112" t="s">
        <v>1216</v>
      </c>
      <c r="I364" s="113">
        <v>1750.14</v>
      </c>
      <c r="J364" s="111" t="s">
        <v>127</v>
      </c>
      <c r="K364" s="111" t="s">
        <v>1219</v>
      </c>
      <c r="L364" s="111" t="s">
        <v>129</v>
      </c>
      <c r="M364" s="111" t="s">
        <v>104</v>
      </c>
      <c r="N364" s="111" t="s">
        <v>829</v>
      </c>
      <c r="O364" s="111" t="s">
        <v>131</v>
      </c>
      <c r="P364" s="111" t="s">
        <v>830</v>
      </c>
      <c r="Q364" s="110" t="s">
        <v>133</v>
      </c>
      <c r="R364" s="110" t="s">
        <v>831</v>
      </c>
      <c r="S364" s="111" t="s">
        <v>832</v>
      </c>
      <c r="T364" s="111" t="s">
        <v>136</v>
      </c>
      <c r="U364" s="111" t="s">
        <v>129</v>
      </c>
      <c r="V364" s="118">
        <f t="shared" si="17"/>
        <v>-6.1274440210570338E-3</v>
      </c>
      <c r="W364" s="114" t="str">
        <f>IFERROR(I364-AVERAGEIFS(I$6:I363,J$6:J363,"ICIS / Platts",B$6:B363,B364),"")</f>
        <v/>
      </c>
      <c r="X364" s="110" t="s">
        <v>137</v>
      </c>
      <c r="Y364" s="117" t="str">
        <f t="shared" si="16"/>
        <v>OK</v>
      </c>
      <c r="Z364" s="111" t="s">
        <v>116</v>
      </c>
      <c r="AA364" s="111" t="s">
        <v>115</v>
      </c>
      <c r="AB364" s="111" t="s">
        <v>116</v>
      </c>
      <c r="AC364" s="111" t="s">
        <v>116</v>
      </c>
      <c r="AD364" s="111"/>
    </row>
    <row r="365" spans="2:30" ht="24.75" customHeight="1" x14ac:dyDescent="0.25">
      <c r="B365" s="115">
        <v>45553</v>
      </c>
      <c r="C365" s="116" t="s">
        <v>126</v>
      </c>
      <c r="D365" s="116">
        <v>38</v>
      </c>
      <c r="E365" s="110" t="str">
        <f t="shared" si="15"/>
        <v>20240918-360</v>
      </c>
      <c r="F365" s="111" t="s">
        <v>98</v>
      </c>
      <c r="G365" s="111" t="s">
        <v>99</v>
      </c>
      <c r="H365" s="112" t="s">
        <v>1216</v>
      </c>
      <c r="I365" s="113">
        <v>1755.25</v>
      </c>
      <c r="J365" s="111" t="s">
        <v>139</v>
      </c>
      <c r="K365" s="111" t="s">
        <v>1220</v>
      </c>
      <c r="L365" s="111" t="s">
        <v>103</v>
      </c>
      <c r="M365" s="111" t="s">
        <v>104</v>
      </c>
      <c r="N365" s="111" t="s">
        <v>824</v>
      </c>
      <c r="O365" s="111" t="s">
        <v>106</v>
      </c>
      <c r="P365" s="111" t="s">
        <v>141</v>
      </c>
      <c r="Q365" s="110" t="s">
        <v>133</v>
      </c>
      <c r="R365" s="110" t="s">
        <v>142</v>
      </c>
      <c r="S365" s="111" t="s">
        <v>825</v>
      </c>
      <c r="T365" s="111" t="s">
        <v>111</v>
      </c>
      <c r="U365" s="111" t="s">
        <v>103</v>
      </c>
      <c r="V365" s="118">
        <f t="shared" si="17"/>
        <v>1.4724415821665199E-2</v>
      </c>
      <c r="W365" s="114" t="str">
        <f>IFERROR(I365-AVERAGEIFS(I$6:I364,J$6:J364,"ICIS / Platts",B$6:B364,B365),"")</f>
        <v/>
      </c>
      <c r="X365" s="110" t="s">
        <v>125</v>
      </c>
      <c r="Y365" s="117" t="str">
        <f t="shared" si="16"/>
        <v>OK</v>
      </c>
      <c r="Z365" s="111" t="s">
        <v>116</v>
      </c>
      <c r="AA365" s="111" t="s">
        <v>115</v>
      </c>
      <c r="AB365" s="111" t="s">
        <v>116</v>
      </c>
      <c r="AC365" s="111" t="s">
        <v>116</v>
      </c>
      <c r="AD365" s="111"/>
    </row>
    <row r="366" spans="2:30" ht="24.75" customHeight="1" x14ac:dyDescent="0.25">
      <c r="B366" s="108">
        <v>45553</v>
      </c>
      <c r="C366" s="109" t="s">
        <v>126</v>
      </c>
      <c r="D366" s="109">
        <v>38</v>
      </c>
      <c r="E366" s="110" t="str">
        <f t="shared" si="15"/>
        <v>20240918-361</v>
      </c>
      <c r="F366" s="111" t="s">
        <v>98</v>
      </c>
      <c r="G366" s="111" t="s">
        <v>99</v>
      </c>
      <c r="H366" s="112" t="s">
        <v>1221</v>
      </c>
      <c r="I366" s="113">
        <v>1752</v>
      </c>
      <c r="J366" s="111" t="s">
        <v>101</v>
      </c>
      <c r="K366" s="111" t="s">
        <v>1222</v>
      </c>
      <c r="L366" s="111" t="s">
        <v>103</v>
      </c>
      <c r="M366" s="111" t="s">
        <v>104</v>
      </c>
      <c r="N366" s="111" t="s">
        <v>824</v>
      </c>
      <c r="O366" s="111" t="s">
        <v>106</v>
      </c>
      <c r="P366" s="111" t="s">
        <v>107</v>
      </c>
      <c r="Q366" s="110" t="s">
        <v>108</v>
      </c>
      <c r="R366" s="110" t="s">
        <v>109</v>
      </c>
      <c r="S366" s="111" t="s">
        <v>825</v>
      </c>
      <c r="T366" s="111" t="s">
        <v>111</v>
      </c>
      <c r="U366" s="111" t="s">
        <v>103</v>
      </c>
      <c r="V366" s="118">
        <f t="shared" si="17"/>
        <v>2.2883295194508009E-3</v>
      </c>
      <c r="W366" s="114" t="str">
        <f>IFERROR(I366-AVERAGEIFS(I$6:I365,J$6:J365,"ICIS / Platts",B$6:B365,B366),"")</f>
        <v/>
      </c>
      <c r="X366" s="110" t="s">
        <v>113</v>
      </c>
      <c r="Y366" s="117" t="str">
        <f t="shared" si="16"/>
        <v>OK</v>
      </c>
      <c r="Z366" s="111" t="s">
        <v>116</v>
      </c>
      <c r="AA366" s="111" t="s">
        <v>115</v>
      </c>
      <c r="AB366" s="111" t="s">
        <v>116</v>
      </c>
      <c r="AC366" s="111" t="s">
        <v>116</v>
      </c>
      <c r="AD366" s="111"/>
    </row>
    <row r="367" spans="2:30" ht="24.75" customHeight="1" x14ac:dyDescent="0.25">
      <c r="B367" s="115">
        <v>45553</v>
      </c>
      <c r="C367" s="116" t="s">
        <v>126</v>
      </c>
      <c r="D367" s="116">
        <v>38</v>
      </c>
      <c r="E367" s="110" t="str">
        <f t="shared" si="15"/>
        <v>20240918-362</v>
      </c>
      <c r="F367" s="111" t="s">
        <v>98</v>
      </c>
      <c r="G367" s="111" t="s">
        <v>99</v>
      </c>
      <c r="H367" s="112" t="s">
        <v>1221</v>
      </c>
      <c r="I367" s="113">
        <v>1788.73</v>
      </c>
      <c r="J367" s="111" t="s">
        <v>118</v>
      </c>
      <c r="K367" s="111" t="s">
        <v>1223</v>
      </c>
      <c r="L367" s="111" t="s">
        <v>103</v>
      </c>
      <c r="M367" s="111" t="s">
        <v>104</v>
      </c>
      <c r="N367" s="111" t="s">
        <v>827</v>
      </c>
      <c r="O367" s="111" t="s">
        <v>121</v>
      </c>
      <c r="P367" s="111" t="s">
        <v>132</v>
      </c>
      <c r="Q367" s="110" t="s">
        <v>123</v>
      </c>
      <c r="R367" s="110" t="s">
        <v>134</v>
      </c>
      <c r="S367" s="111" t="s">
        <v>825</v>
      </c>
      <c r="T367" s="111" t="s">
        <v>111</v>
      </c>
      <c r="U367" s="111" t="s">
        <v>103</v>
      </c>
      <c r="V367" s="118">
        <f t="shared" si="17"/>
        <v>-2.79449819195967E-4</v>
      </c>
      <c r="W367" s="114">
        <f>IFERROR(I367-AVERAGEIFS(I$6:I366,J$6:J366,"ICIS / Platts",B$6:B366,B367),"")</f>
        <v>36.730000000000018</v>
      </c>
      <c r="X367" s="110" t="s">
        <v>125</v>
      </c>
      <c r="Y367" s="117" t="str">
        <f t="shared" si="16"/>
        <v>OK</v>
      </c>
      <c r="Z367" s="111" t="s">
        <v>116</v>
      </c>
      <c r="AA367" s="111" t="s">
        <v>115</v>
      </c>
      <c r="AB367" s="111" t="s">
        <v>116</v>
      </c>
      <c r="AC367" s="111" t="s">
        <v>116</v>
      </c>
      <c r="AD367" s="111"/>
    </row>
    <row r="368" spans="2:30" ht="24.75" customHeight="1" x14ac:dyDescent="0.25">
      <c r="B368" s="108">
        <v>45558</v>
      </c>
      <c r="C368" s="109" t="s">
        <v>97</v>
      </c>
      <c r="D368" s="109">
        <v>39</v>
      </c>
      <c r="E368" s="110" t="str">
        <f t="shared" si="15"/>
        <v>20240923-363</v>
      </c>
      <c r="F368" s="111" t="s">
        <v>98</v>
      </c>
      <c r="G368" s="111" t="s">
        <v>99</v>
      </c>
      <c r="H368" s="112" t="s">
        <v>1221</v>
      </c>
      <c r="I368" s="113">
        <v>1761.84</v>
      </c>
      <c r="J368" s="111" t="s">
        <v>127</v>
      </c>
      <c r="K368" s="111" t="s">
        <v>1224</v>
      </c>
      <c r="L368" s="111" t="s">
        <v>129</v>
      </c>
      <c r="M368" s="111" t="s">
        <v>104</v>
      </c>
      <c r="N368" s="111" t="s">
        <v>829</v>
      </c>
      <c r="O368" s="111" t="s">
        <v>131</v>
      </c>
      <c r="P368" s="111" t="s">
        <v>830</v>
      </c>
      <c r="Q368" s="110" t="s">
        <v>133</v>
      </c>
      <c r="R368" s="110" t="s">
        <v>831</v>
      </c>
      <c r="S368" s="111" t="s">
        <v>832</v>
      </c>
      <c r="T368" s="111" t="s">
        <v>136</v>
      </c>
      <c r="U368" s="111" t="s">
        <v>129</v>
      </c>
      <c r="V368" s="118">
        <f t="shared" si="17"/>
        <v>6.6851794713564732E-3</v>
      </c>
      <c r="W368" s="114" t="str">
        <f>IFERROR(I368-AVERAGEIFS(I$6:I367,J$6:J367,"ICIS / Platts",B$6:B367,B368),"")</f>
        <v/>
      </c>
      <c r="X368" s="110" t="s">
        <v>137</v>
      </c>
      <c r="Y368" s="117" t="str">
        <f t="shared" si="16"/>
        <v>OK</v>
      </c>
      <c r="Z368" s="111" t="s">
        <v>116</v>
      </c>
      <c r="AA368" s="111" t="s">
        <v>115</v>
      </c>
      <c r="AB368" s="111" t="s">
        <v>116</v>
      </c>
      <c r="AC368" s="111" t="s">
        <v>116</v>
      </c>
      <c r="AD368" s="111"/>
    </row>
    <row r="369" spans="2:30" ht="24.75" customHeight="1" x14ac:dyDescent="0.25">
      <c r="B369" s="115">
        <v>45560</v>
      </c>
      <c r="C369" s="116" t="s">
        <v>126</v>
      </c>
      <c r="D369" s="116">
        <v>39</v>
      </c>
      <c r="E369" s="110" t="str">
        <f t="shared" si="15"/>
        <v>20240925-364</v>
      </c>
      <c r="F369" s="111" t="s">
        <v>98</v>
      </c>
      <c r="G369" s="111" t="s">
        <v>99</v>
      </c>
      <c r="H369" s="112" t="s">
        <v>1221</v>
      </c>
      <c r="I369" s="113">
        <v>1766.1</v>
      </c>
      <c r="J369" s="111" t="s">
        <v>139</v>
      </c>
      <c r="K369" s="111" t="s">
        <v>1225</v>
      </c>
      <c r="L369" s="111" t="s">
        <v>103</v>
      </c>
      <c r="M369" s="111" t="s">
        <v>104</v>
      </c>
      <c r="N369" s="111" t="s">
        <v>824</v>
      </c>
      <c r="O369" s="111" t="s">
        <v>106</v>
      </c>
      <c r="P369" s="111" t="s">
        <v>141</v>
      </c>
      <c r="Q369" s="110" t="s">
        <v>133</v>
      </c>
      <c r="R369" s="110" t="s">
        <v>142</v>
      </c>
      <c r="S369" s="111" t="s">
        <v>825</v>
      </c>
      <c r="T369" s="111" t="s">
        <v>111</v>
      </c>
      <c r="U369" s="111" t="s">
        <v>103</v>
      </c>
      <c r="V369" s="118">
        <f t="shared" si="17"/>
        <v>6.1814556331006463E-3</v>
      </c>
      <c r="W369" s="114" t="str">
        <f>IFERROR(I369-AVERAGEIFS(I$6:I368,J$6:J368,"ICIS / Platts",B$6:B368,B369),"")</f>
        <v/>
      </c>
      <c r="X369" s="110" t="s">
        <v>125</v>
      </c>
      <c r="Y369" s="117" t="str">
        <f t="shared" si="16"/>
        <v>OK</v>
      </c>
      <c r="Z369" s="111" t="s">
        <v>116</v>
      </c>
      <c r="AA369" s="111" t="s">
        <v>115</v>
      </c>
      <c r="AB369" s="111" t="s">
        <v>116</v>
      </c>
      <c r="AC369" s="111" t="s">
        <v>116</v>
      </c>
      <c r="AD369" s="111"/>
    </row>
    <row r="370" spans="2:30" ht="24.75" customHeight="1" x14ac:dyDescent="0.25">
      <c r="B370" s="108">
        <v>45560</v>
      </c>
      <c r="C370" s="109" t="s">
        <v>126</v>
      </c>
      <c r="D370" s="109">
        <v>39</v>
      </c>
      <c r="E370" s="110" t="str">
        <f t="shared" si="15"/>
        <v>20240925-365</v>
      </c>
      <c r="F370" s="111" t="s">
        <v>98</v>
      </c>
      <c r="G370" s="111" t="s">
        <v>99</v>
      </c>
      <c r="H370" s="112" t="s">
        <v>1226</v>
      </c>
      <c r="I370" s="113">
        <v>1758</v>
      </c>
      <c r="J370" s="111" t="s">
        <v>101</v>
      </c>
      <c r="K370" s="111" t="s">
        <v>1227</v>
      </c>
      <c r="L370" s="111" t="s">
        <v>103</v>
      </c>
      <c r="M370" s="111" t="s">
        <v>104</v>
      </c>
      <c r="N370" s="111" t="s">
        <v>824</v>
      </c>
      <c r="O370" s="111" t="s">
        <v>106</v>
      </c>
      <c r="P370" s="111" t="s">
        <v>107</v>
      </c>
      <c r="Q370" s="110" t="s">
        <v>108</v>
      </c>
      <c r="R370" s="110" t="s">
        <v>109</v>
      </c>
      <c r="S370" s="111" t="s">
        <v>825</v>
      </c>
      <c r="T370" s="111" t="s">
        <v>111</v>
      </c>
      <c r="U370" s="111" t="s">
        <v>103</v>
      </c>
      <c r="V370" s="118">
        <f t="shared" si="17"/>
        <v>3.4246575342465752E-3</v>
      </c>
      <c r="W370" s="114" t="str">
        <f>IFERROR(I370-AVERAGEIFS(I$6:I369,J$6:J369,"ICIS / Platts",B$6:B369,B370),"")</f>
        <v/>
      </c>
      <c r="X370" s="110" t="s">
        <v>113</v>
      </c>
      <c r="Y370" s="117" t="str">
        <f t="shared" si="16"/>
        <v>OK</v>
      </c>
      <c r="Z370" s="111" t="s">
        <v>116</v>
      </c>
      <c r="AA370" s="111" t="s">
        <v>115</v>
      </c>
      <c r="AB370" s="111" t="s">
        <v>116</v>
      </c>
      <c r="AC370" s="111" t="s">
        <v>116</v>
      </c>
      <c r="AD370" s="111"/>
    </row>
    <row r="371" spans="2:30" ht="24.75" customHeight="1" x14ac:dyDescent="0.25">
      <c r="B371" s="115">
        <v>45560</v>
      </c>
      <c r="C371" s="116" t="s">
        <v>126</v>
      </c>
      <c r="D371" s="116">
        <v>39</v>
      </c>
      <c r="E371" s="110" t="str">
        <f t="shared" si="15"/>
        <v>20240925-366</v>
      </c>
      <c r="F371" s="111" t="s">
        <v>98</v>
      </c>
      <c r="G371" s="111" t="s">
        <v>99</v>
      </c>
      <c r="H371" s="112" t="s">
        <v>1226</v>
      </c>
      <c r="I371" s="113">
        <v>1785.7</v>
      </c>
      <c r="J371" s="111" t="s">
        <v>118</v>
      </c>
      <c r="K371" s="111" t="s">
        <v>1228</v>
      </c>
      <c r="L371" s="111" t="s">
        <v>103</v>
      </c>
      <c r="M371" s="111" t="s">
        <v>104</v>
      </c>
      <c r="N371" s="111" t="s">
        <v>827</v>
      </c>
      <c r="O371" s="111" t="s">
        <v>121</v>
      </c>
      <c r="P371" s="111" t="s">
        <v>132</v>
      </c>
      <c r="Q371" s="110" t="s">
        <v>123</v>
      </c>
      <c r="R371" s="110" t="s">
        <v>134</v>
      </c>
      <c r="S371" s="111" t="s">
        <v>825</v>
      </c>
      <c r="T371" s="111" t="s">
        <v>111</v>
      </c>
      <c r="U371" s="111" t="s">
        <v>103</v>
      </c>
      <c r="V371" s="118">
        <f t="shared" si="17"/>
        <v>-1.6939392753517707E-3</v>
      </c>
      <c r="W371" s="114">
        <f>IFERROR(I371-AVERAGEIFS(I$6:I370,J$6:J370,"ICIS / Platts",B$6:B370,B371),"")</f>
        <v>27.700000000000045</v>
      </c>
      <c r="X371" s="110" t="s">
        <v>125</v>
      </c>
      <c r="Y371" s="117" t="str">
        <f t="shared" si="16"/>
        <v>OK</v>
      </c>
      <c r="Z371" s="111" t="s">
        <v>116</v>
      </c>
      <c r="AA371" s="111" t="s">
        <v>115</v>
      </c>
      <c r="AB371" s="111" t="s">
        <v>116</v>
      </c>
      <c r="AC371" s="111" t="s">
        <v>116</v>
      </c>
      <c r="AD371" s="111"/>
    </row>
    <row r="372" spans="2:30" ht="24.75" customHeight="1" x14ac:dyDescent="0.25">
      <c r="B372" s="108">
        <v>45565</v>
      </c>
      <c r="C372" s="109" t="s">
        <v>97</v>
      </c>
      <c r="D372" s="109">
        <v>40</v>
      </c>
      <c r="E372" s="110" t="str">
        <f t="shared" si="15"/>
        <v>20240930-367</v>
      </c>
      <c r="F372" s="111" t="s">
        <v>98</v>
      </c>
      <c r="G372" s="111" t="s">
        <v>99</v>
      </c>
      <c r="H372" s="112" t="s">
        <v>1226</v>
      </c>
      <c r="I372" s="113">
        <v>1764.36</v>
      </c>
      <c r="J372" s="111" t="s">
        <v>127</v>
      </c>
      <c r="K372" s="111" t="s">
        <v>1229</v>
      </c>
      <c r="L372" s="111" t="s">
        <v>129</v>
      </c>
      <c r="M372" s="111" t="s">
        <v>104</v>
      </c>
      <c r="N372" s="111" t="s">
        <v>829</v>
      </c>
      <c r="O372" s="111" t="s">
        <v>131</v>
      </c>
      <c r="P372" s="111" t="s">
        <v>830</v>
      </c>
      <c r="Q372" s="110" t="s">
        <v>133</v>
      </c>
      <c r="R372" s="110" t="s">
        <v>831</v>
      </c>
      <c r="S372" s="111" t="s">
        <v>832</v>
      </c>
      <c r="T372" s="111" t="s">
        <v>136</v>
      </c>
      <c r="U372" s="111" t="s">
        <v>129</v>
      </c>
      <c r="V372" s="118">
        <f t="shared" si="17"/>
        <v>1.4303228442991316E-3</v>
      </c>
      <c r="W372" s="114" t="str">
        <f>IFERROR(I372-AVERAGEIFS(I$6:I371,J$6:J371,"ICIS / Platts",B$6:B371,B372),"")</f>
        <v/>
      </c>
      <c r="X372" s="110" t="s">
        <v>137</v>
      </c>
      <c r="Y372" s="117" t="str">
        <f t="shared" si="16"/>
        <v>OK</v>
      </c>
      <c r="Z372" s="111" t="s">
        <v>116</v>
      </c>
      <c r="AA372" s="111" t="s">
        <v>115</v>
      </c>
      <c r="AB372" s="111" t="s">
        <v>116</v>
      </c>
      <c r="AC372" s="111" t="s">
        <v>116</v>
      </c>
      <c r="AD372" s="111"/>
    </row>
    <row r="373" spans="2:30" ht="24.75" customHeight="1" x14ac:dyDescent="0.25">
      <c r="B373" s="115">
        <v>45567</v>
      </c>
      <c r="C373" s="116" t="s">
        <v>126</v>
      </c>
      <c r="D373" s="116">
        <v>40</v>
      </c>
      <c r="E373" s="110" t="str">
        <f t="shared" si="15"/>
        <v>20241002-368</v>
      </c>
      <c r="F373" s="111" t="s">
        <v>98</v>
      </c>
      <c r="G373" s="111" t="s">
        <v>99</v>
      </c>
      <c r="H373" s="112" t="s">
        <v>1226</v>
      </c>
      <c r="I373" s="113">
        <v>1788.64</v>
      </c>
      <c r="J373" s="111" t="s">
        <v>139</v>
      </c>
      <c r="K373" s="111" t="s">
        <v>1230</v>
      </c>
      <c r="L373" s="111" t="s">
        <v>103</v>
      </c>
      <c r="M373" s="111" t="s">
        <v>104</v>
      </c>
      <c r="N373" s="111" t="s">
        <v>824</v>
      </c>
      <c r="O373" s="111" t="s">
        <v>106</v>
      </c>
      <c r="P373" s="111" t="s">
        <v>141</v>
      </c>
      <c r="Q373" s="110" t="s">
        <v>133</v>
      </c>
      <c r="R373" s="110" t="s">
        <v>142</v>
      </c>
      <c r="S373" s="111" t="s">
        <v>825</v>
      </c>
      <c r="T373" s="111" t="s">
        <v>111</v>
      </c>
      <c r="U373" s="111" t="s">
        <v>103</v>
      </c>
      <c r="V373" s="118">
        <f t="shared" si="17"/>
        <v>1.2762584225128923E-2</v>
      </c>
      <c r="W373" s="114" t="str">
        <f>IFERROR(I373-AVERAGEIFS(I$6:I372,J$6:J372,"ICIS / Platts",B$6:B372,B373),"")</f>
        <v/>
      </c>
      <c r="X373" s="110" t="s">
        <v>125</v>
      </c>
      <c r="Y373" s="117" t="str">
        <f t="shared" si="16"/>
        <v>OK</v>
      </c>
      <c r="Z373" s="111" t="s">
        <v>116</v>
      </c>
      <c r="AA373" s="111" t="s">
        <v>115</v>
      </c>
      <c r="AB373" s="111" t="s">
        <v>116</v>
      </c>
      <c r="AC373" s="111" t="s">
        <v>116</v>
      </c>
      <c r="AD373" s="111"/>
    </row>
    <row r="374" spans="2:30" ht="24.75" customHeight="1" x14ac:dyDescent="0.25">
      <c r="B374" s="108">
        <v>45567</v>
      </c>
      <c r="C374" s="109" t="s">
        <v>126</v>
      </c>
      <c r="D374" s="109">
        <v>40</v>
      </c>
      <c r="E374" s="110" t="str">
        <f t="shared" si="15"/>
        <v>20241002-369</v>
      </c>
      <c r="F374" s="111" t="s">
        <v>98</v>
      </c>
      <c r="G374" s="111" t="s">
        <v>99</v>
      </c>
      <c r="H374" s="112" t="s">
        <v>1231</v>
      </c>
      <c r="I374" s="113">
        <v>1762</v>
      </c>
      <c r="J374" s="111" t="s">
        <v>101</v>
      </c>
      <c r="K374" s="111" t="s">
        <v>1232</v>
      </c>
      <c r="L374" s="111" t="s">
        <v>103</v>
      </c>
      <c r="M374" s="111" t="s">
        <v>104</v>
      </c>
      <c r="N374" s="111" t="s">
        <v>824</v>
      </c>
      <c r="O374" s="111" t="s">
        <v>106</v>
      </c>
      <c r="P374" s="111" t="s">
        <v>107</v>
      </c>
      <c r="Q374" s="110" t="s">
        <v>108</v>
      </c>
      <c r="R374" s="110" t="s">
        <v>109</v>
      </c>
      <c r="S374" s="111" t="s">
        <v>825</v>
      </c>
      <c r="T374" s="111" t="s">
        <v>111</v>
      </c>
      <c r="U374" s="111" t="s">
        <v>103</v>
      </c>
      <c r="V374" s="118">
        <f t="shared" si="17"/>
        <v>2.2753128555176336E-3</v>
      </c>
      <c r="W374" s="114" t="str">
        <f>IFERROR(I374-AVERAGEIFS(I$6:I373,J$6:J373,"ICIS / Platts",B$6:B373,B374),"")</f>
        <v/>
      </c>
      <c r="X374" s="110" t="s">
        <v>113</v>
      </c>
      <c r="Y374" s="117" t="str">
        <f t="shared" si="16"/>
        <v>OK</v>
      </c>
      <c r="Z374" s="111" t="s">
        <v>116</v>
      </c>
      <c r="AA374" s="111" t="s">
        <v>116</v>
      </c>
      <c r="AB374" s="111" t="s">
        <v>116</v>
      </c>
      <c r="AC374" s="111" t="s">
        <v>116</v>
      </c>
      <c r="AD374" s="111"/>
    </row>
    <row r="375" spans="2:30" ht="24.75" customHeight="1" x14ac:dyDescent="0.25">
      <c r="B375" s="115">
        <v>45567</v>
      </c>
      <c r="C375" s="116" t="s">
        <v>126</v>
      </c>
      <c r="D375" s="116">
        <v>40</v>
      </c>
      <c r="E375" s="110" t="str">
        <f t="shared" si="15"/>
        <v>20241002-370</v>
      </c>
      <c r="F375" s="111" t="s">
        <v>98</v>
      </c>
      <c r="G375" s="111" t="s">
        <v>99</v>
      </c>
      <c r="H375" s="112" t="s">
        <v>1231</v>
      </c>
      <c r="I375" s="113">
        <v>1780.74</v>
      </c>
      <c r="J375" s="111" t="s">
        <v>118</v>
      </c>
      <c r="K375" s="111" t="s">
        <v>1233</v>
      </c>
      <c r="L375" s="111" t="s">
        <v>103</v>
      </c>
      <c r="M375" s="111" t="s">
        <v>104</v>
      </c>
      <c r="N375" s="111" t="s">
        <v>827</v>
      </c>
      <c r="O375" s="111" t="s">
        <v>121</v>
      </c>
      <c r="P375" s="111" t="s">
        <v>132</v>
      </c>
      <c r="Q375" s="110" t="s">
        <v>123</v>
      </c>
      <c r="R375" s="110" t="s">
        <v>134</v>
      </c>
      <c r="S375" s="111" t="s">
        <v>825</v>
      </c>
      <c r="T375" s="111" t="s">
        <v>111</v>
      </c>
      <c r="U375" s="111" t="s">
        <v>103</v>
      </c>
      <c r="V375" s="118">
        <f t="shared" si="17"/>
        <v>-2.7776222209777881E-3</v>
      </c>
      <c r="W375" s="114">
        <f>IFERROR(I375-AVERAGEIFS(I$6:I374,J$6:J374,"ICIS / Platts",B$6:B374,B375),"")</f>
        <v>18.740000000000009</v>
      </c>
      <c r="X375" s="110" t="s">
        <v>125</v>
      </c>
      <c r="Y375" s="117" t="str">
        <f t="shared" si="16"/>
        <v>OK</v>
      </c>
      <c r="Z375" s="111" t="s">
        <v>116</v>
      </c>
      <c r="AA375" s="111" t="s">
        <v>116</v>
      </c>
      <c r="AB375" s="111" t="s">
        <v>116</v>
      </c>
      <c r="AC375" s="111" t="s">
        <v>116</v>
      </c>
      <c r="AD375" s="111"/>
    </row>
    <row r="376" spans="2:30" ht="24.75" customHeight="1" x14ac:dyDescent="0.25">
      <c r="B376" s="108">
        <v>45572</v>
      </c>
      <c r="C376" s="109" t="s">
        <v>97</v>
      </c>
      <c r="D376" s="109">
        <v>41</v>
      </c>
      <c r="E376" s="110" t="str">
        <f t="shared" si="15"/>
        <v>20241007-371</v>
      </c>
      <c r="F376" s="111" t="s">
        <v>98</v>
      </c>
      <c r="G376" s="111" t="s">
        <v>99</v>
      </c>
      <c r="H376" s="112" t="s">
        <v>1231</v>
      </c>
      <c r="I376" s="113">
        <v>1736.35</v>
      </c>
      <c r="J376" s="111" t="s">
        <v>127</v>
      </c>
      <c r="K376" s="111" t="s">
        <v>1234</v>
      </c>
      <c r="L376" s="111" t="s">
        <v>129</v>
      </c>
      <c r="M376" s="111" t="s">
        <v>104</v>
      </c>
      <c r="N376" s="111" t="s">
        <v>829</v>
      </c>
      <c r="O376" s="111" t="s">
        <v>131</v>
      </c>
      <c r="P376" s="111" t="s">
        <v>830</v>
      </c>
      <c r="Q376" s="110" t="s">
        <v>133</v>
      </c>
      <c r="R376" s="110" t="s">
        <v>831</v>
      </c>
      <c r="S376" s="111" t="s">
        <v>832</v>
      </c>
      <c r="T376" s="111" t="s">
        <v>136</v>
      </c>
      <c r="U376" s="111" t="s">
        <v>129</v>
      </c>
      <c r="V376" s="118">
        <f t="shared" si="17"/>
        <v>-1.5875444920537756E-2</v>
      </c>
      <c r="W376" s="114" t="str">
        <f>IFERROR(I376-AVERAGEIFS(I$6:I375,J$6:J375,"ICIS / Platts",B$6:B375,B376),"")</f>
        <v/>
      </c>
      <c r="X376" s="110" t="s">
        <v>137</v>
      </c>
      <c r="Y376" s="117" t="str">
        <f t="shared" si="16"/>
        <v>OK</v>
      </c>
      <c r="Z376" s="111" t="s">
        <v>116</v>
      </c>
      <c r="AA376" s="111" t="s">
        <v>116</v>
      </c>
      <c r="AB376" s="111" t="s">
        <v>116</v>
      </c>
      <c r="AC376" s="111" t="s">
        <v>116</v>
      </c>
      <c r="AD376" s="111"/>
    </row>
    <row r="377" spans="2:30" ht="24.75" customHeight="1" x14ac:dyDescent="0.25">
      <c r="B377" s="115">
        <v>45574</v>
      </c>
      <c r="C377" s="116" t="s">
        <v>126</v>
      </c>
      <c r="D377" s="116">
        <v>41</v>
      </c>
      <c r="E377" s="110" t="str">
        <f t="shared" si="15"/>
        <v>20241009-372</v>
      </c>
      <c r="F377" s="111" t="s">
        <v>98</v>
      </c>
      <c r="G377" s="111" t="s">
        <v>99</v>
      </c>
      <c r="H377" s="112" t="s">
        <v>1231</v>
      </c>
      <c r="I377" s="113">
        <v>1777.57</v>
      </c>
      <c r="J377" s="111" t="s">
        <v>139</v>
      </c>
      <c r="K377" s="111" t="s">
        <v>1235</v>
      </c>
      <c r="L377" s="111" t="s">
        <v>103</v>
      </c>
      <c r="M377" s="111" t="s">
        <v>104</v>
      </c>
      <c r="N377" s="111" t="s">
        <v>824</v>
      </c>
      <c r="O377" s="111" t="s">
        <v>106</v>
      </c>
      <c r="P377" s="111" t="s">
        <v>141</v>
      </c>
      <c r="Q377" s="110" t="s">
        <v>133</v>
      </c>
      <c r="R377" s="110" t="s">
        <v>142</v>
      </c>
      <c r="S377" s="111" t="s">
        <v>825</v>
      </c>
      <c r="T377" s="111" t="s">
        <v>111</v>
      </c>
      <c r="U377" s="111" t="s">
        <v>103</v>
      </c>
      <c r="V377" s="118">
        <f t="shared" si="17"/>
        <v>-6.1890598443511066E-3</v>
      </c>
      <c r="W377" s="114" t="str">
        <f>IFERROR(I377-AVERAGEIFS(I$6:I376,J$6:J376,"ICIS / Platts",B$6:B376,B377),"")</f>
        <v/>
      </c>
      <c r="X377" s="110" t="s">
        <v>125</v>
      </c>
      <c r="Y377" s="117" t="str">
        <f t="shared" si="16"/>
        <v>OK</v>
      </c>
      <c r="Z377" s="111" t="s">
        <v>116</v>
      </c>
      <c r="AA377" s="111" t="s">
        <v>116</v>
      </c>
      <c r="AB377" s="111" t="s">
        <v>116</v>
      </c>
      <c r="AC377" s="111" t="s">
        <v>116</v>
      </c>
      <c r="AD377" s="111"/>
    </row>
    <row r="378" spans="2:30" ht="24.75" customHeight="1" x14ac:dyDescent="0.25">
      <c r="B378" s="108">
        <v>45574</v>
      </c>
      <c r="C378" s="109" t="s">
        <v>126</v>
      </c>
      <c r="D378" s="109">
        <v>41</v>
      </c>
      <c r="E378" s="110" t="str">
        <f t="shared" si="15"/>
        <v>20241009-373</v>
      </c>
      <c r="F378" s="111" t="s">
        <v>98</v>
      </c>
      <c r="G378" s="111" t="s">
        <v>99</v>
      </c>
      <c r="H378" s="112" t="s">
        <v>1236</v>
      </c>
      <c r="I378" s="113">
        <v>1768</v>
      </c>
      <c r="J378" s="111" t="s">
        <v>101</v>
      </c>
      <c r="K378" s="111" t="s">
        <v>1237</v>
      </c>
      <c r="L378" s="111" t="s">
        <v>103</v>
      </c>
      <c r="M378" s="111" t="s">
        <v>104</v>
      </c>
      <c r="N378" s="111" t="s">
        <v>824</v>
      </c>
      <c r="O378" s="111" t="s">
        <v>106</v>
      </c>
      <c r="P378" s="111" t="s">
        <v>107</v>
      </c>
      <c r="Q378" s="110" t="s">
        <v>108</v>
      </c>
      <c r="R378" s="110" t="s">
        <v>109</v>
      </c>
      <c r="S378" s="111" t="s">
        <v>825</v>
      </c>
      <c r="T378" s="111" t="s">
        <v>111</v>
      </c>
      <c r="U378" s="111" t="s">
        <v>103</v>
      </c>
      <c r="V378" s="118">
        <f t="shared" si="17"/>
        <v>3.4052213393870601E-3</v>
      </c>
      <c r="W378" s="114" t="str">
        <f>IFERROR(I378-AVERAGEIFS(I$6:I377,J$6:J377,"ICIS / Platts",B$6:B377,B378),"")</f>
        <v/>
      </c>
      <c r="X378" s="110" t="s">
        <v>113</v>
      </c>
      <c r="Y378" s="117" t="str">
        <f t="shared" si="16"/>
        <v>OK</v>
      </c>
      <c r="Z378" s="111" t="s">
        <v>116</v>
      </c>
      <c r="AA378" s="111" t="s">
        <v>116</v>
      </c>
      <c r="AB378" s="111" t="s">
        <v>116</v>
      </c>
      <c r="AC378" s="111" t="s">
        <v>116</v>
      </c>
      <c r="AD378" s="111"/>
    </row>
    <row r="379" spans="2:30" ht="24.75" customHeight="1" x14ac:dyDescent="0.25">
      <c r="B379" s="115">
        <v>45574</v>
      </c>
      <c r="C379" s="116" t="s">
        <v>126</v>
      </c>
      <c r="D379" s="116">
        <v>41</v>
      </c>
      <c r="E379" s="110" t="str">
        <f t="shared" si="15"/>
        <v>20241009-374</v>
      </c>
      <c r="F379" s="111" t="s">
        <v>98</v>
      </c>
      <c r="G379" s="111" t="s">
        <v>99</v>
      </c>
      <c r="H379" s="112" t="s">
        <v>1236</v>
      </c>
      <c r="I379" s="113">
        <v>1770.31</v>
      </c>
      <c r="J379" s="111" t="s">
        <v>118</v>
      </c>
      <c r="K379" s="111" t="s">
        <v>1238</v>
      </c>
      <c r="L379" s="111" t="s">
        <v>103</v>
      </c>
      <c r="M379" s="111" t="s">
        <v>104</v>
      </c>
      <c r="N379" s="111" t="s">
        <v>827</v>
      </c>
      <c r="O379" s="111" t="s">
        <v>121</v>
      </c>
      <c r="P379" s="111" t="s">
        <v>132</v>
      </c>
      <c r="Q379" s="110" t="s">
        <v>123</v>
      </c>
      <c r="R379" s="110" t="s">
        <v>134</v>
      </c>
      <c r="S379" s="111" t="s">
        <v>825</v>
      </c>
      <c r="T379" s="111" t="s">
        <v>111</v>
      </c>
      <c r="U379" s="111" t="s">
        <v>103</v>
      </c>
      <c r="V379" s="118">
        <f t="shared" si="17"/>
        <v>-5.8571155811629229E-3</v>
      </c>
      <c r="W379" s="114">
        <f>IFERROR(I379-AVERAGEIFS(I$6:I378,J$6:J378,"ICIS / Platts",B$6:B378,B379),"")</f>
        <v>2.3099999999999454</v>
      </c>
      <c r="X379" s="110" t="s">
        <v>125</v>
      </c>
      <c r="Y379" s="117" t="str">
        <f t="shared" si="16"/>
        <v>OK</v>
      </c>
      <c r="Z379" s="111" t="s">
        <v>116</v>
      </c>
      <c r="AA379" s="111" t="s">
        <v>116</v>
      </c>
      <c r="AB379" s="111" t="s">
        <v>116</v>
      </c>
      <c r="AC379" s="111" t="s">
        <v>116</v>
      </c>
      <c r="AD379" s="111"/>
    </row>
    <row r="380" spans="2:30" ht="24.75" customHeight="1" x14ac:dyDescent="0.25">
      <c r="B380" s="108">
        <v>45579</v>
      </c>
      <c r="C380" s="109" t="s">
        <v>97</v>
      </c>
      <c r="D380" s="109">
        <v>42</v>
      </c>
      <c r="E380" s="110" t="str">
        <f t="shared" si="15"/>
        <v>20241014-375</v>
      </c>
      <c r="F380" s="111" t="s">
        <v>98</v>
      </c>
      <c r="G380" s="111" t="s">
        <v>99</v>
      </c>
      <c r="H380" s="112" t="s">
        <v>1236</v>
      </c>
      <c r="I380" s="113">
        <v>1771.41</v>
      </c>
      <c r="J380" s="111" t="s">
        <v>127</v>
      </c>
      <c r="K380" s="111" t="s">
        <v>948</v>
      </c>
      <c r="L380" s="111" t="s">
        <v>129</v>
      </c>
      <c r="M380" s="111" t="s">
        <v>104</v>
      </c>
      <c r="N380" s="111" t="s">
        <v>829</v>
      </c>
      <c r="O380" s="111" t="s">
        <v>131</v>
      </c>
      <c r="P380" s="111" t="s">
        <v>830</v>
      </c>
      <c r="Q380" s="110" t="s">
        <v>133</v>
      </c>
      <c r="R380" s="110" t="s">
        <v>831</v>
      </c>
      <c r="S380" s="111" t="s">
        <v>832</v>
      </c>
      <c r="T380" s="111" t="s">
        <v>136</v>
      </c>
      <c r="U380" s="111" t="s">
        <v>129</v>
      </c>
      <c r="V380" s="118">
        <f t="shared" si="17"/>
        <v>2.0191781610850449E-2</v>
      </c>
      <c r="W380" s="114" t="str">
        <f>IFERROR(I380-AVERAGEIFS(I$6:I379,J$6:J379,"ICIS / Platts",B$6:B379,B380),"")</f>
        <v/>
      </c>
      <c r="X380" s="110" t="s">
        <v>137</v>
      </c>
      <c r="Y380" s="117" t="str">
        <f t="shared" si="16"/>
        <v>OK</v>
      </c>
      <c r="Z380" s="111" t="s">
        <v>116</v>
      </c>
      <c r="AA380" s="111" t="s">
        <v>116</v>
      </c>
      <c r="AB380" s="111" t="s">
        <v>116</v>
      </c>
      <c r="AC380" s="111" t="s">
        <v>116</v>
      </c>
      <c r="AD380" s="111"/>
    </row>
    <row r="381" spans="2:30" ht="24.75" customHeight="1" x14ac:dyDescent="0.25">
      <c r="B381" s="115">
        <v>45581</v>
      </c>
      <c r="C381" s="116" t="s">
        <v>126</v>
      </c>
      <c r="D381" s="116">
        <v>42</v>
      </c>
      <c r="E381" s="110" t="str">
        <f t="shared" si="15"/>
        <v>20241016-376</v>
      </c>
      <c r="F381" s="111" t="s">
        <v>98</v>
      </c>
      <c r="G381" s="111" t="s">
        <v>99</v>
      </c>
      <c r="H381" s="112" t="s">
        <v>1236</v>
      </c>
      <c r="I381" s="113">
        <v>1771.61</v>
      </c>
      <c r="J381" s="111" t="s">
        <v>139</v>
      </c>
      <c r="K381" s="111" t="s">
        <v>833</v>
      </c>
      <c r="L381" s="111" t="s">
        <v>103</v>
      </c>
      <c r="M381" s="111" t="s">
        <v>104</v>
      </c>
      <c r="N381" s="111" t="s">
        <v>824</v>
      </c>
      <c r="O381" s="111" t="s">
        <v>106</v>
      </c>
      <c r="P381" s="111" t="s">
        <v>141</v>
      </c>
      <c r="Q381" s="110" t="s">
        <v>133</v>
      </c>
      <c r="R381" s="110" t="s">
        <v>142</v>
      </c>
      <c r="S381" s="111" t="s">
        <v>825</v>
      </c>
      <c r="T381" s="111" t="s">
        <v>111</v>
      </c>
      <c r="U381" s="111" t="s">
        <v>103</v>
      </c>
      <c r="V381" s="118">
        <f t="shared" si="17"/>
        <v>-3.3528918692372375E-3</v>
      </c>
      <c r="W381" s="114" t="str">
        <f>IFERROR(I381-AVERAGEIFS(I$6:I380,J$6:J380,"ICIS / Platts",B$6:B380,B381),"")</f>
        <v/>
      </c>
      <c r="X381" s="110" t="s">
        <v>125</v>
      </c>
      <c r="Y381" s="117" t="str">
        <f t="shared" si="16"/>
        <v>OK</v>
      </c>
      <c r="Z381" s="111" t="s">
        <v>116</v>
      </c>
      <c r="AA381" s="111" t="s">
        <v>116</v>
      </c>
      <c r="AB381" s="111" t="s">
        <v>116</v>
      </c>
      <c r="AC381" s="111" t="s">
        <v>116</v>
      </c>
      <c r="AD381" s="111"/>
    </row>
    <row r="382" spans="2:30" ht="24.75" customHeight="1" x14ac:dyDescent="0.25">
      <c r="B382" s="108">
        <v>45581</v>
      </c>
      <c r="C382" s="109" t="s">
        <v>126</v>
      </c>
      <c r="D382" s="109">
        <v>42</v>
      </c>
      <c r="E382" s="110" t="str">
        <f t="shared" si="15"/>
        <v>20241016-377</v>
      </c>
      <c r="F382" s="111" t="s">
        <v>98</v>
      </c>
      <c r="G382" s="111" t="s">
        <v>99</v>
      </c>
      <c r="H382" s="112" t="s">
        <v>1239</v>
      </c>
      <c r="I382" s="113">
        <v>1775</v>
      </c>
      <c r="J382" s="111" t="s">
        <v>101</v>
      </c>
      <c r="K382" s="111" t="s">
        <v>1240</v>
      </c>
      <c r="L382" s="111" t="s">
        <v>103</v>
      </c>
      <c r="M382" s="111" t="s">
        <v>104</v>
      </c>
      <c r="N382" s="111" t="s">
        <v>824</v>
      </c>
      <c r="O382" s="111" t="s">
        <v>106</v>
      </c>
      <c r="P382" s="111" t="s">
        <v>107</v>
      </c>
      <c r="Q382" s="110" t="s">
        <v>108</v>
      </c>
      <c r="R382" s="110" t="s">
        <v>109</v>
      </c>
      <c r="S382" s="111" t="s">
        <v>825</v>
      </c>
      <c r="T382" s="111" t="s">
        <v>111</v>
      </c>
      <c r="U382" s="111" t="s">
        <v>103</v>
      </c>
      <c r="V382" s="118">
        <f t="shared" si="17"/>
        <v>3.9592760180995473E-3</v>
      </c>
      <c r="W382" s="114" t="str">
        <f>IFERROR(I382-AVERAGEIFS(I$6:I381,J$6:J381,"ICIS / Platts",B$6:B381,B382),"")</f>
        <v/>
      </c>
      <c r="X382" s="110" t="s">
        <v>113</v>
      </c>
      <c r="Y382" s="117" t="str">
        <f t="shared" si="16"/>
        <v>OK</v>
      </c>
      <c r="Z382" s="111" t="s">
        <v>116</v>
      </c>
      <c r="AA382" s="111" t="s">
        <v>116</v>
      </c>
      <c r="AB382" s="111" t="s">
        <v>116</v>
      </c>
      <c r="AC382" s="111" t="s">
        <v>116</v>
      </c>
      <c r="AD382" s="111"/>
    </row>
    <row r="383" spans="2:30" ht="24.75" customHeight="1" x14ac:dyDescent="0.25">
      <c r="B383" s="115">
        <v>45581</v>
      </c>
      <c r="C383" s="116" t="s">
        <v>126</v>
      </c>
      <c r="D383" s="116">
        <v>42</v>
      </c>
      <c r="E383" s="110" t="str">
        <f t="shared" si="15"/>
        <v>20241016-378</v>
      </c>
      <c r="F383" s="111" t="s">
        <v>98</v>
      </c>
      <c r="G383" s="111" t="s">
        <v>99</v>
      </c>
      <c r="H383" s="112" t="s">
        <v>1239</v>
      </c>
      <c r="I383" s="113">
        <v>1773.37</v>
      </c>
      <c r="J383" s="111" t="s">
        <v>118</v>
      </c>
      <c r="K383" s="111" t="s">
        <v>1241</v>
      </c>
      <c r="L383" s="111" t="s">
        <v>103</v>
      </c>
      <c r="M383" s="111" t="s">
        <v>104</v>
      </c>
      <c r="N383" s="111" t="s">
        <v>827</v>
      </c>
      <c r="O383" s="111" t="s">
        <v>121</v>
      </c>
      <c r="P383" s="111" t="s">
        <v>132</v>
      </c>
      <c r="Q383" s="110" t="s">
        <v>123</v>
      </c>
      <c r="R383" s="110" t="s">
        <v>134</v>
      </c>
      <c r="S383" s="111" t="s">
        <v>825</v>
      </c>
      <c r="T383" s="111" t="s">
        <v>111</v>
      </c>
      <c r="U383" s="111" t="s">
        <v>103</v>
      </c>
      <c r="V383" s="118">
        <f t="shared" si="17"/>
        <v>1.7285108257875431E-3</v>
      </c>
      <c r="W383" s="114">
        <f>IFERROR(I383-AVERAGEIFS(I$6:I382,J$6:J382,"ICIS / Platts",B$6:B382,B383),"")</f>
        <v>-1.6300000000001091</v>
      </c>
      <c r="X383" s="110" t="s">
        <v>125</v>
      </c>
      <c r="Y383" s="117" t="str">
        <f t="shared" si="16"/>
        <v>OK</v>
      </c>
      <c r="Z383" s="111" t="s">
        <v>116</v>
      </c>
      <c r="AA383" s="111" t="s">
        <v>116</v>
      </c>
      <c r="AB383" s="111" t="s">
        <v>116</v>
      </c>
      <c r="AC383" s="111" t="s">
        <v>116</v>
      </c>
      <c r="AD383" s="111"/>
    </row>
    <row r="384" spans="2:30" ht="24.75" customHeight="1" x14ac:dyDescent="0.25">
      <c r="B384" s="108">
        <v>45586</v>
      </c>
      <c r="C384" s="109" t="s">
        <v>97</v>
      </c>
      <c r="D384" s="109">
        <v>43</v>
      </c>
      <c r="E384" s="110" t="str">
        <f t="shared" si="15"/>
        <v>20241021-379</v>
      </c>
      <c r="F384" s="111" t="s">
        <v>98</v>
      </c>
      <c r="G384" s="111" t="s">
        <v>99</v>
      </c>
      <c r="H384" s="112" t="s">
        <v>1239</v>
      </c>
      <c r="I384" s="113">
        <v>1815.64</v>
      </c>
      <c r="J384" s="111" t="s">
        <v>127</v>
      </c>
      <c r="K384" s="111" t="s">
        <v>1014</v>
      </c>
      <c r="L384" s="111" t="s">
        <v>129</v>
      </c>
      <c r="M384" s="111" t="s">
        <v>104</v>
      </c>
      <c r="N384" s="111" t="s">
        <v>829</v>
      </c>
      <c r="O384" s="111" t="s">
        <v>131</v>
      </c>
      <c r="P384" s="111" t="s">
        <v>830</v>
      </c>
      <c r="Q384" s="110" t="s">
        <v>133</v>
      </c>
      <c r="R384" s="110" t="s">
        <v>831</v>
      </c>
      <c r="S384" s="111" t="s">
        <v>832</v>
      </c>
      <c r="T384" s="111" t="s">
        <v>136</v>
      </c>
      <c r="U384" s="111" t="s">
        <v>129</v>
      </c>
      <c r="V384" s="118">
        <f t="shared" si="17"/>
        <v>2.4968810156880687E-2</v>
      </c>
      <c r="W384" s="114" t="str">
        <f>IFERROR(I384-AVERAGEIFS(I$6:I383,J$6:J383,"ICIS / Platts",B$6:B383,B384),"")</f>
        <v/>
      </c>
      <c r="X384" s="110" t="s">
        <v>137</v>
      </c>
      <c r="Y384" s="117" t="str">
        <f t="shared" si="16"/>
        <v>OK</v>
      </c>
      <c r="Z384" s="111" t="s">
        <v>116</v>
      </c>
      <c r="AA384" s="111" t="s">
        <v>116</v>
      </c>
      <c r="AB384" s="111" t="s">
        <v>116</v>
      </c>
      <c r="AC384" s="111" t="s">
        <v>116</v>
      </c>
      <c r="AD384" s="111"/>
    </row>
    <row r="385" spans="2:30" ht="24.75" customHeight="1" x14ac:dyDescent="0.25">
      <c r="B385" s="115">
        <v>45588</v>
      </c>
      <c r="C385" s="116" t="s">
        <v>126</v>
      </c>
      <c r="D385" s="116">
        <v>43</v>
      </c>
      <c r="E385" s="110" t="str">
        <f t="shared" si="15"/>
        <v>20241023-380</v>
      </c>
      <c r="F385" s="111" t="s">
        <v>98</v>
      </c>
      <c r="G385" s="111" t="s">
        <v>99</v>
      </c>
      <c r="H385" s="112" t="s">
        <v>1239</v>
      </c>
      <c r="I385" s="113">
        <v>1770.54</v>
      </c>
      <c r="J385" s="111" t="s">
        <v>139</v>
      </c>
      <c r="K385" s="111" t="s">
        <v>1242</v>
      </c>
      <c r="L385" s="111" t="s">
        <v>103</v>
      </c>
      <c r="M385" s="111" t="s">
        <v>104</v>
      </c>
      <c r="N385" s="111" t="s">
        <v>824</v>
      </c>
      <c r="O385" s="111" t="s">
        <v>106</v>
      </c>
      <c r="P385" s="111" t="s">
        <v>141</v>
      </c>
      <c r="Q385" s="110" t="s">
        <v>133</v>
      </c>
      <c r="R385" s="110" t="s">
        <v>142</v>
      </c>
      <c r="S385" s="111" t="s">
        <v>825</v>
      </c>
      <c r="T385" s="111" t="s">
        <v>111</v>
      </c>
      <c r="U385" s="111" t="s">
        <v>103</v>
      </c>
      <c r="V385" s="118">
        <f t="shared" si="17"/>
        <v>-6.0397039980579048E-4</v>
      </c>
      <c r="W385" s="114" t="str">
        <f>IFERROR(I385-AVERAGEIFS(I$6:I384,J$6:J384,"ICIS / Platts",B$6:B384,B385),"")</f>
        <v/>
      </c>
      <c r="X385" s="110" t="s">
        <v>125</v>
      </c>
      <c r="Y385" s="117" t="str">
        <f t="shared" si="16"/>
        <v>OK</v>
      </c>
      <c r="Z385" s="111" t="s">
        <v>116</v>
      </c>
      <c r="AA385" s="111" t="s">
        <v>116</v>
      </c>
      <c r="AB385" s="111" t="s">
        <v>116</v>
      </c>
      <c r="AC385" s="111" t="s">
        <v>116</v>
      </c>
      <c r="AD385" s="111"/>
    </row>
    <row r="386" spans="2:30" ht="24.75" customHeight="1" x14ac:dyDescent="0.25">
      <c r="B386" s="108">
        <v>45588</v>
      </c>
      <c r="C386" s="109" t="s">
        <v>126</v>
      </c>
      <c r="D386" s="109">
        <v>43</v>
      </c>
      <c r="E386" s="110" t="str">
        <f t="shared" si="15"/>
        <v>20241023-381</v>
      </c>
      <c r="F386" s="111" t="s">
        <v>98</v>
      </c>
      <c r="G386" s="111" t="s">
        <v>99</v>
      </c>
      <c r="H386" s="112" t="s">
        <v>1243</v>
      </c>
      <c r="I386" s="113">
        <v>1778</v>
      </c>
      <c r="J386" s="111" t="s">
        <v>101</v>
      </c>
      <c r="K386" s="111" t="s">
        <v>1244</v>
      </c>
      <c r="L386" s="111" t="s">
        <v>103</v>
      </c>
      <c r="M386" s="111" t="s">
        <v>104</v>
      </c>
      <c r="N386" s="111" t="s">
        <v>824</v>
      </c>
      <c r="O386" s="111" t="s">
        <v>106</v>
      </c>
      <c r="P386" s="111" t="s">
        <v>107</v>
      </c>
      <c r="Q386" s="110" t="s">
        <v>108</v>
      </c>
      <c r="R386" s="110" t="s">
        <v>109</v>
      </c>
      <c r="S386" s="111" t="s">
        <v>825</v>
      </c>
      <c r="T386" s="111" t="s">
        <v>111</v>
      </c>
      <c r="U386" s="111" t="s">
        <v>103</v>
      </c>
      <c r="V386" s="118">
        <f t="shared" si="17"/>
        <v>1.6901408450704226E-3</v>
      </c>
      <c r="W386" s="114" t="str">
        <f>IFERROR(I386-AVERAGEIFS(I$6:I385,J$6:J385,"ICIS / Platts",B$6:B385,B386),"")</f>
        <v/>
      </c>
      <c r="X386" s="110" t="s">
        <v>113</v>
      </c>
      <c r="Y386" s="117" t="str">
        <f t="shared" si="16"/>
        <v>OK</v>
      </c>
      <c r="Z386" s="111" t="s">
        <v>116</v>
      </c>
      <c r="AA386" s="111" t="s">
        <v>116</v>
      </c>
      <c r="AB386" s="111" t="s">
        <v>116</v>
      </c>
      <c r="AC386" s="111" t="s">
        <v>116</v>
      </c>
      <c r="AD386" s="111"/>
    </row>
    <row r="387" spans="2:30" ht="24.75" customHeight="1" x14ac:dyDescent="0.25">
      <c r="B387" s="115">
        <v>45588</v>
      </c>
      <c r="C387" s="116" t="s">
        <v>126</v>
      </c>
      <c r="D387" s="116">
        <v>43</v>
      </c>
      <c r="E387" s="110" t="str">
        <f t="shared" si="15"/>
        <v>20241023-382</v>
      </c>
      <c r="F387" s="111" t="s">
        <v>98</v>
      </c>
      <c r="G387" s="111" t="s">
        <v>99</v>
      </c>
      <c r="H387" s="112" t="s">
        <v>1243</v>
      </c>
      <c r="I387" s="113">
        <v>1774.08</v>
      </c>
      <c r="J387" s="111" t="s">
        <v>118</v>
      </c>
      <c r="K387" s="111" t="s">
        <v>1245</v>
      </c>
      <c r="L387" s="111" t="s">
        <v>103</v>
      </c>
      <c r="M387" s="111" t="s">
        <v>104</v>
      </c>
      <c r="N387" s="111" t="s">
        <v>827</v>
      </c>
      <c r="O387" s="111" t="s">
        <v>121</v>
      </c>
      <c r="P387" s="111" t="s">
        <v>132</v>
      </c>
      <c r="Q387" s="110" t="s">
        <v>123</v>
      </c>
      <c r="R387" s="110" t="s">
        <v>134</v>
      </c>
      <c r="S387" s="111" t="s">
        <v>825</v>
      </c>
      <c r="T387" s="111" t="s">
        <v>111</v>
      </c>
      <c r="U387" s="111" t="s">
        <v>103</v>
      </c>
      <c r="V387" s="118">
        <f t="shared" si="17"/>
        <v>4.0036766157092792E-4</v>
      </c>
      <c r="W387" s="114">
        <f>IFERROR(I387-AVERAGEIFS(I$6:I386,J$6:J386,"ICIS / Platts",B$6:B386,B387),"")</f>
        <v>-3.9200000000000728</v>
      </c>
      <c r="X387" s="110" t="s">
        <v>125</v>
      </c>
      <c r="Y387" s="117" t="str">
        <f t="shared" si="16"/>
        <v>OK</v>
      </c>
      <c r="Z387" s="111" t="s">
        <v>116</v>
      </c>
      <c r="AA387" s="111" t="s">
        <v>116</v>
      </c>
      <c r="AB387" s="111" t="s">
        <v>116</v>
      </c>
      <c r="AC387" s="111" t="s">
        <v>116</v>
      </c>
      <c r="AD387" s="111"/>
    </row>
    <row r="388" spans="2:30" ht="24.75" customHeight="1" x14ac:dyDescent="0.25">
      <c r="B388" s="108">
        <v>45593</v>
      </c>
      <c r="C388" s="109" t="s">
        <v>97</v>
      </c>
      <c r="D388" s="109">
        <v>44</v>
      </c>
      <c r="E388" s="110" t="str">
        <f t="shared" si="15"/>
        <v>20241028-383</v>
      </c>
      <c r="F388" s="111" t="s">
        <v>98</v>
      </c>
      <c r="G388" s="111" t="s">
        <v>99</v>
      </c>
      <c r="H388" s="112" t="s">
        <v>1243</v>
      </c>
      <c r="I388" s="113">
        <v>1776.18</v>
      </c>
      <c r="J388" s="111" t="s">
        <v>127</v>
      </c>
      <c r="K388" s="111" t="s">
        <v>1246</v>
      </c>
      <c r="L388" s="111" t="s">
        <v>129</v>
      </c>
      <c r="M388" s="111" t="s">
        <v>104</v>
      </c>
      <c r="N388" s="111" t="s">
        <v>829</v>
      </c>
      <c r="O388" s="111" t="s">
        <v>131</v>
      </c>
      <c r="P388" s="111" t="s">
        <v>830</v>
      </c>
      <c r="Q388" s="110" t="s">
        <v>133</v>
      </c>
      <c r="R388" s="110" t="s">
        <v>831</v>
      </c>
      <c r="S388" s="111" t="s">
        <v>832</v>
      </c>
      <c r="T388" s="111" t="s">
        <v>136</v>
      </c>
      <c r="U388" s="111" t="s">
        <v>129</v>
      </c>
      <c r="V388" s="118">
        <f t="shared" si="17"/>
        <v>-2.1733383269811214E-2</v>
      </c>
      <c r="W388" s="114" t="str">
        <f>IFERROR(I388-AVERAGEIFS(I$6:I387,J$6:J387,"ICIS / Platts",B$6:B387,B388),"")</f>
        <v/>
      </c>
      <c r="X388" s="110" t="s">
        <v>137</v>
      </c>
      <c r="Y388" s="117" t="str">
        <f t="shared" si="16"/>
        <v>OK</v>
      </c>
      <c r="Z388" s="111" t="s">
        <v>116</v>
      </c>
      <c r="AA388" s="111" t="s">
        <v>116</v>
      </c>
      <c r="AB388" s="111" t="s">
        <v>116</v>
      </c>
      <c r="AC388" s="111" t="s">
        <v>116</v>
      </c>
      <c r="AD388" s="111"/>
    </row>
    <row r="389" spans="2:30" ht="24.75" customHeight="1" x14ac:dyDescent="0.25">
      <c r="B389" s="115">
        <v>45595</v>
      </c>
      <c r="C389" s="116" t="s">
        <v>126</v>
      </c>
      <c r="D389" s="116">
        <v>44</v>
      </c>
      <c r="E389" s="110" t="str">
        <f t="shared" si="15"/>
        <v>20241030-384</v>
      </c>
      <c r="F389" s="111" t="s">
        <v>98</v>
      </c>
      <c r="G389" s="111" t="s">
        <v>99</v>
      </c>
      <c r="H389" s="112" t="s">
        <v>1243</v>
      </c>
      <c r="I389" s="113">
        <v>1773.07</v>
      </c>
      <c r="J389" s="111" t="s">
        <v>139</v>
      </c>
      <c r="K389" s="111" t="s">
        <v>949</v>
      </c>
      <c r="L389" s="111" t="s">
        <v>103</v>
      </c>
      <c r="M389" s="111" t="s">
        <v>104</v>
      </c>
      <c r="N389" s="111" t="s">
        <v>824</v>
      </c>
      <c r="O389" s="111" t="s">
        <v>106</v>
      </c>
      <c r="P389" s="111" t="s">
        <v>141</v>
      </c>
      <c r="Q389" s="110" t="s">
        <v>133</v>
      </c>
      <c r="R389" s="110" t="s">
        <v>142</v>
      </c>
      <c r="S389" s="111" t="s">
        <v>825</v>
      </c>
      <c r="T389" s="111" t="s">
        <v>111</v>
      </c>
      <c r="U389" s="111" t="s">
        <v>103</v>
      </c>
      <c r="V389" s="118">
        <f t="shared" si="17"/>
        <v>1.4289425824889428E-3</v>
      </c>
      <c r="W389" s="114" t="str">
        <f>IFERROR(I389-AVERAGEIFS(I$6:I388,J$6:J388,"ICIS / Platts",B$6:B388,B389),"")</f>
        <v/>
      </c>
      <c r="X389" s="110" t="s">
        <v>125</v>
      </c>
      <c r="Y389" s="117" t="str">
        <f t="shared" si="16"/>
        <v>OK</v>
      </c>
      <c r="Z389" s="111" t="s">
        <v>116</v>
      </c>
      <c r="AA389" s="111" t="s">
        <v>116</v>
      </c>
      <c r="AB389" s="111" t="s">
        <v>116</v>
      </c>
      <c r="AC389" s="111" t="s">
        <v>116</v>
      </c>
      <c r="AD389" s="111"/>
    </row>
    <row r="390" spans="2:30" ht="24.75" customHeight="1" x14ac:dyDescent="0.25">
      <c r="B390" s="108">
        <v>45595</v>
      </c>
      <c r="C390" s="109" t="s">
        <v>126</v>
      </c>
      <c r="D390" s="109">
        <v>44</v>
      </c>
      <c r="E390" s="110" t="str">
        <f t="shared" ref="E390:E425" si="18">TEXT(B390,"YYYYMMDD")&amp;"-"&amp;TEXT(ROW()-5,"000")</f>
        <v>20241030-385</v>
      </c>
      <c r="F390" s="111" t="s">
        <v>98</v>
      </c>
      <c r="G390" s="111" t="s">
        <v>99</v>
      </c>
      <c r="H390" s="112" t="s">
        <v>1247</v>
      </c>
      <c r="I390" s="113">
        <v>1772</v>
      </c>
      <c r="J390" s="111" t="s">
        <v>101</v>
      </c>
      <c r="K390" s="111" t="s">
        <v>1248</v>
      </c>
      <c r="L390" s="111" t="s">
        <v>103</v>
      </c>
      <c r="M390" s="111" t="s">
        <v>104</v>
      </c>
      <c r="N390" s="111" t="s">
        <v>824</v>
      </c>
      <c r="O390" s="111" t="s">
        <v>106</v>
      </c>
      <c r="P390" s="111" t="s">
        <v>107</v>
      </c>
      <c r="Q390" s="110" t="s">
        <v>108</v>
      </c>
      <c r="R390" s="110" t="s">
        <v>109</v>
      </c>
      <c r="S390" s="111" t="s">
        <v>825</v>
      </c>
      <c r="T390" s="111" t="s">
        <v>111</v>
      </c>
      <c r="U390" s="111" t="s">
        <v>103</v>
      </c>
      <c r="V390" s="118">
        <f t="shared" si="17"/>
        <v>-3.3745781777277839E-3</v>
      </c>
      <c r="W390" s="114" t="str">
        <f>IFERROR(I390-AVERAGEIFS(I$6:I389,J$6:J389,"ICIS / Platts",B$6:B389,B390),"")</f>
        <v/>
      </c>
      <c r="X390" s="110" t="s">
        <v>113</v>
      </c>
      <c r="Y390" s="117" t="str">
        <f t="shared" si="16"/>
        <v>OK</v>
      </c>
      <c r="Z390" s="111" t="s">
        <v>116</v>
      </c>
      <c r="AA390" s="111" t="s">
        <v>115</v>
      </c>
      <c r="AB390" s="111" t="s">
        <v>116</v>
      </c>
      <c r="AC390" s="111" t="s">
        <v>116</v>
      </c>
      <c r="AD390" s="111"/>
    </row>
    <row r="391" spans="2:30" ht="24.75" customHeight="1" x14ac:dyDescent="0.25">
      <c r="B391" s="115">
        <v>45595</v>
      </c>
      <c r="C391" s="116" t="s">
        <v>126</v>
      </c>
      <c r="D391" s="116">
        <v>44</v>
      </c>
      <c r="E391" s="110" t="str">
        <f t="shared" si="18"/>
        <v>20241030-386</v>
      </c>
      <c r="F391" s="111" t="s">
        <v>98</v>
      </c>
      <c r="G391" s="111" t="s">
        <v>99</v>
      </c>
      <c r="H391" s="112" t="s">
        <v>1247</v>
      </c>
      <c r="I391" s="113">
        <v>1756.66</v>
      </c>
      <c r="J391" s="111" t="s">
        <v>118</v>
      </c>
      <c r="K391" s="111" t="s">
        <v>1249</v>
      </c>
      <c r="L391" s="111" t="s">
        <v>103</v>
      </c>
      <c r="M391" s="111" t="s">
        <v>104</v>
      </c>
      <c r="N391" s="111" t="s">
        <v>827</v>
      </c>
      <c r="O391" s="111" t="s">
        <v>121</v>
      </c>
      <c r="P391" s="111" t="s">
        <v>132</v>
      </c>
      <c r="Q391" s="110" t="s">
        <v>123</v>
      </c>
      <c r="R391" s="110" t="s">
        <v>134</v>
      </c>
      <c r="S391" s="111" t="s">
        <v>825</v>
      </c>
      <c r="T391" s="111" t="s">
        <v>111</v>
      </c>
      <c r="U391" s="111" t="s">
        <v>103</v>
      </c>
      <c r="V391" s="118">
        <f t="shared" si="17"/>
        <v>-9.8191738816737952E-3</v>
      </c>
      <c r="W391" s="114">
        <f>IFERROR(I391-AVERAGEIFS(I$6:I390,J$6:J390,"ICIS / Platts",B$6:B390,B391),"")</f>
        <v>-15.339999999999918</v>
      </c>
      <c r="X391" s="110" t="s">
        <v>125</v>
      </c>
      <c r="Y391" s="117" t="str">
        <f t="shared" si="16"/>
        <v>OK</v>
      </c>
      <c r="Z391" s="111" t="s">
        <v>116</v>
      </c>
      <c r="AA391" s="111" t="s">
        <v>115</v>
      </c>
      <c r="AB391" s="111" t="s">
        <v>116</v>
      </c>
      <c r="AC391" s="111" t="s">
        <v>116</v>
      </c>
      <c r="AD391" s="111"/>
    </row>
    <row r="392" spans="2:30" ht="24.75" customHeight="1" x14ac:dyDescent="0.25">
      <c r="B392" s="108">
        <v>45600</v>
      </c>
      <c r="C392" s="109" t="s">
        <v>97</v>
      </c>
      <c r="D392" s="109">
        <v>45</v>
      </c>
      <c r="E392" s="110" t="str">
        <f t="shared" si="18"/>
        <v>20241104-387</v>
      </c>
      <c r="F392" s="111" t="s">
        <v>98</v>
      </c>
      <c r="G392" s="111" t="s">
        <v>99</v>
      </c>
      <c r="H392" s="112" t="s">
        <v>1247</v>
      </c>
      <c r="I392" s="113">
        <v>1812.4</v>
      </c>
      <c r="J392" s="111" t="s">
        <v>127</v>
      </c>
      <c r="K392" s="111" t="s">
        <v>1250</v>
      </c>
      <c r="L392" s="111" t="s">
        <v>129</v>
      </c>
      <c r="M392" s="111" t="s">
        <v>104</v>
      </c>
      <c r="N392" s="111" t="s">
        <v>829</v>
      </c>
      <c r="O392" s="111" t="s">
        <v>131</v>
      </c>
      <c r="P392" s="111" t="s">
        <v>830</v>
      </c>
      <c r="Q392" s="110" t="s">
        <v>133</v>
      </c>
      <c r="R392" s="110" t="s">
        <v>831</v>
      </c>
      <c r="S392" s="111" t="s">
        <v>832</v>
      </c>
      <c r="T392" s="111" t="s">
        <v>136</v>
      </c>
      <c r="U392" s="111" t="s">
        <v>129</v>
      </c>
      <c r="V392" s="118">
        <f t="shared" si="17"/>
        <v>2.039207737954488E-2</v>
      </c>
      <c r="W392" s="114" t="str">
        <f>IFERROR(I392-AVERAGEIFS(I$6:I391,J$6:J391,"ICIS / Platts",B$6:B391,B392),"")</f>
        <v/>
      </c>
      <c r="X392" s="110" t="s">
        <v>137</v>
      </c>
      <c r="Y392" s="117" t="str">
        <f t="shared" si="16"/>
        <v>OK</v>
      </c>
      <c r="Z392" s="111" t="s">
        <v>116</v>
      </c>
      <c r="AA392" s="111" t="s">
        <v>115</v>
      </c>
      <c r="AB392" s="111" t="s">
        <v>116</v>
      </c>
      <c r="AC392" s="111" t="s">
        <v>116</v>
      </c>
      <c r="AD392" s="111"/>
    </row>
    <row r="393" spans="2:30" ht="24.75" customHeight="1" x14ac:dyDescent="0.25">
      <c r="B393" s="115">
        <v>45602</v>
      </c>
      <c r="C393" s="116" t="s">
        <v>126</v>
      </c>
      <c r="D393" s="116">
        <v>45</v>
      </c>
      <c r="E393" s="110" t="str">
        <f t="shared" si="18"/>
        <v>20241106-388</v>
      </c>
      <c r="F393" s="111" t="s">
        <v>98</v>
      </c>
      <c r="G393" s="111" t="s">
        <v>99</v>
      </c>
      <c r="H393" s="112" t="s">
        <v>1247</v>
      </c>
      <c r="I393" s="113">
        <v>1758.39</v>
      </c>
      <c r="J393" s="111" t="s">
        <v>139</v>
      </c>
      <c r="K393" s="111" t="s">
        <v>1251</v>
      </c>
      <c r="L393" s="111" t="s">
        <v>103</v>
      </c>
      <c r="M393" s="111" t="s">
        <v>104</v>
      </c>
      <c r="N393" s="111" t="s">
        <v>824</v>
      </c>
      <c r="O393" s="111" t="s">
        <v>106</v>
      </c>
      <c r="P393" s="111" t="s">
        <v>141</v>
      </c>
      <c r="Q393" s="110" t="s">
        <v>133</v>
      </c>
      <c r="R393" s="110" t="s">
        <v>142</v>
      </c>
      <c r="S393" s="111" t="s">
        <v>825</v>
      </c>
      <c r="T393" s="111" t="s">
        <v>111</v>
      </c>
      <c r="U393" s="111" t="s">
        <v>103</v>
      </c>
      <c r="V393" s="118">
        <f t="shared" si="17"/>
        <v>-8.2794249522014571E-3</v>
      </c>
      <c r="W393" s="114" t="str">
        <f>IFERROR(I393-AVERAGEIFS(I$6:I392,J$6:J392,"ICIS / Platts",B$6:B392,B393),"")</f>
        <v/>
      </c>
      <c r="X393" s="110" t="s">
        <v>125</v>
      </c>
      <c r="Y393" s="117" t="str">
        <f t="shared" si="16"/>
        <v>OK</v>
      </c>
      <c r="Z393" s="111" t="s">
        <v>116</v>
      </c>
      <c r="AA393" s="111" t="s">
        <v>115</v>
      </c>
      <c r="AB393" s="111" t="s">
        <v>116</v>
      </c>
      <c r="AC393" s="111" t="s">
        <v>116</v>
      </c>
      <c r="AD393" s="111"/>
    </row>
    <row r="394" spans="2:30" ht="24.75" customHeight="1" x14ac:dyDescent="0.25">
      <c r="B394" s="108">
        <v>45602</v>
      </c>
      <c r="C394" s="109" t="s">
        <v>126</v>
      </c>
      <c r="D394" s="109">
        <v>45</v>
      </c>
      <c r="E394" s="110" t="str">
        <f t="shared" si="18"/>
        <v>20241106-389</v>
      </c>
      <c r="F394" s="111" t="s">
        <v>98</v>
      </c>
      <c r="G394" s="111" t="s">
        <v>99</v>
      </c>
      <c r="H394" s="112" t="s">
        <v>1252</v>
      </c>
      <c r="I394" s="113">
        <v>1768</v>
      </c>
      <c r="J394" s="111" t="s">
        <v>101</v>
      </c>
      <c r="K394" s="111" t="s">
        <v>1253</v>
      </c>
      <c r="L394" s="111" t="s">
        <v>103</v>
      </c>
      <c r="M394" s="111" t="s">
        <v>104</v>
      </c>
      <c r="N394" s="111" t="s">
        <v>824</v>
      </c>
      <c r="O394" s="111" t="s">
        <v>106</v>
      </c>
      <c r="P394" s="111" t="s">
        <v>107</v>
      </c>
      <c r="Q394" s="110" t="s">
        <v>108</v>
      </c>
      <c r="R394" s="110" t="s">
        <v>109</v>
      </c>
      <c r="S394" s="111" t="s">
        <v>825</v>
      </c>
      <c r="T394" s="111" t="s">
        <v>111</v>
      </c>
      <c r="U394" s="111" t="s">
        <v>103</v>
      </c>
      <c r="V394" s="118">
        <f t="shared" si="17"/>
        <v>-2.257336343115124E-3</v>
      </c>
      <c r="W394" s="114" t="str">
        <f>IFERROR(I394-AVERAGEIFS(I$6:I393,J$6:J393,"ICIS / Platts",B$6:B393,B394),"")</f>
        <v/>
      </c>
      <c r="X394" s="110" t="s">
        <v>113</v>
      </c>
      <c r="Y394" s="117" t="str">
        <f t="shared" si="16"/>
        <v>OK</v>
      </c>
      <c r="Z394" s="111" t="s">
        <v>116</v>
      </c>
      <c r="AA394" s="111" t="s">
        <v>115</v>
      </c>
      <c r="AB394" s="111" t="s">
        <v>116</v>
      </c>
      <c r="AC394" s="111" t="s">
        <v>115</v>
      </c>
      <c r="AD394" s="111"/>
    </row>
    <row r="395" spans="2:30" ht="24.75" customHeight="1" x14ac:dyDescent="0.25">
      <c r="B395" s="115">
        <v>45602</v>
      </c>
      <c r="C395" s="116" t="s">
        <v>126</v>
      </c>
      <c r="D395" s="116">
        <v>45</v>
      </c>
      <c r="E395" s="110" t="str">
        <f t="shared" si="18"/>
        <v>20241106-390</v>
      </c>
      <c r="F395" s="111" t="s">
        <v>98</v>
      </c>
      <c r="G395" s="111" t="s">
        <v>99</v>
      </c>
      <c r="H395" s="112" t="s">
        <v>1252</v>
      </c>
      <c r="I395" s="113">
        <v>1809.94</v>
      </c>
      <c r="J395" s="111" t="s">
        <v>118</v>
      </c>
      <c r="K395" s="111" t="s">
        <v>1254</v>
      </c>
      <c r="L395" s="111" t="s">
        <v>103</v>
      </c>
      <c r="M395" s="111" t="s">
        <v>104</v>
      </c>
      <c r="N395" s="111" t="s">
        <v>827</v>
      </c>
      <c r="O395" s="111" t="s">
        <v>121</v>
      </c>
      <c r="P395" s="111" t="s">
        <v>132</v>
      </c>
      <c r="Q395" s="110" t="s">
        <v>123</v>
      </c>
      <c r="R395" s="110" t="s">
        <v>134</v>
      </c>
      <c r="S395" s="111" t="s">
        <v>825</v>
      </c>
      <c r="T395" s="111" t="s">
        <v>111</v>
      </c>
      <c r="U395" s="111" t="s">
        <v>103</v>
      </c>
      <c r="V395" s="118">
        <f t="shared" si="17"/>
        <v>3.033028588343787E-2</v>
      </c>
      <c r="W395" s="114">
        <f>IFERROR(I395-AVERAGEIFS(I$6:I394,J$6:J394,"ICIS / Platts",B$6:B394,B395),"")</f>
        <v>41.940000000000055</v>
      </c>
      <c r="X395" s="110" t="s">
        <v>125</v>
      </c>
      <c r="Y395" s="117" t="str">
        <f t="shared" si="16"/>
        <v>OK</v>
      </c>
      <c r="Z395" s="111" t="s">
        <v>116</v>
      </c>
      <c r="AA395" s="111" t="s">
        <v>115</v>
      </c>
      <c r="AB395" s="111" t="s">
        <v>116</v>
      </c>
      <c r="AC395" s="111" t="s">
        <v>115</v>
      </c>
      <c r="AD395" s="111"/>
    </row>
    <row r="396" spans="2:30" ht="24.75" customHeight="1" x14ac:dyDescent="0.25">
      <c r="B396" s="108">
        <v>45607</v>
      </c>
      <c r="C396" s="109" t="s">
        <v>97</v>
      </c>
      <c r="D396" s="109">
        <v>46</v>
      </c>
      <c r="E396" s="110" t="str">
        <f t="shared" si="18"/>
        <v>20241111-391</v>
      </c>
      <c r="F396" s="111" t="s">
        <v>98</v>
      </c>
      <c r="G396" s="111" t="s">
        <v>99</v>
      </c>
      <c r="H396" s="112" t="s">
        <v>1252</v>
      </c>
      <c r="I396" s="113">
        <v>1782.58</v>
      </c>
      <c r="J396" s="111" t="s">
        <v>127</v>
      </c>
      <c r="K396" s="111" t="s">
        <v>1255</v>
      </c>
      <c r="L396" s="111" t="s">
        <v>129</v>
      </c>
      <c r="M396" s="111" t="s">
        <v>104</v>
      </c>
      <c r="N396" s="111" t="s">
        <v>829</v>
      </c>
      <c r="O396" s="111" t="s">
        <v>131</v>
      </c>
      <c r="P396" s="111" t="s">
        <v>830</v>
      </c>
      <c r="Q396" s="110" t="s">
        <v>133</v>
      </c>
      <c r="R396" s="110" t="s">
        <v>831</v>
      </c>
      <c r="S396" s="111" t="s">
        <v>832</v>
      </c>
      <c r="T396" s="111" t="s">
        <v>136</v>
      </c>
      <c r="U396" s="111" t="s">
        <v>129</v>
      </c>
      <c r="V396" s="118">
        <f t="shared" si="17"/>
        <v>-1.6453321562569057E-2</v>
      </c>
      <c r="W396" s="114" t="str">
        <f>IFERROR(I396-AVERAGEIFS(I$6:I395,J$6:J395,"ICIS / Platts",B$6:B395,B396),"")</f>
        <v/>
      </c>
      <c r="X396" s="110" t="s">
        <v>137</v>
      </c>
      <c r="Y396" s="117" t="str">
        <f t="shared" si="16"/>
        <v>OK</v>
      </c>
      <c r="Z396" s="111" t="s">
        <v>116</v>
      </c>
      <c r="AA396" s="111" t="s">
        <v>115</v>
      </c>
      <c r="AB396" s="111" t="s">
        <v>116</v>
      </c>
      <c r="AC396" s="111" t="s">
        <v>115</v>
      </c>
      <c r="AD396" s="111"/>
    </row>
    <row r="397" spans="2:30" ht="24.75" customHeight="1" x14ac:dyDescent="0.25">
      <c r="B397" s="115">
        <v>45609</v>
      </c>
      <c r="C397" s="116" t="s">
        <v>126</v>
      </c>
      <c r="D397" s="116">
        <v>46</v>
      </c>
      <c r="E397" s="110" t="str">
        <f t="shared" si="18"/>
        <v>20241113-392</v>
      </c>
      <c r="F397" s="111" t="s">
        <v>98</v>
      </c>
      <c r="G397" s="111" t="s">
        <v>99</v>
      </c>
      <c r="H397" s="112" t="s">
        <v>1252</v>
      </c>
      <c r="I397" s="113">
        <v>1778.55</v>
      </c>
      <c r="J397" s="111" t="s">
        <v>139</v>
      </c>
      <c r="K397" s="111" t="s">
        <v>1256</v>
      </c>
      <c r="L397" s="111" t="s">
        <v>103</v>
      </c>
      <c r="M397" s="111" t="s">
        <v>104</v>
      </c>
      <c r="N397" s="111" t="s">
        <v>824</v>
      </c>
      <c r="O397" s="111" t="s">
        <v>106</v>
      </c>
      <c r="P397" s="111" t="s">
        <v>141</v>
      </c>
      <c r="Q397" s="110" t="s">
        <v>133</v>
      </c>
      <c r="R397" s="110" t="s">
        <v>142</v>
      </c>
      <c r="S397" s="111" t="s">
        <v>825</v>
      </c>
      <c r="T397" s="111" t="s">
        <v>111</v>
      </c>
      <c r="U397" s="111" t="s">
        <v>103</v>
      </c>
      <c r="V397" s="118">
        <f t="shared" si="17"/>
        <v>1.1465033354375227E-2</v>
      </c>
      <c r="W397" s="114" t="str">
        <f>IFERROR(I397-AVERAGEIFS(I$6:I396,J$6:J396,"ICIS / Platts",B$6:B396,B397),"")</f>
        <v/>
      </c>
      <c r="X397" s="110" t="s">
        <v>125</v>
      </c>
      <c r="Y397" s="117" t="str">
        <f t="shared" si="16"/>
        <v>OK</v>
      </c>
      <c r="Z397" s="111" t="s">
        <v>116</v>
      </c>
      <c r="AA397" s="111" t="s">
        <v>115</v>
      </c>
      <c r="AB397" s="111" t="s">
        <v>116</v>
      </c>
      <c r="AC397" s="111" t="s">
        <v>115</v>
      </c>
      <c r="AD397" s="111"/>
    </row>
    <row r="398" spans="2:30" ht="24.75" customHeight="1" x14ac:dyDescent="0.25">
      <c r="B398" s="108">
        <v>45609</v>
      </c>
      <c r="C398" s="109" t="s">
        <v>126</v>
      </c>
      <c r="D398" s="109">
        <v>46</v>
      </c>
      <c r="E398" s="110" t="str">
        <f t="shared" si="18"/>
        <v>20241113-393</v>
      </c>
      <c r="F398" s="111" t="s">
        <v>98</v>
      </c>
      <c r="G398" s="111" t="s">
        <v>99</v>
      </c>
      <c r="H398" s="112" t="s">
        <v>1257</v>
      </c>
      <c r="I398" s="113">
        <v>1772</v>
      </c>
      <c r="J398" s="111" t="s">
        <v>101</v>
      </c>
      <c r="K398" s="111" t="s">
        <v>1258</v>
      </c>
      <c r="L398" s="111" t="s">
        <v>103</v>
      </c>
      <c r="M398" s="111" t="s">
        <v>104</v>
      </c>
      <c r="N398" s="111" t="s">
        <v>824</v>
      </c>
      <c r="O398" s="111" t="s">
        <v>106</v>
      </c>
      <c r="P398" s="111" t="s">
        <v>107</v>
      </c>
      <c r="Q398" s="110" t="s">
        <v>108</v>
      </c>
      <c r="R398" s="110" t="s">
        <v>109</v>
      </c>
      <c r="S398" s="111" t="s">
        <v>825</v>
      </c>
      <c r="T398" s="111" t="s">
        <v>111</v>
      </c>
      <c r="U398" s="111" t="s">
        <v>103</v>
      </c>
      <c r="V398" s="118">
        <f t="shared" si="17"/>
        <v>2.2624434389140274E-3</v>
      </c>
      <c r="W398" s="114" t="str">
        <f>IFERROR(I398-AVERAGEIFS(I$6:I397,J$6:J397,"ICIS / Platts",B$6:B397,B398),"")</f>
        <v/>
      </c>
      <c r="X398" s="110" t="s">
        <v>113</v>
      </c>
      <c r="Y398" s="117" t="str">
        <f t="shared" si="16"/>
        <v>OK</v>
      </c>
      <c r="Z398" s="111" t="s">
        <v>116</v>
      </c>
      <c r="AA398" s="111" t="s">
        <v>115</v>
      </c>
      <c r="AB398" s="111" t="s">
        <v>116</v>
      </c>
      <c r="AC398" s="111" t="s">
        <v>116</v>
      </c>
      <c r="AD398" s="111"/>
    </row>
    <row r="399" spans="2:30" ht="24.75" customHeight="1" x14ac:dyDescent="0.25">
      <c r="B399" s="115">
        <v>45609</v>
      </c>
      <c r="C399" s="116" t="s">
        <v>126</v>
      </c>
      <c r="D399" s="116">
        <v>46</v>
      </c>
      <c r="E399" s="110" t="str">
        <f t="shared" si="18"/>
        <v>20241113-394</v>
      </c>
      <c r="F399" s="111" t="s">
        <v>98</v>
      </c>
      <c r="G399" s="111" t="s">
        <v>99</v>
      </c>
      <c r="H399" s="112" t="s">
        <v>1257</v>
      </c>
      <c r="I399" s="113">
        <v>1805.13</v>
      </c>
      <c r="J399" s="111" t="s">
        <v>118</v>
      </c>
      <c r="K399" s="111" t="s">
        <v>1259</v>
      </c>
      <c r="L399" s="111" t="s">
        <v>103</v>
      </c>
      <c r="M399" s="111" t="s">
        <v>104</v>
      </c>
      <c r="N399" s="111" t="s">
        <v>827</v>
      </c>
      <c r="O399" s="111" t="s">
        <v>121</v>
      </c>
      <c r="P399" s="111" t="s">
        <v>132</v>
      </c>
      <c r="Q399" s="110" t="s">
        <v>123</v>
      </c>
      <c r="R399" s="110" t="s">
        <v>134</v>
      </c>
      <c r="S399" s="111" t="s">
        <v>825</v>
      </c>
      <c r="T399" s="111" t="s">
        <v>111</v>
      </c>
      <c r="U399" s="111" t="s">
        <v>103</v>
      </c>
      <c r="V399" s="118">
        <f t="shared" si="17"/>
        <v>-2.6575466590052408E-3</v>
      </c>
      <c r="W399" s="114">
        <f>IFERROR(I399-AVERAGEIFS(I$6:I398,J$6:J398,"ICIS / Platts",B$6:B398,B399),"")</f>
        <v>33.130000000000109</v>
      </c>
      <c r="X399" s="110" t="s">
        <v>125</v>
      </c>
      <c r="Y399" s="117" t="str">
        <f t="shared" si="16"/>
        <v>OK</v>
      </c>
      <c r="Z399" s="111" t="s">
        <v>116</v>
      </c>
      <c r="AA399" s="111" t="s">
        <v>115</v>
      </c>
      <c r="AB399" s="111" t="s">
        <v>116</v>
      </c>
      <c r="AC399" s="111" t="s">
        <v>116</v>
      </c>
      <c r="AD399" s="111"/>
    </row>
    <row r="400" spans="2:30" ht="24.75" customHeight="1" x14ac:dyDescent="0.25">
      <c r="B400" s="108">
        <v>45614</v>
      </c>
      <c r="C400" s="109" t="s">
        <v>97</v>
      </c>
      <c r="D400" s="109">
        <v>47</v>
      </c>
      <c r="E400" s="110" t="str">
        <f t="shared" si="18"/>
        <v>20241118-395</v>
      </c>
      <c r="F400" s="111" t="s">
        <v>98</v>
      </c>
      <c r="G400" s="111" t="s">
        <v>99</v>
      </c>
      <c r="H400" s="112" t="s">
        <v>1257</v>
      </c>
      <c r="I400" s="113">
        <v>1760.68</v>
      </c>
      <c r="J400" s="111" t="s">
        <v>127</v>
      </c>
      <c r="K400" s="111" t="s">
        <v>1260</v>
      </c>
      <c r="L400" s="111" t="s">
        <v>129</v>
      </c>
      <c r="M400" s="111" t="s">
        <v>104</v>
      </c>
      <c r="N400" s="111" t="s">
        <v>829</v>
      </c>
      <c r="O400" s="111" t="s">
        <v>131</v>
      </c>
      <c r="P400" s="111" t="s">
        <v>830</v>
      </c>
      <c r="Q400" s="110" t="s">
        <v>133</v>
      </c>
      <c r="R400" s="110" t="s">
        <v>831</v>
      </c>
      <c r="S400" s="111" t="s">
        <v>832</v>
      </c>
      <c r="T400" s="111" t="s">
        <v>136</v>
      </c>
      <c r="U400" s="111" t="s">
        <v>129</v>
      </c>
      <c r="V400" s="118">
        <f t="shared" si="17"/>
        <v>-1.2285563621267974E-2</v>
      </c>
      <c r="W400" s="114" t="str">
        <f>IFERROR(I400-AVERAGEIFS(I$6:I399,J$6:J399,"ICIS / Platts",B$6:B399,B400),"")</f>
        <v/>
      </c>
      <c r="X400" s="110" t="s">
        <v>137</v>
      </c>
      <c r="Y400" s="117" t="str">
        <f t="shared" si="16"/>
        <v>OK</v>
      </c>
      <c r="Z400" s="111" t="s">
        <v>116</v>
      </c>
      <c r="AA400" s="111" t="s">
        <v>115</v>
      </c>
      <c r="AB400" s="111" t="s">
        <v>116</v>
      </c>
      <c r="AC400" s="111" t="s">
        <v>116</v>
      </c>
      <c r="AD400" s="111"/>
    </row>
    <row r="401" spans="2:30" ht="24.75" customHeight="1" x14ac:dyDescent="0.25">
      <c r="B401" s="115">
        <v>45616</v>
      </c>
      <c r="C401" s="116" t="s">
        <v>126</v>
      </c>
      <c r="D401" s="116">
        <v>47</v>
      </c>
      <c r="E401" s="110" t="str">
        <f t="shared" si="18"/>
        <v>20241120-396</v>
      </c>
      <c r="F401" s="111" t="s">
        <v>98</v>
      </c>
      <c r="G401" s="111" t="s">
        <v>99</v>
      </c>
      <c r="H401" s="112" t="s">
        <v>1257</v>
      </c>
      <c r="I401" s="113">
        <v>1773.17</v>
      </c>
      <c r="J401" s="111" t="s">
        <v>139</v>
      </c>
      <c r="K401" s="111" t="s">
        <v>1261</v>
      </c>
      <c r="L401" s="111" t="s">
        <v>103</v>
      </c>
      <c r="M401" s="111" t="s">
        <v>104</v>
      </c>
      <c r="N401" s="111" t="s">
        <v>824</v>
      </c>
      <c r="O401" s="111" t="s">
        <v>106</v>
      </c>
      <c r="P401" s="111" t="s">
        <v>141</v>
      </c>
      <c r="Q401" s="110" t="s">
        <v>133</v>
      </c>
      <c r="R401" s="110" t="s">
        <v>142</v>
      </c>
      <c r="S401" s="111" t="s">
        <v>825</v>
      </c>
      <c r="T401" s="111" t="s">
        <v>111</v>
      </c>
      <c r="U401" s="111" t="s">
        <v>103</v>
      </c>
      <c r="V401" s="118">
        <f t="shared" si="17"/>
        <v>-3.0249360434060788E-3</v>
      </c>
      <c r="W401" s="114" t="str">
        <f>IFERROR(I401-AVERAGEIFS(I$6:I400,J$6:J400,"ICIS / Platts",B$6:B400,B401),"")</f>
        <v/>
      </c>
      <c r="X401" s="110" t="s">
        <v>125</v>
      </c>
      <c r="Y401" s="117" t="str">
        <f t="shared" si="16"/>
        <v>OK</v>
      </c>
      <c r="Z401" s="111" t="s">
        <v>116</v>
      </c>
      <c r="AA401" s="111" t="s">
        <v>115</v>
      </c>
      <c r="AB401" s="111" t="s">
        <v>116</v>
      </c>
      <c r="AC401" s="111" t="s">
        <v>116</v>
      </c>
      <c r="AD401" s="111"/>
    </row>
    <row r="402" spans="2:30" ht="24.75" customHeight="1" x14ac:dyDescent="0.25">
      <c r="B402" s="108">
        <v>45616</v>
      </c>
      <c r="C402" s="109" t="s">
        <v>126</v>
      </c>
      <c r="D402" s="109">
        <v>47</v>
      </c>
      <c r="E402" s="110" t="str">
        <f t="shared" si="18"/>
        <v>20241120-397</v>
      </c>
      <c r="F402" s="111" t="s">
        <v>98</v>
      </c>
      <c r="G402" s="111" t="s">
        <v>99</v>
      </c>
      <c r="H402" s="112" t="s">
        <v>1262</v>
      </c>
      <c r="I402" s="113">
        <v>1778</v>
      </c>
      <c r="J402" s="111" t="s">
        <v>101</v>
      </c>
      <c r="K402" s="111" t="s">
        <v>1263</v>
      </c>
      <c r="L402" s="111" t="s">
        <v>103</v>
      </c>
      <c r="M402" s="111" t="s">
        <v>104</v>
      </c>
      <c r="N402" s="111" t="s">
        <v>824</v>
      </c>
      <c r="O402" s="111" t="s">
        <v>106</v>
      </c>
      <c r="P402" s="111" t="s">
        <v>107</v>
      </c>
      <c r="Q402" s="110" t="s">
        <v>108</v>
      </c>
      <c r="R402" s="110" t="s">
        <v>109</v>
      </c>
      <c r="S402" s="111" t="s">
        <v>825</v>
      </c>
      <c r="T402" s="111" t="s">
        <v>111</v>
      </c>
      <c r="U402" s="111" t="s">
        <v>103</v>
      </c>
      <c r="V402" s="118">
        <f t="shared" si="17"/>
        <v>3.3860045146726862E-3</v>
      </c>
      <c r="W402" s="114" t="str">
        <f>IFERROR(I402-AVERAGEIFS(I$6:I401,J$6:J401,"ICIS / Platts",B$6:B401,B402),"")</f>
        <v/>
      </c>
      <c r="X402" s="110" t="s">
        <v>113</v>
      </c>
      <c r="Y402" s="117" t="str">
        <f t="shared" si="16"/>
        <v>OK</v>
      </c>
      <c r="Z402" s="111" t="s">
        <v>116</v>
      </c>
      <c r="AA402" s="111" t="s">
        <v>115</v>
      </c>
      <c r="AB402" s="111" t="s">
        <v>116</v>
      </c>
      <c r="AC402" s="111" t="s">
        <v>116</v>
      </c>
      <c r="AD402" s="111"/>
    </row>
    <row r="403" spans="2:30" ht="24.75" customHeight="1" x14ac:dyDescent="0.25">
      <c r="B403" s="115">
        <v>45616</v>
      </c>
      <c r="C403" s="116" t="s">
        <v>126</v>
      </c>
      <c r="D403" s="116">
        <v>47</v>
      </c>
      <c r="E403" s="110" t="str">
        <f t="shared" si="18"/>
        <v>20241120-398</v>
      </c>
      <c r="F403" s="111" t="s">
        <v>98</v>
      </c>
      <c r="G403" s="111" t="s">
        <v>99</v>
      </c>
      <c r="H403" s="112" t="s">
        <v>1262</v>
      </c>
      <c r="I403" s="113">
        <v>1813.02</v>
      </c>
      <c r="J403" s="111" t="s">
        <v>118</v>
      </c>
      <c r="K403" s="111" t="s">
        <v>1264</v>
      </c>
      <c r="L403" s="111" t="s">
        <v>103</v>
      </c>
      <c r="M403" s="111" t="s">
        <v>104</v>
      </c>
      <c r="N403" s="111" t="s">
        <v>827</v>
      </c>
      <c r="O403" s="111" t="s">
        <v>121</v>
      </c>
      <c r="P403" s="111" t="s">
        <v>132</v>
      </c>
      <c r="Q403" s="110" t="s">
        <v>123</v>
      </c>
      <c r="R403" s="110" t="s">
        <v>134</v>
      </c>
      <c r="S403" s="111" t="s">
        <v>825</v>
      </c>
      <c r="T403" s="111" t="s">
        <v>111</v>
      </c>
      <c r="U403" s="111" t="s">
        <v>103</v>
      </c>
      <c r="V403" s="118">
        <f t="shared" si="17"/>
        <v>4.3708763357763001E-3</v>
      </c>
      <c r="W403" s="114">
        <f>IFERROR(I403-AVERAGEIFS(I$6:I402,J$6:J402,"ICIS / Platts",B$6:B402,B403),"")</f>
        <v>35.019999999999982</v>
      </c>
      <c r="X403" s="110" t="s">
        <v>125</v>
      </c>
      <c r="Y403" s="117" t="str">
        <f t="shared" si="16"/>
        <v>OK</v>
      </c>
      <c r="Z403" s="111" t="s">
        <v>116</v>
      </c>
      <c r="AA403" s="111" t="s">
        <v>115</v>
      </c>
      <c r="AB403" s="111" t="s">
        <v>116</v>
      </c>
      <c r="AC403" s="111" t="s">
        <v>116</v>
      </c>
      <c r="AD403" s="111"/>
    </row>
    <row r="404" spans="2:30" ht="24.75" customHeight="1" x14ac:dyDescent="0.25">
      <c r="B404" s="108">
        <v>45621</v>
      </c>
      <c r="C404" s="109" t="s">
        <v>97</v>
      </c>
      <c r="D404" s="109">
        <v>48</v>
      </c>
      <c r="E404" s="110" t="str">
        <f t="shared" si="18"/>
        <v>20241125-399</v>
      </c>
      <c r="F404" s="111" t="s">
        <v>98</v>
      </c>
      <c r="G404" s="111" t="s">
        <v>99</v>
      </c>
      <c r="H404" s="112" t="s">
        <v>1262</v>
      </c>
      <c r="I404" s="113">
        <v>1767.13</v>
      </c>
      <c r="J404" s="111" t="s">
        <v>127</v>
      </c>
      <c r="K404" s="111" t="s">
        <v>1265</v>
      </c>
      <c r="L404" s="111" t="s">
        <v>129</v>
      </c>
      <c r="M404" s="111" t="s">
        <v>104</v>
      </c>
      <c r="N404" s="111" t="s">
        <v>829</v>
      </c>
      <c r="O404" s="111" t="s">
        <v>131</v>
      </c>
      <c r="P404" s="111" t="s">
        <v>830</v>
      </c>
      <c r="Q404" s="110" t="s">
        <v>133</v>
      </c>
      <c r="R404" s="110" t="s">
        <v>831</v>
      </c>
      <c r="S404" s="111" t="s">
        <v>832</v>
      </c>
      <c r="T404" s="111" t="s">
        <v>136</v>
      </c>
      <c r="U404" s="111" t="s">
        <v>129</v>
      </c>
      <c r="V404" s="118">
        <f t="shared" si="17"/>
        <v>3.6633573392098762E-3</v>
      </c>
      <c r="W404" s="114" t="str">
        <f>IFERROR(I404-AVERAGEIFS(I$6:I403,J$6:J403,"ICIS / Platts",B$6:B403,B404),"")</f>
        <v/>
      </c>
      <c r="X404" s="110" t="s">
        <v>137</v>
      </c>
      <c r="Y404" s="117" t="str">
        <f t="shared" si="16"/>
        <v>OK</v>
      </c>
      <c r="Z404" s="111" t="s">
        <v>116</v>
      </c>
      <c r="AA404" s="111" t="s">
        <v>115</v>
      </c>
      <c r="AB404" s="111" t="s">
        <v>116</v>
      </c>
      <c r="AC404" s="111" t="s">
        <v>116</v>
      </c>
      <c r="AD404" s="111"/>
    </row>
    <row r="405" spans="2:30" ht="24.75" customHeight="1" x14ac:dyDescent="0.25">
      <c r="B405" s="115">
        <v>45623</v>
      </c>
      <c r="C405" s="116" t="s">
        <v>126</v>
      </c>
      <c r="D405" s="116">
        <v>48</v>
      </c>
      <c r="E405" s="110" t="str">
        <f t="shared" si="18"/>
        <v>20241127-400</v>
      </c>
      <c r="F405" s="111" t="s">
        <v>98</v>
      </c>
      <c r="G405" s="111" t="s">
        <v>99</v>
      </c>
      <c r="H405" s="112" t="s">
        <v>1262</v>
      </c>
      <c r="I405" s="113">
        <v>1791.84</v>
      </c>
      <c r="J405" s="111" t="s">
        <v>139</v>
      </c>
      <c r="K405" s="111" t="s">
        <v>1266</v>
      </c>
      <c r="L405" s="111" t="s">
        <v>103</v>
      </c>
      <c r="M405" s="111" t="s">
        <v>104</v>
      </c>
      <c r="N405" s="111" t="s">
        <v>824</v>
      </c>
      <c r="O405" s="111" t="s">
        <v>106</v>
      </c>
      <c r="P405" s="111" t="s">
        <v>141</v>
      </c>
      <c r="Q405" s="110" t="s">
        <v>133</v>
      </c>
      <c r="R405" s="110" t="s">
        <v>142</v>
      </c>
      <c r="S405" s="111" t="s">
        <v>825</v>
      </c>
      <c r="T405" s="111" t="s">
        <v>111</v>
      </c>
      <c r="U405" s="111" t="s">
        <v>103</v>
      </c>
      <c r="V405" s="118">
        <f t="shared" si="17"/>
        <v>1.0529165280260688E-2</v>
      </c>
      <c r="W405" s="114" t="str">
        <f>IFERROR(I405-AVERAGEIFS(I$6:I404,J$6:J404,"ICIS / Platts",B$6:B404,B405),"")</f>
        <v/>
      </c>
      <c r="X405" s="110" t="s">
        <v>125</v>
      </c>
      <c r="Y405" s="117" t="str">
        <f t="shared" ref="Y405:Y468" si="19">IFERROR(IF(ABS(I405-AVERAGE(I397:I404))/AVERAGE(I397:I404)&gt;0.1,"⚠ CHECK","OK"),"OK")</f>
        <v>OK</v>
      </c>
      <c r="Z405" s="111" t="s">
        <v>116</v>
      </c>
      <c r="AA405" s="111" t="s">
        <v>115</v>
      </c>
      <c r="AB405" s="111" t="s">
        <v>116</v>
      </c>
      <c r="AC405" s="111" t="s">
        <v>116</v>
      </c>
      <c r="AD405" s="111"/>
    </row>
    <row r="406" spans="2:30" ht="24.75" customHeight="1" x14ac:dyDescent="0.25">
      <c r="B406" s="108">
        <v>45623</v>
      </c>
      <c r="C406" s="109" t="s">
        <v>126</v>
      </c>
      <c r="D406" s="109">
        <v>48</v>
      </c>
      <c r="E406" s="110" t="str">
        <f t="shared" si="18"/>
        <v>20241127-401</v>
      </c>
      <c r="F406" s="111" t="s">
        <v>98</v>
      </c>
      <c r="G406" s="111" t="s">
        <v>99</v>
      </c>
      <c r="H406" s="112" t="s">
        <v>1267</v>
      </c>
      <c r="I406" s="113">
        <v>1782</v>
      </c>
      <c r="J406" s="111" t="s">
        <v>101</v>
      </c>
      <c r="K406" s="111" t="s">
        <v>1268</v>
      </c>
      <c r="L406" s="111" t="s">
        <v>103</v>
      </c>
      <c r="M406" s="111" t="s">
        <v>104</v>
      </c>
      <c r="N406" s="111" t="s">
        <v>824</v>
      </c>
      <c r="O406" s="111" t="s">
        <v>106</v>
      </c>
      <c r="P406" s="111" t="s">
        <v>107</v>
      </c>
      <c r="Q406" s="110" t="s">
        <v>108</v>
      </c>
      <c r="R406" s="110" t="s">
        <v>109</v>
      </c>
      <c r="S406" s="111" t="s">
        <v>825</v>
      </c>
      <c r="T406" s="111" t="s">
        <v>111</v>
      </c>
      <c r="U406" s="111" t="s">
        <v>103</v>
      </c>
      <c r="V406" s="118">
        <f t="shared" si="17"/>
        <v>2.2497187851518562E-3</v>
      </c>
      <c r="W406" s="114" t="str">
        <f>IFERROR(I406-AVERAGEIFS(I$6:I405,J$6:J405,"ICIS / Platts",B$6:B405,B406),"")</f>
        <v/>
      </c>
      <c r="X406" s="110" t="s">
        <v>113</v>
      </c>
      <c r="Y406" s="117" t="str">
        <f t="shared" si="19"/>
        <v>OK</v>
      </c>
      <c r="Z406" s="111" t="s">
        <v>116</v>
      </c>
      <c r="AA406" s="111" t="s">
        <v>115</v>
      </c>
      <c r="AB406" s="111" t="s">
        <v>116</v>
      </c>
      <c r="AC406" s="111" t="s">
        <v>116</v>
      </c>
      <c r="AD406" s="111"/>
    </row>
    <row r="407" spans="2:30" ht="24.75" customHeight="1" x14ac:dyDescent="0.25">
      <c r="B407" s="115">
        <v>45623</v>
      </c>
      <c r="C407" s="116" t="s">
        <v>126</v>
      </c>
      <c r="D407" s="116">
        <v>48</v>
      </c>
      <c r="E407" s="110" t="str">
        <f t="shared" si="18"/>
        <v>20241127-402</v>
      </c>
      <c r="F407" s="111" t="s">
        <v>98</v>
      </c>
      <c r="G407" s="111" t="s">
        <v>99</v>
      </c>
      <c r="H407" s="112" t="s">
        <v>1267</v>
      </c>
      <c r="I407" s="113">
        <v>1833.14</v>
      </c>
      <c r="J407" s="111" t="s">
        <v>118</v>
      </c>
      <c r="K407" s="111" t="s">
        <v>1269</v>
      </c>
      <c r="L407" s="111" t="s">
        <v>103</v>
      </c>
      <c r="M407" s="111" t="s">
        <v>104</v>
      </c>
      <c r="N407" s="111" t="s">
        <v>827</v>
      </c>
      <c r="O407" s="111" t="s">
        <v>121</v>
      </c>
      <c r="P407" s="111" t="s">
        <v>132</v>
      </c>
      <c r="Q407" s="110" t="s">
        <v>123</v>
      </c>
      <c r="R407" s="110" t="s">
        <v>134</v>
      </c>
      <c r="S407" s="111" t="s">
        <v>825</v>
      </c>
      <c r="T407" s="111" t="s">
        <v>111</v>
      </c>
      <c r="U407" s="111" t="s">
        <v>103</v>
      </c>
      <c r="V407" s="118">
        <f t="shared" si="17"/>
        <v>1.1097505819020264E-2</v>
      </c>
      <c r="W407" s="114">
        <f>IFERROR(I407-AVERAGEIFS(I$6:I406,J$6:J406,"ICIS / Platts",B$6:B406,B407),"")</f>
        <v>51.1400000000001</v>
      </c>
      <c r="X407" s="110" t="s">
        <v>125</v>
      </c>
      <c r="Y407" s="117" t="str">
        <f t="shared" si="19"/>
        <v>OK</v>
      </c>
      <c r="Z407" s="111" t="s">
        <v>116</v>
      </c>
      <c r="AA407" s="111" t="s">
        <v>115</v>
      </c>
      <c r="AB407" s="111" t="s">
        <v>116</v>
      </c>
      <c r="AC407" s="111" t="s">
        <v>116</v>
      </c>
      <c r="AD407" s="111"/>
    </row>
    <row r="408" spans="2:30" ht="24.75" customHeight="1" x14ac:dyDescent="0.25">
      <c r="B408" s="108">
        <v>45628</v>
      </c>
      <c r="C408" s="109" t="s">
        <v>97</v>
      </c>
      <c r="D408" s="109">
        <v>49</v>
      </c>
      <c r="E408" s="110" t="str">
        <f t="shared" si="18"/>
        <v>20241202-403</v>
      </c>
      <c r="F408" s="111" t="s">
        <v>98</v>
      </c>
      <c r="G408" s="111" t="s">
        <v>99</v>
      </c>
      <c r="H408" s="112" t="s">
        <v>1267</v>
      </c>
      <c r="I408" s="113">
        <v>1793.45</v>
      </c>
      <c r="J408" s="111" t="s">
        <v>127</v>
      </c>
      <c r="K408" s="111" t="s">
        <v>1270</v>
      </c>
      <c r="L408" s="111" t="s">
        <v>129</v>
      </c>
      <c r="M408" s="111" t="s">
        <v>104</v>
      </c>
      <c r="N408" s="111" t="s">
        <v>829</v>
      </c>
      <c r="O408" s="111" t="s">
        <v>131</v>
      </c>
      <c r="P408" s="111" t="s">
        <v>830</v>
      </c>
      <c r="Q408" s="110" t="s">
        <v>133</v>
      </c>
      <c r="R408" s="110" t="s">
        <v>831</v>
      </c>
      <c r="S408" s="111" t="s">
        <v>832</v>
      </c>
      <c r="T408" s="111" t="s">
        <v>136</v>
      </c>
      <c r="U408" s="111" t="s">
        <v>129</v>
      </c>
      <c r="V408" s="118">
        <f t="shared" si="17"/>
        <v>1.4894206990996663E-2</v>
      </c>
      <c r="W408" s="114" t="str">
        <f>IFERROR(I408-AVERAGEIFS(I$6:I407,J$6:J407,"ICIS / Platts",B$6:B407,B408),"")</f>
        <v/>
      </c>
      <c r="X408" s="110" t="s">
        <v>137</v>
      </c>
      <c r="Y408" s="117" t="str">
        <f t="shared" si="19"/>
        <v>OK</v>
      </c>
      <c r="Z408" s="111" t="s">
        <v>116</v>
      </c>
      <c r="AA408" s="111" t="s">
        <v>115</v>
      </c>
      <c r="AB408" s="111" t="s">
        <v>116</v>
      </c>
      <c r="AC408" s="111" t="s">
        <v>116</v>
      </c>
      <c r="AD408" s="111"/>
    </row>
    <row r="409" spans="2:30" ht="24.75" customHeight="1" x14ac:dyDescent="0.25">
      <c r="B409" s="115">
        <v>45630</v>
      </c>
      <c r="C409" s="116" t="s">
        <v>126</v>
      </c>
      <c r="D409" s="116">
        <v>49</v>
      </c>
      <c r="E409" s="110" t="str">
        <f t="shared" si="18"/>
        <v>20241204-404</v>
      </c>
      <c r="F409" s="111" t="s">
        <v>98</v>
      </c>
      <c r="G409" s="111" t="s">
        <v>99</v>
      </c>
      <c r="H409" s="112" t="s">
        <v>1267</v>
      </c>
      <c r="I409" s="113">
        <v>1790.41</v>
      </c>
      <c r="J409" s="111" t="s">
        <v>139</v>
      </c>
      <c r="K409" s="111" t="s">
        <v>1271</v>
      </c>
      <c r="L409" s="111" t="s">
        <v>103</v>
      </c>
      <c r="M409" s="111" t="s">
        <v>104</v>
      </c>
      <c r="N409" s="111" t="s">
        <v>824</v>
      </c>
      <c r="O409" s="111" t="s">
        <v>106</v>
      </c>
      <c r="P409" s="111" t="s">
        <v>141</v>
      </c>
      <c r="Q409" s="110" t="s">
        <v>133</v>
      </c>
      <c r="R409" s="110" t="s">
        <v>142</v>
      </c>
      <c r="S409" s="111" t="s">
        <v>825</v>
      </c>
      <c r="T409" s="111" t="s">
        <v>111</v>
      </c>
      <c r="U409" s="111" t="s">
        <v>103</v>
      </c>
      <c r="V409" s="118">
        <f t="shared" si="17"/>
        <v>-7.9806232699339025E-4</v>
      </c>
      <c r="W409" s="114" t="str">
        <f>IFERROR(I409-AVERAGEIFS(I$6:I408,J$6:J408,"ICIS / Platts",B$6:B408,B409),"")</f>
        <v/>
      </c>
      <c r="X409" s="110" t="s">
        <v>125</v>
      </c>
      <c r="Y409" s="117" t="str">
        <f t="shared" si="19"/>
        <v>OK</v>
      </c>
      <c r="Z409" s="111" t="s">
        <v>116</v>
      </c>
      <c r="AA409" s="111" t="s">
        <v>115</v>
      </c>
      <c r="AB409" s="111" t="s">
        <v>116</v>
      </c>
      <c r="AC409" s="111" t="s">
        <v>116</v>
      </c>
      <c r="AD409" s="111"/>
    </row>
    <row r="410" spans="2:30" ht="24.75" customHeight="1" x14ac:dyDescent="0.25">
      <c r="B410" s="108">
        <v>45630</v>
      </c>
      <c r="C410" s="109" t="s">
        <v>126</v>
      </c>
      <c r="D410" s="109">
        <v>49</v>
      </c>
      <c r="E410" s="110" t="str">
        <f t="shared" si="18"/>
        <v>20241204-405</v>
      </c>
      <c r="F410" s="111" t="s">
        <v>98</v>
      </c>
      <c r="G410" s="111" t="s">
        <v>99</v>
      </c>
      <c r="H410" s="112" t="s">
        <v>1272</v>
      </c>
      <c r="I410" s="113">
        <v>1785</v>
      </c>
      <c r="J410" s="111" t="s">
        <v>101</v>
      </c>
      <c r="K410" s="111" t="s">
        <v>1273</v>
      </c>
      <c r="L410" s="111" t="s">
        <v>103</v>
      </c>
      <c r="M410" s="111" t="s">
        <v>104</v>
      </c>
      <c r="N410" s="111" t="s">
        <v>824</v>
      </c>
      <c r="O410" s="111" t="s">
        <v>106</v>
      </c>
      <c r="P410" s="111" t="s">
        <v>107</v>
      </c>
      <c r="Q410" s="110" t="s">
        <v>108</v>
      </c>
      <c r="R410" s="110" t="s">
        <v>109</v>
      </c>
      <c r="S410" s="111" t="s">
        <v>825</v>
      </c>
      <c r="T410" s="111" t="s">
        <v>111</v>
      </c>
      <c r="U410" s="111" t="s">
        <v>103</v>
      </c>
      <c r="V410" s="118">
        <f t="shared" si="17"/>
        <v>1.6835016835016834E-3</v>
      </c>
      <c r="W410" s="114" t="str">
        <f>IFERROR(I410-AVERAGEIFS(I$6:I409,J$6:J409,"ICIS / Platts",B$6:B409,B410),"")</f>
        <v/>
      </c>
      <c r="X410" s="110" t="s">
        <v>113</v>
      </c>
      <c r="Y410" s="117" t="str">
        <f t="shared" si="19"/>
        <v>OK</v>
      </c>
      <c r="Z410" s="111" t="s">
        <v>116</v>
      </c>
      <c r="AA410" s="111" t="s">
        <v>115</v>
      </c>
      <c r="AB410" s="111" t="s">
        <v>116</v>
      </c>
      <c r="AC410" s="111" t="s">
        <v>116</v>
      </c>
      <c r="AD410" s="111"/>
    </row>
    <row r="411" spans="2:30" ht="24.75" customHeight="1" x14ac:dyDescent="0.25">
      <c r="B411" s="115">
        <v>45630</v>
      </c>
      <c r="C411" s="116" t="s">
        <v>126</v>
      </c>
      <c r="D411" s="116">
        <v>49</v>
      </c>
      <c r="E411" s="110" t="str">
        <f t="shared" si="18"/>
        <v>20241204-406</v>
      </c>
      <c r="F411" s="111" t="s">
        <v>98</v>
      </c>
      <c r="G411" s="111" t="s">
        <v>99</v>
      </c>
      <c r="H411" s="112" t="s">
        <v>1272</v>
      </c>
      <c r="I411" s="113">
        <v>1831.12</v>
      </c>
      <c r="J411" s="111" t="s">
        <v>118</v>
      </c>
      <c r="K411" s="111" t="s">
        <v>1274</v>
      </c>
      <c r="L411" s="111" t="s">
        <v>103</v>
      </c>
      <c r="M411" s="111" t="s">
        <v>104</v>
      </c>
      <c r="N411" s="111" t="s">
        <v>827</v>
      </c>
      <c r="O411" s="111" t="s">
        <v>121</v>
      </c>
      <c r="P411" s="111" t="s">
        <v>132</v>
      </c>
      <c r="Q411" s="110" t="s">
        <v>123</v>
      </c>
      <c r="R411" s="110" t="s">
        <v>134</v>
      </c>
      <c r="S411" s="111" t="s">
        <v>825</v>
      </c>
      <c r="T411" s="111" t="s">
        <v>111</v>
      </c>
      <c r="U411" s="111" t="s">
        <v>103</v>
      </c>
      <c r="V411" s="118">
        <f t="shared" si="17"/>
        <v>-1.1019343858080721E-3</v>
      </c>
      <c r="W411" s="114">
        <f>IFERROR(I411-AVERAGEIFS(I$6:I410,J$6:J410,"ICIS / Platts",B$6:B410,B411),"")</f>
        <v>46.119999999999891</v>
      </c>
      <c r="X411" s="110" t="s">
        <v>125</v>
      </c>
      <c r="Y411" s="117" t="str">
        <f t="shared" si="19"/>
        <v>OK</v>
      </c>
      <c r="Z411" s="111" t="s">
        <v>116</v>
      </c>
      <c r="AA411" s="111" t="s">
        <v>115</v>
      </c>
      <c r="AB411" s="111" t="s">
        <v>116</v>
      </c>
      <c r="AC411" s="111" t="s">
        <v>116</v>
      </c>
      <c r="AD411" s="111"/>
    </row>
    <row r="412" spans="2:30" ht="24.75" customHeight="1" x14ac:dyDescent="0.25">
      <c r="B412" s="108">
        <v>45635</v>
      </c>
      <c r="C412" s="109" t="s">
        <v>97</v>
      </c>
      <c r="D412" s="109">
        <v>50</v>
      </c>
      <c r="E412" s="110" t="str">
        <f t="shared" si="18"/>
        <v>20241209-407</v>
      </c>
      <c r="F412" s="111" t="s">
        <v>98</v>
      </c>
      <c r="G412" s="111" t="s">
        <v>99</v>
      </c>
      <c r="H412" s="112" t="s">
        <v>1272</v>
      </c>
      <c r="I412" s="113">
        <v>1813.77</v>
      </c>
      <c r="J412" s="111" t="s">
        <v>127</v>
      </c>
      <c r="K412" s="111" t="s">
        <v>1275</v>
      </c>
      <c r="L412" s="111" t="s">
        <v>129</v>
      </c>
      <c r="M412" s="111" t="s">
        <v>104</v>
      </c>
      <c r="N412" s="111" t="s">
        <v>829</v>
      </c>
      <c r="O412" s="111" t="s">
        <v>131</v>
      </c>
      <c r="P412" s="111" t="s">
        <v>830</v>
      </c>
      <c r="Q412" s="110" t="s">
        <v>133</v>
      </c>
      <c r="R412" s="110" t="s">
        <v>831</v>
      </c>
      <c r="S412" s="111" t="s">
        <v>832</v>
      </c>
      <c r="T412" s="111" t="s">
        <v>136</v>
      </c>
      <c r="U412" s="111" t="s">
        <v>129</v>
      </c>
      <c r="V412" s="118">
        <f t="shared" si="17"/>
        <v>1.1330117929130969E-2</v>
      </c>
      <c r="W412" s="114" t="str">
        <f>IFERROR(I412-AVERAGEIFS(I$6:I411,J$6:J411,"ICIS / Platts",B$6:B411,B412),"")</f>
        <v/>
      </c>
      <c r="X412" s="110" t="s">
        <v>137</v>
      </c>
      <c r="Y412" s="117" t="str">
        <f t="shared" si="19"/>
        <v>OK</v>
      </c>
      <c r="Z412" s="111" t="s">
        <v>116</v>
      </c>
      <c r="AA412" s="111" t="s">
        <v>115</v>
      </c>
      <c r="AB412" s="111" t="s">
        <v>116</v>
      </c>
      <c r="AC412" s="111" t="s">
        <v>116</v>
      </c>
      <c r="AD412" s="111"/>
    </row>
    <row r="413" spans="2:30" ht="24.75" customHeight="1" x14ac:dyDescent="0.25">
      <c r="B413" s="115">
        <v>45637</v>
      </c>
      <c r="C413" s="116" t="s">
        <v>126</v>
      </c>
      <c r="D413" s="116">
        <v>50</v>
      </c>
      <c r="E413" s="110" t="str">
        <f t="shared" si="18"/>
        <v>20241211-408</v>
      </c>
      <c r="F413" s="111" t="s">
        <v>98</v>
      </c>
      <c r="G413" s="111" t="s">
        <v>99</v>
      </c>
      <c r="H413" s="112" t="s">
        <v>1272</v>
      </c>
      <c r="I413" s="113">
        <v>1816.78</v>
      </c>
      <c r="J413" s="111" t="s">
        <v>139</v>
      </c>
      <c r="K413" s="111" t="s">
        <v>1276</v>
      </c>
      <c r="L413" s="111" t="s">
        <v>103</v>
      </c>
      <c r="M413" s="111" t="s">
        <v>104</v>
      </c>
      <c r="N413" s="111" t="s">
        <v>824</v>
      </c>
      <c r="O413" s="111" t="s">
        <v>106</v>
      </c>
      <c r="P413" s="111" t="s">
        <v>141</v>
      </c>
      <c r="Q413" s="110" t="s">
        <v>133</v>
      </c>
      <c r="R413" s="110" t="s">
        <v>142</v>
      </c>
      <c r="S413" s="111" t="s">
        <v>825</v>
      </c>
      <c r="T413" s="111" t="s">
        <v>111</v>
      </c>
      <c r="U413" s="111" t="s">
        <v>103</v>
      </c>
      <c r="V413" s="118">
        <f t="shared" si="17"/>
        <v>1.4728470015247842E-2</v>
      </c>
      <c r="W413" s="114" t="str">
        <f>IFERROR(I413-AVERAGEIFS(I$6:I412,J$6:J412,"ICIS / Platts",B$6:B412,B413),"")</f>
        <v/>
      </c>
      <c r="X413" s="110" t="s">
        <v>125</v>
      </c>
      <c r="Y413" s="117" t="str">
        <f t="shared" si="19"/>
        <v>OK</v>
      </c>
      <c r="Z413" s="111" t="s">
        <v>116</v>
      </c>
      <c r="AA413" s="111" t="s">
        <v>115</v>
      </c>
      <c r="AB413" s="111" t="s">
        <v>116</v>
      </c>
      <c r="AC413" s="111" t="s">
        <v>116</v>
      </c>
      <c r="AD413" s="111"/>
    </row>
    <row r="414" spans="2:30" ht="24.75" customHeight="1" x14ac:dyDescent="0.25">
      <c r="B414" s="108">
        <v>45637</v>
      </c>
      <c r="C414" s="109" t="s">
        <v>126</v>
      </c>
      <c r="D414" s="109">
        <v>50</v>
      </c>
      <c r="E414" s="110" t="str">
        <f t="shared" si="18"/>
        <v>20241211-409</v>
      </c>
      <c r="F414" s="111" t="s">
        <v>98</v>
      </c>
      <c r="G414" s="111" t="s">
        <v>99</v>
      </c>
      <c r="H414" s="112" t="s">
        <v>1277</v>
      </c>
      <c r="I414" s="113">
        <v>1788</v>
      </c>
      <c r="J414" s="111" t="s">
        <v>101</v>
      </c>
      <c r="K414" s="111" t="s">
        <v>1278</v>
      </c>
      <c r="L414" s="111" t="s">
        <v>103</v>
      </c>
      <c r="M414" s="111" t="s">
        <v>104</v>
      </c>
      <c r="N414" s="111" t="s">
        <v>824</v>
      </c>
      <c r="O414" s="111" t="s">
        <v>106</v>
      </c>
      <c r="P414" s="111" t="s">
        <v>107</v>
      </c>
      <c r="Q414" s="110" t="s">
        <v>108</v>
      </c>
      <c r="R414" s="110" t="s">
        <v>109</v>
      </c>
      <c r="S414" s="111" t="s">
        <v>825</v>
      </c>
      <c r="T414" s="111" t="s">
        <v>111</v>
      </c>
      <c r="U414" s="111" t="s">
        <v>103</v>
      </c>
      <c r="V414" s="118">
        <f t="shared" si="17"/>
        <v>1.6806722689075631E-3</v>
      </c>
      <c r="W414" s="114" t="str">
        <f>IFERROR(I414-AVERAGEIFS(I$6:I413,J$6:J413,"ICIS / Platts",B$6:B413,B414),"")</f>
        <v/>
      </c>
      <c r="X414" s="110" t="s">
        <v>113</v>
      </c>
      <c r="Y414" s="117" t="str">
        <f t="shared" si="19"/>
        <v>OK</v>
      </c>
      <c r="Z414" s="111" t="s">
        <v>116</v>
      </c>
      <c r="AA414" s="111" t="s">
        <v>115</v>
      </c>
      <c r="AB414" s="111" t="s">
        <v>116</v>
      </c>
      <c r="AC414" s="111" t="s">
        <v>116</v>
      </c>
      <c r="AD414" s="111"/>
    </row>
    <row r="415" spans="2:30" ht="24.75" customHeight="1" x14ac:dyDescent="0.25">
      <c r="B415" s="115">
        <v>45637</v>
      </c>
      <c r="C415" s="116" t="s">
        <v>126</v>
      </c>
      <c r="D415" s="116">
        <v>50</v>
      </c>
      <c r="E415" s="110" t="str">
        <f t="shared" si="18"/>
        <v>20241211-410</v>
      </c>
      <c r="F415" s="111" t="s">
        <v>98</v>
      </c>
      <c r="G415" s="111" t="s">
        <v>99</v>
      </c>
      <c r="H415" s="112" t="s">
        <v>1277</v>
      </c>
      <c r="I415" s="113">
        <v>1797.07</v>
      </c>
      <c r="J415" s="111" t="s">
        <v>118</v>
      </c>
      <c r="K415" s="111" t="s">
        <v>1279</v>
      </c>
      <c r="L415" s="111" t="s">
        <v>103</v>
      </c>
      <c r="M415" s="111" t="s">
        <v>104</v>
      </c>
      <c r="N415" s="111" t="s">
        <v>827</v>
      </c>
      <c r="O415" s="111" t="s">
        <v>121</v>
      </c>
      <c r="P415" s="111" t="s">
        <v>132</v>
      </c>
      <c r="Q415" s="110" t="s">
        <v>123</v>
      </c>
      <c r="R415" s="110" t="s">
        <v>134</v>
      </c>
      <c r="S415" s="111" t="s">
        <v>825</v>
      </c>
      <c r="T415" s="111" t="s">
        <v>111</v>
      </c>
      <c r="U415" s="111" t="s">
        <v>103</v>
      </c>
      <c r="V415" s="118">
        <f t="shared" ref="V415:V478" si="20">IFERROR((I415-I411)/I411,"")</f>
        <v>-1.8595176722443072E-2</v>
      </c>
      <c r="W415" s="114">
        <f>IFERROR(I415-AVERAGEIFS(I$6:I414,J$6:J414,"ICIS / Platts",B$6:B414,B415),"")</f>
        <v>9.0699999999999363</v>
      </c>
      <c r="X415" s="110" t="s">
        <v>125</v>
      </c>
      <c r="Y415" s="117" t="str">
        <f t="shared" si="19"/>
        <v>OK</v>
      </c>
      <c r="Z415" s="111" t="s">
        <v>116</v>
      </c>
      <c r="AA415" s="111" t="s">
        <v>115</v>
      </c>
      <c r="AB415" s="111" t="s">
        <v>116</v>
      </c>
      <c r="AC415" s="111" t="s">
        <v>116</v>
      </c>
      <c r="AD415" s="111"/>
    </row>
    <row r="416" spans="2:30" ht="24.75" customHeight="1" x14ac:dyDescent="0.25">
      <c r="B416" s="108">
        <v>45642</v>
      </c>
      <c r="C416" s="109" t="s">
        <v>97</v>
      </c>
      <c r="D416" s="109">
        <v>51</v>
      </c>
      <c r="E416" s="110" t="str">
        <f t="shared" si="18"/>
        <v>20241216-411</v>
      </c>
      <c r="F416" s="111" t="s">
        <v>98</v>
      </c>
      <c r="G416" s="111" t="s">
        <v>99</v>
      </c>
      <c r="H416" s="112" t="s">
        <v>1277</v>
      </c>
      <c r="I416" s="113">
        <v>1763.4</v>
      </c>
      <c r="J416" s="111" t="s">
        <v>127</v>
      </c>
      <c r="K416" s="111" t="s">
        <v>1280</v>
      </c>
      <c r="L416" s="111" t="s">
        <v>129</v>
      </c>
      <c r="M416" s="111" t="s">
        <v>104</v>
      </c>
      <c r="N416" s="111" t="s">
        <v>829</v>
      </c>
      <c r="O416" s="111" t="s">
        <v>131</v>
      </c>
      <c r="P416" s="111" t="s">
        <v>830</v>
      </c>
      <c r="Q416" s="110" t="s">
        <v>133</v>
      </c>
      <c r="R416" s="110" t="s">
        <v>831</v>
      </c>
      <c r="S416" s="111" t="s">
        <v>832</v>
      </c>
      <c r="T416" s="111" t="s">
        <v>136</v>
      </c>
      <c r="U416" s="111" t="s">
        <v>129</v>
      </c>
      <c r="V416" s="118">
        <f t="shared" si="20"/>
        <v>-2.7770886055012427E-2</v>
      </c>
      <c r="W416" s="114" t="str">
        <f>IFERROR(I416-AVERAGEIFS(I$6:I415,J$6:J415,"ICIS / Platts",B$6:B415,B416),"")</f>
        <v/>
      </c>
      <c r="X416" s="110" t="s">
        <v>137</v>
      </c>
      <c r="Y416" s="117" t="str">
        <f t="shared" si="19"/>
        <v>OK</v>
      </c>
      <c r="Z416" s="111" t="s">
        <v>116</v>
      </c>
      <c r="AA416" s="111" t="s">
        <v>115</v>
      </c>
      <c r="AB416" s="111" t="s">
        <v>116</v>
      </c>
      <c r="AC416" s="111" t="s">
        <v>116</v>
      </c>
      <c r="AD416" s="111"/>
    </row>
    <row r="417" spans="2:30" ht="24.75" customHeight="1" x14ac:dyDescent="0.25">
      <c r="B417" s="115">
        <v>45644</v>
      </c>
      <c r="C417" s="116" t="s">
        <v>126</v>
      </c>
      <c r="D417" s="116">
        <v>51</v>
      </c>
      <c r="E417" s="110" t="str">
        <f t="shared" si="18"/>
        <v>20241218-412</v>
      </c>
      <c r="F417" s="111" t="s">
        <v>98</v>
      </c>
      <c r="G417" s="111" t="s">
        <v>99</v>
      </c>
      <c r="H417" s="112" t="s">
        <v>1277</v>
      </c>
      <c r="I417" s="113">
        <v>1810.74</v>
      </c>
      <c r="J417" s="111" t="s">
        <v>139</v>
      </c>
      <c r="K417" s="111" t="s">
        <v>1281</v>
      </c>
      <c r="L417" s="111" t="s">
        <v>103</v>
      </c>
      <c r="M417" s="111" t="s">
        <v>104</v>
      </c>
      <c r="N417" s="111" t="s">
        <v>824</v>
      </c>
      <c r="O417" s="111" t="s">
        <v>106</v>
      </c>
      <c r="P417" s="111" t="s">
        <v>141</v>
      </c>
      <c r="Q417" s="110" t="s">
        <v>133</v>
      </c>
      <c r="R417" s="110" t="s">
        <v>142</v>
      </c>
      <c r="S417" s="111" t="s">
        <v>825</v>
      </c>
      <c r="T417" s="111" t="s">
        <v>111</v>
      </c>
      <c r="U417" s="111" t="s">
        <v>103</v>
      </c>
      <c r="V417" s="118">
        <f t="shared" si="20"/>
        <v>-3.3245632382566761E-3</v>
      </c>
      <c r="W417" s="114" t="str">
        <f>IFERROR(I417-AVERAGEIFS(I$6:I416,J$6:J416,"ICIS / Platts",B$6:B416,B417),"")</f>
        <v/>
      </c>
      <c r="X417" s="110" t="s">
        <v>125</v>
      </c>
      <c r="Y417" s="117" t="str">
        <f t="shared" si="19"/>
        <v>OK</v>
      </c>
      <c r="Z417" s="111" t="s">
        <v>116</v>
      </c>
      <c r="AA417" s="111" t="s">
        <v>115</v>
      </c>
      <c r="AB417" s="111" t="s">
        <v>116</v>
      </c>
      <c r="AC417" s="111" t="s">
        <v>116</v>
      </c>
      <c r="AD417" s="111"/>
    </row>
    <row r="418" spans="2:30" ht="24.75" customHeight="1" x14ac:dyDescent="0.25">
      <c r="B418" s="108">
        <v>45644</v>
      </c>
      <c r="C418" s="109" t="s">
        <v>126</v>
      </c>
      <c r="D418" s="109">
        <v>51</v>
      </c>
      <c r="E418" s="110" t="str">
        <f t="shared" si="18"/>
        <v>20241218-413</v>
      </c>
      <c r="F418" s="111" t="s">
        <v>98</v>
      </c>
      <c r="G418" s="111" t="s">
        <v>99</v>
      </c>
      <c r="H418" s="112" t="s">
        <v>1282</v>
      </c>
      <c r="I418" s="113">
        <v>1782</v>
      </c>
      <c r="J418" s="111" t="s">
        <v>101</v>
      </c>
      <c r="K418" s="111" t="s">
        <v>1283</v>
      </c>
      <c r="L418" s="111" t="s">
        <v>103</v>
      </c>
      <c r="M418" s="111" t="s">
        <v>104</v>
      </c>
      <c r="N418" s="111" t="s">
        <v>824</v>
      </c>
      <c r="O418" s="111" t="s">
        <v>106</v>
      </c>
      <c r="P418" s="111" t="s">
        <v>107</v>
      </c>
      <c r="Q418" s="110" t="s">
        <v>108</v>
      </c>
      <c r="R418" s="110" t="s">
        <v>109</v>
      </c>
      <c r="S418" s="111" t="s">
        <v>825</v>
      </c>
      <c r="T418" s="111" t="s">
        <v>111</v>
      </c>
      <c r="U418" s="111" t="s">
        <v>103</v>
      </c>
      <c r="V418" s="118">
        <f t="shared" si="20"/>
        <v>-3.3557046979865771E-3</v>
      </c>
      <c r="W418" s="114" t="str">
        <f>IFERROR(I418-AVERAGEIFS(I$6:I417,J$6:J417,"ICIS / Platts",B$6:B417,B418),"")</f>
        <v/>
      </c>
      <c r="X418" s="110" t="s">
        <v>113</v>
      </c>
      <c r="Y418" s="117" t="str">
        <f t="shared" si="19"/>
        <v>OK</v>
      </c>
      <c r="Z418" s="111" t="s">
        <v>115</v>
      </c>
      <c r="AA418" s="111" t="s">
        <v>115</v>
      </c>
      <c r="AB418" s="111" t="s">
        <v>116</v>
      </c>
      <c r="AC418" s="111" t="s">
        <v>115</v>
      </c>
      <c r="AD418" s="111"/>
    </row>
    <row r="419" spans="2:30" ht="24.75" customHeight="1" x14ac:dyDescent="0.25">
      <c r="B419" s="115">
        <v>45644</v>
      </c>
      <c r="C419" s="116" t="s">
        <v>126</v>
      </c>
      <c r="D419" s="116">
        <v>51</v>
      </c>
      <c r="E419" s="110" t="str">
        <f t="shared" si="18"/>
        <v>20241218-414</v>
      </c>
      <c r="F419" s="111" t="s">
        <v>98</v>
      </c>
      <c r="G419" s="111" t="s">
        <v>99</v>
      </c>
      <c r="H419" s="112" t="s">
        <v>1282</v>
      </c>
      <c r="I419" s="113">
        <v>1824.27</v>
      </c>
      <c r="J419" s="111" t="s">
        <v>118</v>
      </c>
      <c r="K419" s="111" t="s">
        <v>1284</v>
      </c>
      <c r="L419" s="111" t="s">
        <v>103</v>
      </c>
      <c r="M419" s="111" t="s">
        <v>104</v>
      </c>
      <c r="N419" s="111" t="s">
        <v>827</v>
      </c>
      <c r="O419" s="111" t="s">
        <v>121</v>
      </c>
      <c r="P419" s="111" t="s">
        <v>132</v>
      </c>
      <c r="Q419" s="110" t="s">
        <v>123</v>
      </c>
      <c r="R419" s="110" t="s">
        <v>134</v>
      </c>
      <c r="S419" s="111" t="s">
        <v>825</v>
      </c>
      <c r="T419" s="111" t="s">
        <v>111</v>
      </c>
      <c r="U419" s="111" t="s">
        <v>103</v>
      </c>
      <c r="V419" s="118">
        <f t="shared" si="20"/>
        <v>1.5135748746570832E-2</v>
      </c>
      <c r="W419" s="114">
        <f>IFERROR(I419-AVERAGEIFS(I$6:I418,J$6:J418,"ICIS / Platts",B$6:B418,B419),"")</f>
        <v>42.269999999999982</v>
      </c>
      <c r="X419" s="110" t="s">
        <v>125</v>
      </c>
      <c r="Y419" s="117" t="str">
        <f t="shared" si="19"/>
        <v>OK</v>
      </c>
      <c r="Z419" s="111" t="s">
        <v>115</v>
      </c>
      <c r="AA419" s="111" t="s">
        <v>115</v>
      </c>
      <c r="AB419" s="111" t="s">
        <v>116</v>
      </c>
      <c r="AC419" s="111" t="s">
        <v>115</v>
      </c>
      <c r="AD419" s="111"/>
    </row>
    <row r="420" spans="2:30" ht="24.75" customHeight="1" x14ac:dyDescent="0.25">
      <c r="B420" s="108">
        <v>45649</v>
      </c>
      <c r="C420" s="109" t="s">
        <v>97</v>
      </c>
      <c r="D420" s="109">
        <v>52</v>
      </c>
      <c r="E420" s="110" t="str">
        <f t="shared" si="18"/>
        <v>20241223-415</v>
      </c>
      <c r="F420" s="111" t="s">
        <v>98</v>
      </c>
      <c r="G420" s="111" t="s">
        <v>99</v>
      </c>
      <c r="H420" s="112" t="s">
        <v>1282</v>
      </c>
      <c r="I420" s="113">
        <v>1754.16</v>
      </c>
      <c r="J420" s="111" t="s">
        <v>127</v>
      </c>
      <c r="K420" s="111" t="s">
        <v>1092</v>
      </c>
      <c r="L420" s="111" t="s">
        <v>129</v>
      </c>
      <c r="M420" s="111" t="s">
        <v>104</v>
      </c>
      <c r="N420" s="111" t="s">
        <v>829</v>
      </c>
      <c r="O420" s="111" t="s">
        <v>131</v>
      </c>
      <c r="P420" s="111" t="s">
        <v>830</v>
      </c>
      <c r="Q420" s="110" t="s">
        <v>133</v>
      </c>
      <c r="R420" s="110" t="s">
        <v>831</v>
      </c>
      <c r="S420" s="111" t="s">
        <v>832</v>
      </c>
      <c r="T420" s="111" t="s">
        <v>136</v>
      </c>
      <c r="U420" s="111" t="s">
        <v>129</v>
      </c>
      <c r="V420" s="118">
        <f t="shared" si="20"/>
        <v>-5.2398775093569286E-3</v>
      </c>
      <c r="W420" s="114" t="str">
        <f>IFERROR(I420-AVERAGEIFS(I$6:I419,J$6:J419,"ICIS / Platts",B$6:B419,B420),"")</f>
        <v/>
      </c>
      <c r="X420" s="110" t="s">
        <v>137</v>
      </c>
      <c r="Y420" s="117" t="str">
        <f t="shared" si="19"/>
        <v>OK</v>
      </c>
      <c r="Z420" s="111" t="s">
        <v>115</v>
      </c>
      <c r="AA420" s="111" t="s">
        <v>115</v>
      </c>
      <c r="AB420" s="111" t="s">
        <v>116</v>
      </c>
      <c r="AC420" s="111" t="s">
        <v>115</v>
      </c>
      <c r="AD420" s="111"/>
    </row>
    <row r="421" spans="2:30" ht="24.75" customHeight="1" x14ac:dyDescent="0.25">
      <c r="B421" s="115">
        <v>45651</v>
      </c>
      <c r="C421" s="116" t="s">
        <v>126</v>
      </c>
      <c r="D421" s="116">
        <v>52</v>
      </c>
      <c r="E421" s="110" t="str">
        <f t="shared" si="18"/>
        <v>20241225-416</v>
      </c>
      <c r="F421" s="111" t="s">
        <v>98</v>
      </c>
      <c r="G421" s="111" t="s">
        <v>99</v>
      </c>
      <c r="H421" s="112" t="s">
        <v>1282</v>
      </c>
      <c r="I421" s="113">
        <v>1768.58</v>
      </c>
      <c r="J421" s="111" t="s">
        <v>139</v>
      </c>
      <c r="K421" s="111" t="s">
        <v>1285</v>
      </c>
      <c r="L421" s="111" t="s">
        <v>103</v>
      </c>
      <c r="M421" s="111" t="s">
        <v>104</v>
      </c>
      <c r="N421" s="111" t="s">
        <v>824</v>
      </c>
      <c r="O421" s="111" t="s">
        <v>106</v>
      </c>
      <c r="P421" s="111" t="s">
        <v>141</v>
      </c>
      <c r="Q421" s="110" t="s">
        <v>133</v>
      </c>
      <c r="R421" s="110" t="s">
        <v>142</v>
      </c>
      <c r="S421" s="111" t="s">
        <v>825</v>
      </c>
      <c r="T421" s="111" t="s">
        <v>111</v>
      </c>
      <c r="U421" s="111" t="s">
        <v>103</v>
      </c>
      <c r="V421" s="118">
        <f t="shared" si="20"/>
        <v>-2.3283298540928064E-2</v>
      </c>
      <c r="W421" s="114" t="str">
        <f>IFERROR(I421-AVERAGEIFS(I$6:I420,J$6:J420,"ICIS / Platts",B$6:B420,B421),"")</f>
        <v/>
      </c>
      <c r="X421" s="110" t="s">
        <v>125</v>
      </c>
      <c r="Y421" s="117" t="str">
        <f t="shared" si="19"/>
        <v>OK</v>
      </c>
      <c r="Z421" s="111" t="s">
        <v>115</v>
      </c>
      <c r="AA421" s="111" t="s">
        <v>115</v>
      </c>
      <c r="AB421" s="111" t="s">
        <v>116</v>
      </c>
      <c r="AC421" s="111" t="s">
        <v>115</v>
      </c>
      <c r="AD421" s="111"/>
    </row>
    <row r="422" spans="2:30" ht="24.75" customHeight="1" x14ac:dyDescent="0.25">
      <c r="B422" s="108">
        <v>45651</v>
      </c>
      <c r="C422" s="109" t="s">
        <v>126</v>
      </c>
      <c r="D422" s="109">
        <v>52</v>
      </c>
      <c r="E422" s="110" t="str">
        <f t="shared" si="18"/>
        <v>20241225-417</v>
      </c>
      <c r="F422" s="111" t="s">
        <v>98</v>
      </c>
      <c r="G422" s="111" t="s">
        <v>99</v>
      </c>
      <c r="H422" s="112" t="s">
        <v>1286</v>
      </c>
      <c r="I422" s="113">
        <v>1778</v>
      </c>
      <c r="J422" s="111" t="s">
        <v>101</v>
      </c>
      <c r="K422" s="111" t="s">
        <v>1287</v>
      </c>
      <c r="L422" s="111" t="s">
        <v>103</v>
      </c>
      <c r="M422" s="111" t="s">
        <v>104</v>
      </c>
      <c r="N422" s="111" t="s">
        <v>824</v>
      </c>
      <c r="O422" s="111" t="s">
        <v>106</v>
      </c>
      <c r="P422" s="111" t="s">
        <v>107</v>
      </c>
      <c r="Q422" s="110" t="s">
        <v>108</v>
      </c>
      <c r="R422" s="110" t="s">
        <v>109</v>
      </c>
      <c r="S422" s="111" t="s">
        <v>825</v>
      </c>
      <c r="T422" s="111" t="s">
        <v>111</v>
      </c>
      <c r="U422" s="111" t="s">
        <v>103</v>
      </c>
      <c r="V422" s="118">
        <f t="shared" si="20"/>
        <v>-2.2446689113355782E-3</v>
      </c>
      <c r="W422" s="114" t="str">
        <f>IFERROR(I422-AVERAGEIFS(I$6:I421,J$6:J421,"ICIS / Platts",B$6:B421,B422),"")</f>
        <v/>
      </c>
      <c r="X422" s="110" t="s">
        <v>113</v>
      </c>
      <c r="Y422" s="117" t="str">
        <f t="shared" si="19"/>
        <v>OK</v>
      </c>
      <c r="Z422" s="111" t="s">
        <v>115</v>
      </c>
      <c r="AA422" s="111" t="s">
        <v>115</v>
      </c>
      <c r="AB422" s="111" t="s">
        <v>116</v>
      </c>
      <c r="AC422" s="111" t="s">
        <v>115</v>
      </c>
      <c r="AD422" s="111"/>
    </row>
    <row r="423" spans="2:30" ht="24.75" customHeight="1" x14ac:dyDescent="0.25">
      <c r="B423" s="115">
        <v>45651</v>
      </c>
      <c r="C423" s="116" t="s">
        <v>126</v>
      </c>
      <c r="D423" s="116">
        <v>52</v>
      </c>
      <c r="E423" s="110" t="str">
        <f t="shared" si="18"/>
        <v>20241225-418</v>
      </c>
      <c r="F423" s="111" t="s">
        <v>98</v>
      </c>
      <c r="G423" s="111" t="s">
        <v>99</v>
      </c>
      <c r="H423" s="112" t="s">
        <v>1286</v>
      </c>
      <c r="I423" s="113">
        <v>1795.35</v>
      </c>
      <c r="J423" s="111" t="s">
        <v>118</v>
      </c>
      <c r="K423" s="111" t="s">
        <v>1288</v>
      </c>
      <c r="L423" s="111" t="s">
        <v>103</v>
      </c>
      <c r="M423" s="111" t="s">
        <v>104</v>
      </c>
      <c r="N423" s="111" t="s">
        <v>827</v>
      </c>
      <c r="O423" s="111" t="s">
        <v>121</v>
      </c>
      <c r="P423" s="111" t="s">
        <v>132</v>
      </c>
      <c r="Q423" s="110" t="s">
        <v>123</v>
      </c>
      <c r="R423" s="110" t="s">
        <v>134</v>
      </c>
      <c r="S423" s="111" t="s">
        <v>825</v>
      </c>
      <c r="T423" s="111" t="s">
        <v>111</v>
      </c>
      <c r="U423" s="111" t="s">
        <v>103</v>
      </c>
      <c r="V423" s="118">
        <f t="shared" si="20"/>
        <v>-1.585291650906942E-2</v>
      </c>
      <c r="W423" s="114">
        <f>IFERROR(I423-AVERAGEIFS(I$6:I422,J$6:J422,"ICIS / Platts",B$6:B422,B423),"")</f>
        <v>17.349999999999909</v>
      </c>
      <c r="X423" s="110" t="s">
        <v>125</v>
      </c>
      <c r="Y423" s="117" t="str">
        <f t="shared" si="19"/>
        <v>OK</v>
      </c>
      <c r="Z423" s="111" t="s">
        <v>115</v>
      </c>
      <c r="AA423" s="111" t="s">
        <v>115</v>
      </c>
      <c r="AB423" s="111" t="s">
        <v>116</v>
      </c>
      <c r="AC423" s="111" t="s">
        <v>115</v>
      </c>
      <c r="AD423" s="111"/>
    </row>
    <row r="424" spans="2:30" ht="24.75" customHeight="1" x14ac:dyDescent="0.25">
      <c r="B424" s="108">
        <v>45656</v>
      </c>
      <c r="C424" s="109" t="s">
        <v>97</v>
      </c>
      <c r="D424" s="109">
        <v>1</v>
      </c>
      <c r="E424" s="110" t="str">
        <f t="shared" si="18"/>
        <v>20241230-419</v>
      </c>
      <c r="F424" s="111" t="s">
        <v>98</v>
      </c>
      <c r="G424" s="111" t="s">
        <v>99</v>
      </c>
      <c r="H424" s="112" t="s">
        <v>1286</v>
      </c>
      <c r="I424" s="113">
        <v>1800.04</v>
      </c>
      <c r="J424" s="111" t="s">
        <v>127</v>
      </c>
      <c r="K424" s="111" t="s">
        <v>1289</v>
      </c>
      <c r="L424" s="111" t="s">
        <v>129</v>
      </c>
      <c r="M424" s="111" t="s">
        <v>104</v>
      </c>
      <c r="N424" s="111" t="s">
        <v>829</v>
      </c>
      <c r="O424" s="111" t="s">
        <v>131</v>
      </c>
      <c r="P424" s="111" t="s">
        <v>830</v>
      </c>
      <c r="Q424" s="110" t="s">
        <v>133</v>
      </c>
      <c r="R424" s="110" t="s">
        <v>831</v>
      </c>
      <c r="S424" s="111" t="s">
        <v>832</v>
      </c>
      <c r="T424" s="111" t="s">
        <v>136</v>
      </c>
      <c r="U424" s="111" t="s">
        <v>129</v>
      </c>
      <c r="V424" s="118">
        <f t="shared" si="20"/>
        <v>2.6154968759976218E-2</v>
      </c>
      <c r="W424" s="114" t="str">
        <f>IFERROR(I424-AVERAGEIFS(I$6:I423,J$6:J423,"ICIS / Platts",B$6:B423,B424),"")</f>
        <v/>
      </c>
      <c r="X424" s="110" t="s">
        <v>137</v>
      </c>
      <c r="Y424" s="117" t="str">
        <f t="shared" si="19"/>
        <v>OK</v>
      </c>
      <c r="Z424" s="111" t="s">
        <v>115</v>
      </c>
      <c r="AA424" s="111" t="s">
        <v>115</v>
      </c>
      <c r="AB424" s="111" t="s">
        <v>116</v>
      </c>
      <c r="AC424" s="111" t="s">
        <v>115</v>
      </c>
      <c r="AD424" s="111"/>
    </row>
    <row r="425" spans="2:30" ht="24.75" customHeight="1" x14ac:dyDescent="0.25">
      <c r="B425" s="115">
        <v>45658</v>
      </c>
      <c r="C425" s="116" t="s">
        <v>126</v>
      </c>
      <c r="D425" s="116">
        <v>1</v>
      </c>
      <c r="E425" s="110" t="str">
        <f t="shared" si="18"/>
        <v>20250101-420</v>
      </c>
      <c r="F425" s="111" t="s">
        <v>98</v>
      </c>
      <c r="G425" s="111" t="s">
        <v>99</v>
      </c>
      <c r="H425" s="112" t="s">
        <v>1286</v>
      </c>
      <c r="I425" s="113">
        <v>1795.18</v>
      </c>
      <c r="J425" s="111" t="s">
        <v>139</v>
      </c>
      <c r="K425" s="111" t="s">
        <v>1290</v>
      </c>
      <c r="L425" s="111" t="s">
        <v>103</v>
      </c>
      <c r="M425" s="111" t="s">
        <v>104</v>
      </c>
      <c r="N425" s="111" t="s">
        <v>824</v>
      </c>
      <c r="O425" s="111" t="s">
        <v>106</v>
      </c>
      <c r="P425" s="111" t="s">
        <v>141</v>
      </c>
      <c r="Q425" s="110" t="s">
        <v>133</v>
      </c>
      <c r="R425" s="110" t="s">
        <v>142</v>
      </c>
      <c r="S425" s="111" t="s">
        <v>825</v>
      </c>
      <c r="T425" s="111" t="s">
        <v>111</v>
      </c>
      <c r="U425" s="111" t="s">
        <v>103</v>
      </c>
      <c r="V425" s="118">
        <f t="shared" si="20"/>
        <v>1.5040314828845819E-2</v>
      </c>
      <c r="W425" s="114" t="str">
        <f>IFERROR(I425-AVERAGEIFS(I$6:I424,J$6:J424,"ICIS / Platts",B$6:B424,B425),"")</f>
        <v/>
      </c>
      <c r="X425" s="110" t="s">
        <v>125</v>
      </c>
      <c r="Y425" s="117" t="str">
        <f t="shared" si="19"/>
        <v>OK</v>
      </c>
      <c r="Z425" s="111" t="s">
        <v>115</v>
      </c>
      <c r="AA425" s="111" t="s">
        <v>115</v>
      </c>
      <c r="AB425" s="111" t="s">
        <v>116</v>
      </c>
      <c r="AC425" s="111" t="s">
        <v>115</v>
      </c>
      <c r="AD425" s="111"/>
    </row>
  </sheetData>
  <mergeCells count="6">
    <mergeCell ref="Z4:AC4"/>
    <mergeCell ref="I4:M4"/>
    <mergeCell ref="N4:R4"/>
    <mergeCell ref="B4:H4"/>
    <mergeCell ref="V4:Y4"/>
    <mergeCell ref="S4:U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AG111"/>
  <sheetViews>
    <sheetView showGridLines="0" workbookViewId="0">
      <pane xSplit="5" ySplit="6" topLeftCell="F7" activePane="bottomRight" state="frozen"/>
      <selection pane="topRight"/>
      <selection pane="bottomLeft"/>
      <selection pane="bottomRight"/>
    </sheetView>
  </sheetViews>
  <sheetFormatPr defaultRowHeight="15" x14ac:dyDescent="0.25"/>
  <cols>
    <col min="1" max="1" width="1.42578125" customWidth="1"/>
    <col min="2" max="2" width="7" customWidth="1"/>
    <col min="3" max="3" width="14" customWidth="1"/>
    <col min="4" max="4" width="11" customWidth="1"/>
    <col min="5" max="5" width="40" customWidth="1"/>
    <col min="6" max="6" width="11" customWidth="1"/>
    <col min="7" max="8" width="10" customWidth="1"/>
    <col min="9" max="9" width="9" customWidth="1"/>
    <col min="10" max="11" width="11" customWidth="1"/>
    <col min="12" max="13" width="9" customWidth="1"/>
    <col min="14" max="14" width="12" customWidth="1"/>
    <col min="15" max="15" width="7" customWidth="1"/>
    <col min="16" max="16" width="28" customWidth="1"/>
    <col min="17" max="17" width="7" customWidth="1"/>
    <col min="18" max="18" width="28" customWidth="1"/>
    <col min="19" max="19" width="7" customWidth="1"/>
    <col min="20" max="20" width="28" customWidth="1"/>
    <col min="21" max="21" width="7" customWidth="1"/>
    <col min="22" max="22" width="28" customWidth="1"/>
    <col min="23" max="23" width="7" customWidth="1"/>
    <col min="24" max="24" width="28" customWidth="1"/>
    <col min="25" max="25" width="7" customWidth="1"/>
    <col min="26" max="26" width="28" customWidth="1"/>
    <col min="27" max="27" width="7" customWidth="1"/>
    <col min="28" max="28" width="28" customWidth="1"/>
    <col min="29" max="29" width="9" customWidth="1"/>
    <col min="30" max="30" width="12" customWidth="1"/>
    <col min="31" max="31" width="16" customWidth="1"/>
    <col min="32" max="32" width="18" customWidth="1"/>
    <col min="33" max="33" width="22" customWidth="1"/>
  </cols>
  <sheetData>
    <row r="1" spans="2:33" ht="6" customHeight="1" x14ac:dyDescent="0.25"/>
    <row r="2" spans="2:33" ht="38.1" customHeight="1" x14ac:dyDescent="0.25">
      <c r="B2" s="58" t="s">
        <v>1291</v>
      </c>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row>
    <row r="3" spans="2:33" ht="18" customHeight="1" x14ac:dyDescent="0.25">
      <c r="B3" s="52" t="s">
        <v>654</v>
      </c>
      <c r="C3" s="51"/>
      <c r="D3" s="51"/>
      <c r="E3" s="51"/>
      <c r="F3" s="51"/>
      <c r="G3" s="51"/>
      <c r="H3" s="51"/>
      <c r="I3" s="51"/>
      <c r="J3" s="51"/>
      <c r="K3" s="51"/>
      <c r="L3" s="51"/>
      <c r="M3" s="51"/>
      <c r="N3" s="51"/>
      <c r="O3" s="51"/>
      <c r="P3" s="51"/>
      <c r="Q3" s="51"/>
      <c r="R3" s="51"/>
      <c r="S3" s="51"/>
      <c r="T3" s="51"/>
      <c r="U3" s="51"/>
      <c r="V3" s="51"/>
      <c r="W3" s="51"/>
      <c r="X3" s="51"/>
      <c r="Y3" s="51"/>
      <c r="Z3" s="51"/>
      <c r="AA3" s="51"/>
      <c r="AB3" s="51"/>
      <c r="AC3" s="51"/>
      <c r="AD3" s="51"/>
    </row>
    <row r="4" spans="2:33" ht="15.95" customHeight="1" x14ac:dyDescent="0.25">
      <c r="B4" s="60" t="s">
        <v>655</v>
      </c>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row>
    <row r="5" spans="2:33" ht="18" customHeight="1" x14ac:dyDescent="0.25">
      <c r="B5" s="55" t="s">
        <v>656</v>
      </c>
      <c r="C5" s="51"/>
      <c r="D5" s="51"/>
      <c r="E5" s="51"/>
      <c r="F5" s="53" t="s">
        <v>657</v>
      </c>
      <c r="G5" s="51"/>
      <c r="H5" s="51"/>
      <c r="I5" s="51"/>
      <c r="J5" s="51"/>
      <c r="K5" s="51"/>
      <c r="L5" s="56" t="s">
        <v>658</v>
      </c>
      <c r="M5" s="51"/>
      <c r="N5" s="51"/>
      <c r="O5" s="59" t="s">
        <v>659</v>
      </c>
      <c r="P5" s="51"/>
      <c r="Q5" s="61" t="s">
        <v>660</v>
      </c>
      <c r="R5" s="51"/>
      <c r="S5" s="62" t="s">
        <v>661</v>
      </c>
      <c r="T5" s="51"/>
      <c r="U5" s="63" t="s">
        <v>662</v>
      </c>
      <c r="V5" s="51"/>
      <c r="W5" s="66" t="s">
        <v>663</v>
      </c>
      <c r="X5" s="51"/>
      <c r="Y5" s="64" t="s">
        <v>664</v>
      </c>
      <c r="Z5" s="51"/>
      <c r="AA5" s="65" t="s">
        <v>665</v>
      </c>
      <c r="AB5" s="51"/>
      <c r="AC5" s="55" t="s">
        <v>666</v>
      </c>
      <c r="AD5" s="51"/>
      <c r="AE5" s="51"/>
      <c r="AF5" s="51"/>
      <c r="AG5" s="51"/>
    </row>
    <row r="6" spans="2:33" ht="42" customHeight="1" x14ac:dyDescent="0.25">
      <c r="B6" s="1" t="s">
        <v>70</v>
      </c>
      <c r="C6" s="1" t="s">
        <v>667</v>
      </c>
      <c r="D6" s="1" t="s">
        <v>668</v>
      </c>
      <c r="E6" s="1" t="s">
        <v>669</v>
      </c>
      <c r="F6" s="2" t="s">
        <v>670</v>
      </c>
      <c r="G6" s="2" t="s">
        <v>671</v>
      </c>
      <c r="H6" s="2" t="s">
        <v>672</v>
      </c>
      <c r="I6" s="2" t="s">
        <v>673</v>
      </c>
      <c r="J6" s="2" t="s">
        <v>674</v>
      </c>
      <c r="K6" s="2" t="s">
        <v>675</v>
      </c>
      <c r="L6" s="5" t="s">
        <v>676</v>
      </c>
      <c r="M6" s="5" t="s">
        <v>677</v>
      </c>
      <c r="N6" s="5" t="s">
        <v>678</v>
      </c>
      <c r="O6" s="6" t="s">
        <v>679</v>
      </c>
      <c r="P6" s="6" t="s">
        <v>680</v>
      </c>
      <c r="Q6" s="12" t="s">
        <v>681</v>
      </c>
      <c r="R6" s="12" t="s">
        <v>682</v>
      </c>
      <c r="S6" s="13" t="s">
        <v>683</v>
      </c>
      <c r="T6" s="13" t="s">
        <v>684</v>
      </c>
      <c r="U6" s="14" t="s">
        <v>685</v>
      </c>
      <c r="V6" s="14" t="s">
        <v>686</v>
      </c>
      <c r="W6" s="4" t="s">
        <v>687</v>
      </c>
      <c r="X6" s="4" t="s">
        <v>688</v>
      </c>
      <c r="Y6" s="15" t="s">
        <v>689</v>
      </c>
      <c r="Z6" s="15" t="s">
        <v>690</v>
      </c>
      <c r="AA6" s="16" t="s">
        <v>691</v>
      </c>
      <c r="AB6" s="16" t="s">
        <v>692</v>
      </c>
      <c r="AC6" s="1" t="s">
        <v>693</v>
      </c>
      <c r="AD6" s="1" t="s">
        <v>694</v>
      </c>
      <c r="AE6" s="1" t="s">
        <v>695</v>
      </c>
      <c r="AF6" s="1" t="s">
        <v>696</v>
      </c>
      <c r="AG6" s="1" t="s">
        <v>697</v>
      </c>
    </row>
    <row r="7" spans="2:33" ht="20.100000000000001" customHeight="1" x14ac:dyDescent="0.25">
      <c r="B7" s="17">
        <v>1</v>
      </c>
      <c r="C7" s="18">
        <v>44928</v>
      </c>
      <c r="D7" s="19">
        <v>1645</v>
      </c>
      <c r="E7" s="8" t="s">
        <v>823</v>
      </c>
      <c r="F7" s="20">
        <v>1649.48</v>
      </c>
      <c r="G7" s="20">
        <v>1689.92</v>
      </c>
      <c r="H7" s="20">
        <v>1610.32</v>
      </c>
      <c r="I7" s="20">
        <f t="shared" ref="I7:I38" si="0">IFERROR(G7-H7,"")</f>
        <v>79.600000000000136</v>
      </c>
      <c r="J7" s="20">
        <v>1670.2</v>
      </c>
      <c r="K7" s="20">
        <v>1633.24</v>
      </c>
      <c r="L7" s="7" t="s">
        <v>112</v>
      </c>
      <c r="M7" s="7" t="s">
        <v>112</v>
      </c>
      <c r="N7" s="7" t="s">
        <v>112</v>
      </c>
      <c r="O7" s="21">
        <v>-1</v>
      </c>
      <c r="P7" s="22" t="s">
        <v>1292</v>
      </c>
      <c r="Q7" s="23">
        <v>0</v>
      </c>
      <c r="R7" s="22" t="s">
        <v>823</v>
      </c>
      <c r="S7" s="24">
        <v>0</v>
      </c>
      <c r="T7" s="25"/>
      <c r="U7" s="26">
        <v>0</v>
      </c>
      <c r="V7" s="25"/>
      <c r="W7" s="27">
        <v>0</v>
      </c>
      <c r="X7" s="22" t="s">
        <v>823</v>
      </c>
      <c r="Y7" s="28">
        <v>0</v>
      </c>
      <c r="Z7" s="25"/>
      <c r="AA7" s="29">
        <v>0</v>
      </c>
      <c r="AB7" s="25"/>
      <c r="AC7" s="30">
        <f t="shared" ref="AC7:AC38" si="1">SUM(O7,Q7,S7,U7,W7,Y7,AA7)</f>
        <v>-1</v>
      </c>
      <c r="AD7" s="7"/>
      <c r="AE7" s="7" t="str">
        <f t="shared" ref="AE7:AE38" si="2">IFERROR(IF(AC7&gt;=4,"🔺 Bullish",IF(AC7&lt;=-4,"🔻 Bearish",IF(AC7&gt;=2,"↑ Mildly Bullish",IF(AC7&lt;=-2,"↓ Mildly Bearish","→ Neutral")))),"—")</f>
        <v>→ Neutral</v>
      </c>
      <c r="AF7" s="7" t="str">
        <f t="shared" ref="AF7:AF38" si="3">IFERROR(IF(AC7&gt;=4,"STOCK IN NOW",IF(AC7&lt;=-4,"REDUCE EXPOSURE",IF(AC7&gt;=2,"Consider stock-in",IF(AC7&lt;=-2,"Review sell price","Hold")))),"—")</f>
        <v>Hold</v>
      </c>
      <c r="AG7" s="10"/>
    </row>
    <row r="8" spans="2:33" ht="20.100000000000001" customHeight="1" x14ac:dyDescent="0.25">
      <c r="B8" s="31">
        <v>2</v>
      </c>
      <c r="C8" s="32">
        <v>44935</v>
      </c>
      <c r="D8" s="19">
        <v>1635</v>
      </c>
      <c r="E8" s="8" t="s">
        <v>834</v>
      </c>
      <c r="F8" s="20">
        <v>1655.57</v>
      </c>
      <c r="G8" s="20">
        <v>1694.47</v>
      </c>
      <c r="H8" s="20">
        <v>1624.86</v>
      </c>
      <c r="I8" s="20">
        <f t="shared" si="0"/>
        <v>69.610000000000127</v>
      </c>
      <c r="J8" s="20">
        <v>1671.75</v>
      </c>
      <c r="K8" s="20">
        <v>1659.97</v>
      </c>
      <c r="L8" s="7" t="s">
        <v>112</v>
      </c>
      <c r="M8" s="7" t="s">
        <v>112</v>
      </c>
      <c r="N8" s="7" t="s">
        <v>112</v>
      </c>
      <c r="O8" s="21">
        <v>-1</v>
      </c>
      <c r="P8" s="22" t="s">
        <v>1293</v>
      </c>
      <c r="Q8" s="23">
        <v>-1</v>
      </c>
      <c r="R8" s="22" t="s">
        <v>834</v>
      </c>
      <c r="S8" s="24">
        <v>0</v>
      </c>
      <c r="T8" s="25"/>
      <c r="U8" s="26">
        <v>0</v>
      </c>
      <c r="V8" s="25"/>
      <c r="W8" s="27">
        <v>0</v>
      </c>
      <c r="X8" s="22" t="s">
        <v>834</v>
      </c>
      <c r="Y8" s="28">
        <v>0</v>
      </c>
      <c r="Z8" s="25"/>
      <c r="AA8" s="29">
        <v>0</v>
      </c>
      <c r="AB8" s="25"/>
      <c r="AC8" s="30">
        <f t="shared" si="1"/>
        <v>-2</v>
      </c>
      <c r="AD8" s="7"/>
      <c r="AE8" s="7" t="str">
        <f t="shared" si="2"/>
        <v>↓ Mildly Bearish</v>
      </c>
      <c r="AF8" s="7" t="str">
        <f t="shared" si="3"/>
        <v>Review sell price</v>
      </c>
      <c r="AG8" s="10"/>
    </row>
    <row r="9" spans="2:33" ht="20.100000000000001" customHeight="1" x14ac:dyDescent="0.25">
      <c r="B9" s="17">
        <v>3</v>
      </c>
      <c r="C9" s="18">
        <v>44942</v>
      </c>
      <c r="D9" s="19">
        <v>1620</v>
      </c>
      <c r="E9" s="8" t="s">
        <v>838</v>
      </c>
      <c r="F9" s="20">
        <v>1645.97</v>
      </c>
      <c r="G9" s="20">
        <v>1696.96</v>
      </c>
      <c r="H9" s="20">
        <v>1597.45</v>
      </c>
      <c r="I9" s="20">
        <f t="shared" si="0"/>
        <v>99.509999999999991</v>
      </c>
      <c r="J9" s="20">
        <v>1673.07</v>
      </c>
      <c r="K9" s="20">
        <v>1644.84</v>
      </c>
      <c r="L9" s="9">
        <f t="shared" ref="L9:L40" si="4">IFERROR(D9-D8,"")</f>
        <v>-15</v>
      </c>
      <c r="M9" s="11">
        <f t="shared" ref="M9:M40" si="5">IFERROR(L9/D8,"")</f>
        <v>-9.1743119266055051E-3</v>
      </c>
      <c r="N9" s="7" t="s">
        <v>112</v>
      </c>
      <c r="O9" s="21">
        <v>-1</v>
      </c>
      <c r="P9" s="22" t="s">
        <v>1294</v>
      </c>
      <c r="Q9" s="23">
        <v>-1</v>
      </c>
      <c r="R9" s="22" t="s">
        <v>838</v>
      </c>
      <c r="S9" s="24">
        <v>0</v>
      </c>
      <c r="T9" s="25"/>
      <c r="U9" s="26">
        <v>0</v>
      </c>
      <c r="V9" s="25"/>
      <c r="W9" s="27">
        <v>0</v>
      </c>
      <c r="X9" s="22" t="s">
        <v>838</v>
      </c>
      <c r="Y9" s="28">
        <v>0</v>
      </c>
      <c r="Z9" s="25"/>
      <c r="AA9" s="29">
        <v>0</v>
      </c>
      <c r="AB9" s="25"/>
      <c r="AC9" s="30">
        <f t="shared" si="1"/>
        <v>-2</v>
      </c>
      <c r="AD9" s="7"/>
      <c r="AE9" s="7" t="str">
        <f t="shared" si="2"/>
        <v>↓ Mildly Bearish</v>
      </c>
      <c r="AF9" s="7" t="str">
        <f t="shared" si="3"/>
        <v>Review sell price</v>
      </c>
      <c r="AG9" s="10"/>
    </row>
    <row r="10" spans="2:33" ht="20.100000000000001" customHeight="1" x14ac:dyDescent="0.25">
      <c r="B10" s="31">
        <v>4</v>
      </c>
      <c r="C10" s="32">
        <v>44949</v>
      </c>
      <c r="D10" s="19">
        <v>1608</v>
      </c>
      <c r="E10" s="8" t="s">
        <v>842</v>
      </c>
      <c r="F10" s="20">
        <v>1598.53</v>
      </c>
      <c r="G10" s="20">
        <v>1631.01</v>
      </c>
      <c r="H10" s="20">
        <v>1578.39</v>
      </c>
      <c r="I10" s="20">
        <f t="shared" si="0"/>
        <v>52.619999999999891</v>
      </c>
      <c r="J10" s="20">
        <v>1596.5</v>
      </c>
      <c r="K10" s="20">
        <v>1591.08</v>
      </c>
      <c r="L10" s="9">
        <f t="shared" si="4"/>
        <v>-12</v>
      </c>
      <c r="M10" s="11">
        <f t="shared" si="5"/>
        <v>-7.4074074074074077E-3</v>
      </c>
      <c r="N10" s="7" t="s">
        <v>112</v>
      </c>
      <c r="O10" s="21">
        <v>-2</v>
      </c>
      <c r="P10" s="22" t="s">
        <v>1295</v>
      </c>
      <c r="Q10" s="23">
        <v>-1</v>
      </c>
      <c r="R10" s="22" t="s">
        <v>842</v>
      </c>
      <c r="S10" s="24">
        <v>0</v>
      </c>
      <c r="T10" s="25"/>
      <c r="U10" s="26">
        <v>0</v>
      </c>
      <c r="V10" s="25"/>
      <c r="W10" s="27">
        <v>0</v>
      </c>
      <c r="X10" s="22" t="s">
        <v>842</v>
      </c>
      <c r="Y10" s="28">
        <v>0</v>
      </c>
      <c r="Z10" s="25"/>
      <c r="AA10" s="29">
        <v>0</v>
      </c>
      <c r="AB10" s="25"/>
      <c r="AC10" s="30">
        <f t="shared" si="1"/>
        <v>-3</v>
      </c>
      <c r="AD10" s="7"/>
      <c r="AE10" s="7" t="str">
        <f t="shared" si="2"/>
        <v>↓ Mildly Bearish</v>
      </c>
      <c r="AF10" s="7" t="str">
        <f t="shared" si="3"/>
        <v>Review sell price</v>
      </c>
      <c r="AG10" s="10"/>
    </row>
    <row r="11" spans="2:33" ht="20.100000000000001" customHeight="1" x14ac:dyDescent="0.25">
      <c r="B11" s="17">
        <v>5</v>
      </c>
      <c r="C11" s="18">
        <v>44956</v>
      </c>
      <c r="D11" s="19">
        <v>1595</v>
      </c>
      <c r="E11" s="8" t="s">
        <v>846</v>
      </c>
      <c r="F11" s="20">
        <v>1617.01</v>
      </c>
      <c r="G11" s="20">
        <v>1645.24</v>
      </c>
      <c r="H11" s="20">
        <v>1578.21</v>
      </c>
      <c r="I11" s="20">
        <f t="shared" si="0"/>
        <v>67.029999999999973</v>
      </c>
      <c r="J11" s="20">
        <v>1630.36</v>
      </c>
      <c r="K11" s="20">
        <v>1625.67</v>
      </c>
      <c r="L11" s="9">
        <f t="shared" si="4"/>
        <v>-13</v>
      </c>
      <c r="M11" s="11">
        <f t="shared" si="5"/>
        <v>-8.0845771144278603E-3</v>
      </c>
      <c r="N11" s="20">
        <f t="shared" ref="N11:N42" si="6">IFERROR(AVERAGE(D8:D11),"")</f>
        <v>1614.5</v>
      </c>
      <c r="O11" s="21">
        <v>-2</v>
      </c>
      <c r="P11" s="22" t="s">
        <v>1296</v>
      </c>
      <c r="Q11" s="23">
        <v>-1</v>
      </c>
      <c r="R11" s="22" t="s">
        <v>846</v>
      </c>
      <c r="S11" s="24">
        <v>0</v>
      </c>
      <c r="T11" s="25"/>
      <c r="U11" s="26">
        <v>0</v>
      </c>
      <c r="V11" s="25"/>
      <c r="W11" s="27">
        <v>0</v>
      </c>
      <c r="X11" s="22" t="s">
        <v>846</v>
      </c>
      <c r="Y11" s="28">
        <v>0</v>
      </c>
      <c r="Z11" s="25"/>
      <c r="AA11" s="29">
        <v>0</v>
      </c>
      <c r="AB11" s="25"/>
      <c r="AC11" s="30">
        <f t="shared" si="1"/>
        <v>-3</v>
      </c>
      <c r="AD11" s="7"/>
      <c r="AE11" s="7" t="str">
        <f t="shared" si="2"/>
        <v>↓ Mildly Bearish</v>
      </c>
      <c r="AF11" s="7" t="str">
        <f t="shared" si="3"/>
        <v>Review sell price</v>
      </c>
      <c r="AG11" s="10"/>
    </row>
    <row r="12" spans="2:33" ht="20.100000000000001" customHeight="1" x14ac:dyDescent="0.25">
      <c r="B12" s="31">
        <v>6</v>
      </c>
      <c r="C12" s="32">
        <v>44963</v>
      </c>
      <c r="D12" s="19">
        <v>1580</v>
      </c>
      <c r="E12" s="8" t="s">
        <v>850</v>
      </c>
      <c r="F12" s="20">
        <v>1589.55</v>
      </c>
      <c r="G12" s="20">
        <v>1621.73</v>
      </c>
      <c r="H12" s="20">
        <v>1561.6</v>
      </c>
      <c r="I12" s="20">
        <f t="shared" si="0"/>
        <v>60.130000000000109</v>
      </c>
      <c r="J12" s="20">
        <v>1613.51</v>
      </c>
      <c r="K12" s="20">
        <v>1575.14</v>
      </c>
      <c r="L12" s="9">
        <f t="shared" si="4"/>
        <v>-15</v>
      </c>
      <c r="M12" s="11">
        <f t="shared" si="5"/>
        <v>-9.4043887147335428E-3</v>
      </c>
      <c r="N12" s="20">
        <f t="shared" si="6"/>
        <v>1600.75</v>
      </c>
      <c r="O12" s="21">
        <v>-2</v>
      </c>
      <c r="P12" s="22" t="s">
        <v>1297</v>
      </c>
      <c r="Q12" s="23">
        <v>-2</v>
      </c>
      <c r="R12" s="22" t="s">
        <v>850</v>
      </c>
      <c r="S12" s="24">
        <v>0</v>
      </c>
      <c r="T12" s="25"/>
      <c r="U12" s="26">
        <v>0</v>
      </c>
      <c r="V12" s="25"/>
      <c r="W12" s="27">
        <v>0</v>
      </c>
      <c r="X12" s="22" t="s">
        <v>850</v>
      </c>
      <c r="Y12" s="28">
        <v>0</v>
      </c>
      <c r="Z12" s="25"/>
      <c r="AA12" s="29">
        <v>0</v>
      </c>
      <c r="AB12" s="25"/>
      <c r="AC12" s="30">
        <f t="shared" si="1"/>
        <v>-4</v>
      </c>
      <c r="AD12" s="7"/>
      <c r="AE12" s="7" t="str">
        <f t="shared" si="2"/>
        <v>🔻 Bearish</v>
      </c>
      <c r="AF12" s="7" t="str">
        <f t="shared" si="3"/>
        <v>REDUCE EXPOSURE</v>
      </c>
      <c r="AG12" s="10"/>
    </row>
    <row r="13" spans="2:33" ht="20.100000000000001" customHeight="1" x14ac:dyDescent="0.25">
      <c r="B13" s="17">
        <v>7</v>
      </c>
      <c r="C13" s="18">
        <v>44970</v>
      </c>
      <c r="D13" s="19">
        <v>1572</v>
      </c>
      <c r="E13" s="8" t="s">
        <v>854</v>
      </c>
      <c r="F13" s="20">
        <v>1579.36</v>
      </c>
      <c r="G13" s="20">
        <v>1606.52</v>
      </c>
      <c r="H13" s="20">
        <v>1560.94</v>
      </c>
      <c r="I13" s="20">
        <f t="shared" si="0"/>
        <v>45.579999999999927</v>
      </c>
      <c r="J13" s="20">
        <v>1574.08</v>
      </c>
      <c r="K13" s="20">
        <v>1591.99</v>
      </c>
      <c r="L13" s="9">
        <f t="shared" si="4"/>
        <v>-8</v>
      </c>
      <c r="M13" s="11">
        <f t="shared" si="5"/>
        <v>-5.0632911392405064E-3</v>
      </c>
      <c r="N13" s="20">
        <f t="shared" si="6"/>
        <v>1588.75</v>
      </c>
      <c r="O13" s="21">
        <v>-2</v>
      </c>
      <c r="P13" s="22" t="s">
        <v>1298</v>
      </c>
      <c r="Q13" s="23">
        <v>-2</v>
      </c>
      <c r="R13" s="22" t="s">
        <v>854</v>
      </c>
      <c r="S13" s="24">
        <v>0</v>
      </c>
      <c r="T13" s="25"/>
      <c r="U13" s="26">
        <v>0</v>
      </c>
      <c r="V13" s="25"/>
      <c r="W13" s="27">
        <v>0</v>
      </c>
      <c r="X13" s="22" t="s">
        <v>854</v>
      </c>
      <c r="Y13" s="28">
        <v>0</v>
      </c>
      <c r="Z13" s="25"/>
      <c r="AA13" s="29">
        <v>0</v>
      </c>
      <c r="AB13" s="25"/>
      <c r="AC13" s="30">
        <f t="shared" si="1"/>
        <v>-4</v>
      </c>
      <c r="AD13" s="7"/>
      <c r="AE13" s="7" t="str">
        <f t="shared" si="2"/>
        <v>🔻 Bearish</v>
      </c>
      <c r="AF13" s="7" t="str">
        <f t="shared" si="3"/>
        <v>REDUCE EXPOSURE</v>
      </c>
      <c r="AG13" s="10"/>
    </row>
    <row r="14" spans="2:33" ht="20.100000000000001" customHeight="1" x14ac:dyDescent="0.25">
      <c r="B14" s="31">
        <v>8</v>
      </c>
      <c r="C14" s="32">
        <v>44977</v>
      </c>
      <c r="D14" s="19">
        <v>1560</v>
      </c>
      <c r="E14" s="8" t="s">
        <v>858</v>
      </c>
      <c r="F14" s="20">
        <v>1559.08</v>
      </c>
      <c r="G14" s="20">
        <v>1586.01</v>
      </c>
      <c r="H14" s="20">
        <v>1527.08</v>
      </c>
      <c r="I14" s="20">
        <f t="shared" si="0"/>
        <v>58.930000000000064</v>
      </c>
      <c r="J14" s="20">
        <v>1547.19</v>
      </c>
      <c r="K14" s="20">
        <v>1570.04</v>
      </c>
      <c r="L14" s="9">
        <f t="shared" si="4"/>
        <v>-12</v>
      </c>
      <c r="M14" s="11">
        <f t="shared" si="5"/>
        <v>-7.6335877862595417E-3</v>
      </c>
      <c r="N14" s="20">
        <f t="shared" si="6"/>
        <v>1576.75</v>
      </c>
      <c r="O14" s="21">
        <v>-2</v>
      </c>
      <c r="P14" s="22" t="s">
        <v>1299</v>
      </c>
      <c r="Q14" s="23">
        <v>-2</v>
      </c>
      <c r="R14" s="22" t="s">
        <v>858</v>
      </c>
      <c r="S14" s="24">
        <v>-1</v>
      </c>
      <c r="T14" s="22" t="s">
        <v>1299</v>
      </c>
      <c r="U14" s="26">
        <v>1</v>
      </c>
      <c r="V14" s="22" t="s">
        <v>1299</v>
      </c>
      <c r="W14" s="27">
        <v>0</v>
      </c>
      <c r="X14" s="22" t="s">
        <v>858</v>
      </c>
      <c r="Y14" s="28">
        <v>0</v>
      </c>
      <c r="Z14" s="25"/>
      <c r="AA14" s="29">
        <v>0</v>
      </c>
      <c r="AB14" s="25"/>
      <c r="AC14" s="30">
        <f t="shared" si="1"/>
        <v>-4</v>
      </c>
      <c r="AD14" s="7"/>
      <c r="AE14" s="7" t="str">
        <f t="shared" si="2"/>
        <v>🔻 Bearish</v>
      </c>
      <c r="AF14" s="7" t="str">
        <f t="shared" si="3"/>
        <v>REDUCE EXPOSURE</v>
      </c>
      <c r="AG14" s="10"/>
    </row>
    <row r="15" spans="2:33" ht="20.100000000000001" customHeight="1" x14ac:dyDescent="0.25">
      <c r="B15" s="17">
        <v>9</v>
      </c>
      <c r="C15" s="18">
        <v>44984</v>
      </c>
      <c r="D15" s="19">
        <v>1548</v>
      </c>
      <c r="E15" s="8" t="s">
        <v>862</v>
      </c>
      <c r="F15" s="20">
        <v>1540.11</v>
      </c>
      <c r="G15" s="20">
        <v>1569.32</v>
      </c>
      <c r="H15" s="20">
        <v>1514.03</v>
      </c>
      <c r="I15" s="20">
        <f t="shared" si="0"/>
        <v>55.289999999999964</v>
      </c>
      <c r="J15" s="20">
        <v>1547.11</v>
      </c>
      <c r="K15" s="20">
        <v>1525.23</v>
      </c>
      <c r="L15" s="9">
        <f t="shared" si="4"/>
        <v>-12</v>
      </c>
      <c r="M15" s="11">
        <f t="shared" si="5"/>
        <v>-7.6923076923076927E-3</v>
      </c>
      <c r="N15" s="20">
        <f t="shared" si="6"/>
        <v>1565</v>
      </c>
      <c r="O15" s="21">
        <v>-2</v>
      </c>
      <c r="P15" s="22" t="s">
        <v>1300</v>
      </c>
      <c r="Q15" s="23">
        <v>-2</v>
      </c>
      <c r="R15" s="22" t="s">
        <v>862</v>
      </c>
      <c r="S15" s="24">
        <v>-1</v>
      </c>
      <c r="T15" s="22" t="s">
        <v>1300</v>
      </c>
      <c r="U15" s="26">
        <v>1</v>
      </c>
      <c r="V15" s="22" t="s">
        <v>1300</v>
      </c>
      <c r="W15" s="27">
        <v>0</v>
      </c>
      <c r="X15" s="22" t="s">
        <v>862</v>
      </c>
      <c r="Y15" s="28">
        <v>0</v>
      </c>
      <c r="Z15" s="25"/>
      <c r="AA15" s="29">
        <v>0</v>
      </c>
      <c r="AB15" s="25"/>
      <c r="AC15" s="30">
        <f t="shared" si="1"/>
        <v>-4</v>
      </c>
      <c r="AD15" s="7"/>
      <c r="AE15" s="7" t="str">
        <f t="shared" si="2"/>
        <v>🔻 Bearish</v>
      </c>
      <c r="AF15" s="7" t="str">
        <f t="shared" si="3"/>
        <v>REDUCE EXPOSURE</v>
      </c>
      <c r="AG15" s="10"/>
    </row>
    <row r="16" spans="2:33" ht="20.100000000000001" customHeight="1" x14ac:dyDescent="0.25">
      <c r="B16" s="31">
        <v>10</v>
      </c>
      <c r="C16" s="32">
        <v>44991</v>
      </c>
      <c r="D16" s="19">
        <v>1540</v>
      </c>
      <c r="E16" s="8" t="s">
        <v>866</v>
      </c>
      <c r="F16" s="20">
        <v>1558.49</v>
      </c>
      <c r="G16" s="20">
        <v>1601.44</v>
      </c>
      <c r="H16" s="20">
        <v>1519.96</v>
      </c>
      <c r="I16" s="20">
        <f t="shared" si="0"/>
        <v>81.480000000000018</v>
      </c>
      <c r="J16" s="20">
        <v>1580.06</v>
      </c>
      <c r="K16" s="20">
        <v>1555.42</v>
      </c>
      <c r="L16" s="9">
        <f t="shared" si="4"/>
        <v>-8</v>
      </c>
      <c r="M16" s="11">
        <f t="shared" si="5"/>
        <v>-5.1679586563307496E-3</v>
      </c>
      <c r="N16" s="20">
        <f t="shared" si="6"/>
        <v>1555</v>
      </c>
      <c r="O16" s="21">
        <v>-2</v>
      </c>
      <c r="P16" s="22" t="s">
        <v>1301</v>
      </c>
      <c r="Q16" s="23">
        <v>-2</v>
      </c>
      <c r="R16" s="22" t="s">
        <v>866</v>
      </c>
      <c r="S16" s="24">
        <v>-1</v>
      </c>
      <c r="T16" s="22" t="s">
        <v>1301</v>
      </c>
      <c r="U16" s="26">
        <v>1</v>
      </c>
      <c r="V16" s="22" t="s">
        <v>1301</v>
      </c>
      <c r="W16" s="27">
        <v>0</v>
      </c>
      <c r="X16" s="22" t="s">
        <v>866</v>
      </c>
      <c r="Y16" s="28">
        <v>0</v>
      </c>
      <c r="Z16" s="25"/>
      <c r="AA16" s="29">
        <v>0</v>
      </c>
      <c r="AB16" s="25"/>
      <c r="AC16" s="30">
        <f t="shared" si="1"/>
        <v>-4</v>
      </c>
      <c r="AD16" s="7"/>
      <c r="AE16" s="7" t="str">
        <f t="shared" si="2"/>
        <v>🔻 Bearish</v>
      </c>
      <c r="AF16" s="7" t="str">
        <f t="shared" si="3"/>
        <v>REDUCE EXPOSURE</v>
      </c>
      <c r="AG16" s="10"/>
    </row>
    <row r="17" spans="2:33" ht="20.100000000000001" customHeight="1" x14ac:dyDescent="0.25">
      <c r="B17" s="17">
        <v>11</v>
      </c>
      <c r="C17" s="18">
        <v>44998</v>
      </c>
      <c r="D17" s="19">
        <v>1532</v>
      </c>
      <c r="E17" s="8" t="s">
        <v>870</v>
      </c>
      <c r="F17" s="20">
        <v>1559.76</v>
      </c>
      <c r="G17" s="20">
        <v>1585.72</v>
      </c>
      <c r="H17" s="20">
        <v>1510.65</v>
      </c>
      <c r="I17" s="20">
        <f t="shared" si="0"/>
        <v>75.069999999999936</v>
      </c>
      <c r="J17" s="20">
        <v>1571.63</v>
      </c>
      <c r="K17" s="20">
        <v>1575.65</v>
      </c>
      <c r="L17" s="9">
        <f t="shared" si="4"/>
        <v>-8</v>
      </c>
      <c r="M17" s="11">
        <f t="shared" si="5"/>
        <v>-5.1948051948051948E-3</v>
      </c>
      <c r="N17" s="20">
        <f t="shared" si="6"/>
        <v>1545</v>
      </c>
      <c r="O17" s="21">
        <v>-2</v>
      </c>
      <c r="P17" s="22" t="s">
        <v>1302</v>
      </c>
      <c r="Q17" s="23">
        <v>-2</v>
      </c>
      <c r="R17" s="22" t="s">
        <v>870</v>
      </c>
      <c r="S17" s="24">
        <v>-1</v>
      </c>
      <c r="T17" s="22" t="s">
        <v>1302</v>
      </c>
      <c r="U17" s="26">
        <v>1</v>
      </c>
      <c r="V17" s="22" t="s">
        <v>1302</v>
      </c>
      <c r="W17" s="27">
        <v>0</v>
      </c>
      <c r="X17" s="22" t="s">
        <v>870</v>
      </c>
      <c r="Y17" s="28">
        <v>0</v>
      </c>
      <c r="Z17" s="25"/>
      <c r="AA17" s="29">
        <v>0</v>
      </c>
      <c r="AB17" s="25"/>
      <c r="AC17" s="30">
        <f t="shared" si="1"/>
        <v>-4</v>
      </c>
      <c r="AD17" s="7"/>
      <c r="AE17" s="7" t="str">
        <f t="shared" si="2"/>
        <v>🔻 Bearish</v>
      </c>
      <c r="AF17" s="7" t="str">
        <f t="shared" si="3"/>
        <v>REDUCE EXPOSURE</v>
      </c>
      <c r="AG17" s="10"/>
    </row>
    <row r="18" spans="2:33" ht="20.100000000000001" customHeight="1" x14ac:dyDescent="0.25">
      <c r="B18" s="31">
        <v>12</v>
      </c>
      <c r="C18" s="32">
        <v>45005</v>
      </c>
      <c r="D18" s="19">
        <v>1528</v>
      </c>
      <c r="E18" s="8" t="s">
        <v>874</v>
      </c>
      <c r="F18" s="20">
        <v>1543.44</v>
      </c>
      <c r="G18" s="20">
        <v>1584.32</v>
      </c>
      <c r="H18" s="20">
        <v>1516.07</v>
      </c>
      <c r="I18" s="20">
        <f t="shared" si="0"/>
        <v>68.25</v>
      </c>
      <c r="J18" s="20">
        <v>1530.5</v>
      </c>
      <c r="K18" s="20">
        <v>1571.81</v>
      </c>
      <c r="L18" s="9">
        <f t="shared" si="4"/>
        <v>-4</v>
      </c>
      <c r="M18" s="11">
        <f t="shared" si="5"/>
        <v>-2.6109660574412533E-3</v>
      </c>
      <c r="N18" s="20">
        <f t="shared" si="6"/>
        <v>1537</v>
      </c>
      <c r="O18" s="21">
        <v>-1</v>
      </c>
      <c r="P18" s="22" t="s">
        <v>1303</v>
      </c>
      <c r="Q18" s="23">
        <v>-1</v>
      </c>
      <c r="R18" s="22" t="s">
        <v>874</v>
      </c>
      <c r="S18" s="24">
        <v>-1</v>
      </c>
      <c r="T18" s="22" t="s">
        <v>1303</v>
      </c>
      <c r="U18" s="26">
        <v>0</v>
      </c>
      <c r="V18" s="25"/>
      <c r="W18" s="27">
        <v>0</v>
      </c>
      <c r="X18" s="22" t="s">
        <v>874</v>
      </c>
      <c r="Y18" s="28">
        <v>0</v>
      </c>
      <c r="Z18" s="25"/>
      <c r="AA18" s="29">
        <v>0</v>
      </c>
      <c r="AB18" s="25"/>
      <c r="AC18" s="30">
        <f t="shared" si="1"/>
        <v>-3</v>
      </c>
      <c r="AD18" s="7"/>
      <c r="AE18" s="7" t="str">
        <f t="shared" si="2"/>
        <v>↓ Mildly Bearish</v>
      </c>
      <c r="AF18" s="7" t="str">
        <f t="shared" si="3"/>
        <v>Review sell price</v>
      </c>
      <c r="AG18" s="10"/>
    </row>
    <row r="19" spans="2:33" ht="20.100000000000001" customHeight="1" x14ac:dyDescent="0.25">
      <c r="B19" s="17">
        <v>13</v>
      </c>
      <c r="C19" s="18">
        <v>45012</v>
      </c>
      <c r="D19" s="19">
        <v>1525</v>
      </c>
      <c r="E19" s="8" t="s">
        <v>878</v>
      </c>
      <c r="F19" s="20">
        <v>1535.96</v>
      </c>
      <c r="G19" s="20">
        <v>1585.34</v>
      </c>
      <c r="H19" s="20">
        <v>1487.98</v>
      </c>
      <c r="I19" s="20">
        <f t="shared" si="0"/>
        <v>97.3599999999999</v>
      </c>
      <c r="J19" s="20">
        <v>1575.06</v>
      </c>
      <c r="K19" s="20">
        <v>1507.81</v>
      </c>
      <c r="L19" s="9">
        <f t="shared" si="4"/>
        <v>-3</v>
      </c>
      <c r="M19" s="11">
        <f t="shared" si="5"/>
        <v>-1.963350785340314E-3</v>
      </c>
      <c r="N19" s="20">
        <f t="shared" si="6"/>
        <v>1531.25</v>
      </c>
      <c r="O19" s="21">
        <v>-1</v>
      </c>
      <c r="P19" s="22" t="s">
        <v>1304</v>
      </c>
      <c r="Q19" s="23">
        <v>-1</v>
      </c>
      <c r="R19" s="22" t="s">
        <v>878</v>
      </c>
      <c r="S19" s="24">
        <v>0</v>
      </c>
      <c r="T19" s="25"/>
      <c r="U19" s="26">
        <v>0</v>
      </c>
      <c r="V19" s="25"/>
      <c r="W19" s="27">
        <v>0</v>
      </c>
      <c r="X19" s="22" t="s">
        <v>878</v>
      </c>
      <c r="Y19" s="28">
        <v>0</v>
      </c>
      <c r="Z19" s="25"/>
      <c r="AA19" s="29">
        <v>0</v>
      </c>
      <c r="AB19" s="25"/>
      <c r="AC19" s="30">
        <f t="shared" si="1"/>
        <v>-2</v>
      </c>
      <c r="AD19" s="7"/>
      <c r="AE19" s="7" t="str">
        <f t="shared" si="2"/>
        <v>↓ Mildly Bearish</v>
      </c>
      <c r="AF19" s="7" t="str">
        <f t="shared" si="3"/>
        <v>Review sell price</v>
      </c>
      <c r="AG19" s="10"/>
    </row>
    <row r="20" spans="2:33" ht="20.100000000000001" customHeight="1" x14ac:dyDescent="0.25">
      <c r="B20" s="31">
        <v>14</v>
      </c>
      <c r="C20" s="32">
        <v>45019</v>
      </c>
      <c r="D20" s="19">
        <v>1520</v>
      </c>
      <c r="E20" s="8" t="s">
        <v>882</v>
      </c>
      <c r="F20" s="20">
        <v>1529.27</v>
      </c>
      <c r="G20" s="20">
        <v>1550.17</v>
      </c>
      <c r="H20" s="20">
        <v>1505.88</v>
      </c>
      <c r="I20" s="20">
        <f t="shared" si="0"/>
        <v>44.289999999999964</v>
      </c>
      <c r="J20" s="20">
        <v>1542.08</v>
      </c>
      <c r="K20" s="20">
        <v>1525.73</v>
      </c>
      <c r="L20" s="9">
        <f t="shared" si="4"/>
        <v>-5</v>
      </c>
      <c r="M20" s="11">
        <f t="shared" si="5"/>
        <v>-3.2786885245901639E-3</v>
      </c>
      <c r="N20" s="20">
        <f t="shared" si="6"/>
        <v>1526.25</v>
      </c>
      <c r="O20" s="21">
        <v>-1</v>
      </c>
      <c r="P20" s="22" t="s">
        <v>1305</v>
      </c>
      <c r="Q20" s="23">
        <v>-1</v>
      </c>
      <c r="R20" s="22" t="s">
        <v>882</v>
      </c>
      <c r="S20" s="24">
        <v>0</v>
      </c>
      <c r="T20" s="25"/>
      <c r="U20" s="26">
        <v>0</v>
      </c>
      <c r="V20" s="25"/>
      <c r="W20" s="27">
        <v>0</v>
      </c>
      <c r="X20" s="22" t="s">
        <v>882</v>
      </c>
      <c r="Y20" s="28">
        <v>0</v>
      </c>
      <c r="Z20" s="25"/>
      <c r="AA20" s="29">
        <v>0</v>
      </c>
      <c r="AB20" s="25"/>
      <c r="AC20" s="30">
        <f t="shared" si="1"/>
        <v>-2</v>
      </c>
      <c r="AD20" s="7"/>
      <c r="AE20" s="7" t="str">
        <f t="shared" si="2"/>
        <v>↓ Mildly Bearish</v>
      </c>
      <c r="AF20" s="7" t="str">
        <f t="shared" si="3"/>
        <v>Review sell price</v>
      </c>
      <c r="AG20" s="10"/>
    </row>
    <row r="21" spans="2:33" ht="20.100000000000001" customHeight="1" x14ac:dyDescent="0.25">
      <c r="B21" s="17">
        <v>15</v>
      </c>
      <c r="C21" s="18">
        <v>45026</v>
      </c>
      <c r="D21" s="19">
        <v>1515</v>
      </c>
      <c r="E21" s="8" t="s">
        <v>886</v>
      </c>
      <c r="F21" s="20">
        <v>1531.3</v>
      </c>
      <c r="G21" s="20">
        <v>1555.28</v>
      </c>
      <c r="H21" s="20">
        <v>1501.07</v>
      </c>
      <c r="I21" s="20">
        <f t="shared" si="0"/>
        <v>54.210000000000036</v>
      </c>
      <c r="J21" s="20">
        <v>1547.34</v>
      </c>
      <c r="K21" s="20">
        <v>1531.57</v>
      </c>
      <c r="L21" s="9">
        <f t="shared" si="4"/>
        <v>-5</v>
      </c>
      <c r="M21" s="11">
        <f t="shared" si="5"/>
        <v>-3.2894736842105261E-3</v>
      </c>
      <c r="N21" s="20">
        <f t="shared" si="6"/>
        <v>1522</v>
      </c>
      <c r="O21" s="21">
        <v>-2</v>
      </c>
      <c r="P21" s="22" t="s">
        <v>1306</v>
      </c>
      <c r="Q21" s="23">
        <v>-1</v>
      </c>
      <c r="R21" s="22" t="s">
        <v>886</v>
      </c>
      <c r="S21" s="24">
        <v>0</v>
      </c>
      <c r="T21" s="25"/>
      <c r="U21" s="26">
        <v>0</v>
      </c>
      <c r="V21" s="25"/>
      <c r="W21" s="27">
        <v>0</v>
      </c>
      <c r="X21" s="22" t="s">
        <v>886</v>
      </c>
      <c r="Y21" s="28">
        <v>1</v>
      </c>
      <c r="Z21" s="22" t="s">
        <v>1306</v>
      </c>
      <c r="AA21" s="29">
        <v>0</v>
      </c>
      <c r="AB21" s="25"/>
      <c r="AC21" s="30">
        <f t="shared" si="1"/>
        <v>-2</v>
      </c>
      <c r="AD21" s="7"/>
      <c r="AE21" s="7" t="str">
        <f t="shared" si="2"/>
        <v>↓ Mildly Bearish</v>
      </c>
      <c r="AF21" s="7" t="str">
        <f t="shared" si="3"/>
        <v>Review sell price</v>
      </c>
      <c r="AG21" s="10"/>
    </row>
    <row r="22" spans="2:33" ht="20.100000000000001" customHeight="1" x14ac:dyDescent="0.25">
      <c r="B22" s="31">
        <v>16</v>
      </c>
      <c r="C22" s="32">
        <v>45033</v>
      </c>
      <c r="D22" s="19">
        <v>1518</v>
      </c>
      <c r="E22" s="8" t="s">
        <v>890</v>
      </c>
      <c r="F22" s="20">
        <v>1509.75</v>
      </c>
      <c r="G22" s="20">
        <v>1538.24</v>
      </c>
      <c r="H22" s="20">
        <v>1489.16</v>
      </c>
      <c r="I22" s="20">
        <f t="shared" si="0"/>
        <v>49.079999999999927</v>
      </c>
      <c r="J22" s="20">
        <v>1509.4</v>
      </c>
      <c r="K22" s="20">
        <v>1501.85</v>
      </c>
      <c r="L22" s="9">
        <f t="shared" si="4"/>
        <v>3</v>
      </c>
      <c r="M22" s="11">
        <f t="shared" si="5"/>
        <v>1.9801980198019802E-3</v>
      </c>
      <c r="N22" s="20">
        <f t="shared" si="6"/>
        <v>1519.5</v>
      </c>
      <c r="O22" s="21">
        <v>0</v>
      </c>
      <c r="P22" s="25"/>
      <c r="Q22" s="23">
        <v>0</v>
      </c>
      <c r="R22" s="22" t="s">
        <v>890</v>
      </c>
      <c r="S22" s="24">
        <v>0</v>
      </c>
      <c r="T22" s="25"/>
      <c r="U22" s="26">
        <v>0</v>
      </c>
      <c r="V22" s="25"/>
      <c r="W22" s="27">
        <v>0</v>
      </c>
      <c r="X22" s="22" t="s">
        <v>890</v>
      </c>
      <c r="Y22" s="28">
        <v>0</v>
      </c>
      <c r="Z22" s="25"/>
      <c r="AA22" s="29">
        <v>0</v>
      </c>
      <c r="AB22" s="25"/>
      <c r="AC22" s="30">
        <f t="shared" si="1"/>
        <v>0</v>
      </c>
      <c r="AD22" s="7"/>
      <c r="AE22" s="7" t="str">
        <f t="shared" si="2"/>
        <v>→ Neutral</v>
      </c>
      <c r="AF22" s="7" t="str">
        <f t="shared" si="3"/>
        <v>Hold</v>
      </c>
      <c r="AG22" s="10"/>
    </row>
    <row r="23" spans="2:33" ht="20.100000000000001" customHeight="1" x14ac:dyDescent="0.25">
      <c r="B23" s="17">
        <v>17</v>
      </c>
      <c r="C23" s="18">
        <v>45040</v>
      </c>
      <c r="D23" s="19">
        <v>1522</v>
      </c>
      <c r="E23" s="8" t="s">
        <v>894</v>
      </c>
      <c r="F23" s="20">
        <v>1537.36</v>
      </c>
      <c r="G23" s="20">
        <v>1580.4</v>
      </c>
      <c r="H23" s="20">
        <v>1509.29</v>
      </c>
      <c r="I23" s="20">
        <f t="shared" si="0"/>
        <v>71.110000000000127</v>
      </c>
      <c r="J23" s="20">
        <v>1522.87</v>
      </c>
      <c r="K23" s="20">
        <v>1567.21</v>
      </c>
      <c r="L23" s="9">
        <f t="shared" si="4"/>
        <v>4</v>
      </c>
      <c r="M23" s="11">
        <f t="shared" si="5"/>
        <v>2.635046113306983E-3</v>
      </c>
      <c r="N23" s="20">
        <f t="shared" si="6"/>
        <v>1518.75</v>
      </c>
      <c r="O23" s="21">
        <v>0</v>
      </c>
      <c r="P23" s="25"/>
      <c r="Q23" s="23">
        <v>0</v>
      </c>
      <c r="R23" s="22" t="s">
        <v>894</v>
      </c>
      <c r="S23" s="24">
        <v>0</v>
      </c>
      <c r="T23" s="25"/>
      <c r="U23" s="26">
        <v>0</v>
      </c>
      <c r="V23" s="25"/>
      <c r="W23" s="27">
        <v>0</v>
      </c>
      <c r="X23" s="22" t="s">
        <v>894</v>
      </c>
      <c r="Y23" s="28">
        <v>0</v>
      </c>
      <c r="Z23" s="25"/>
      <c r="AA23" s="29">
        <v>0</v>
      </c>
      <c r="AB23" s="25"/>
      <c r="AC23" s="30">
        <f t="shared" si="1"/>
        <v>0</v>
      </c>
      <c r="AD23" s="7"/>
      <c r="AE23" s="7" t="str">
        <f t="shared" si="2"/>
        <v>→ Neutral</v>
      </c>
      <c r="AF23" s="7" t="str">
        <f t="shared" si="3"/>
        <v>Hold</v>
      </c>
      <c r="AG23" s="10"/>
    </row>
    <row r="24" spans="2:33" ht="20.100000000000001" customHeight="1" x14ac:dyDescent="0.25">
      <c r="B24" s="31">
        <v>18</v>
      </c>
      <c r="C24" s="32">
        <v>45047</v>
      </c>
      <c r="D24" s="19">
        <v>1520</v>
      </c>
      <c r="E24" s="8" t="s">
        <v>898</v>
      </c>
      <c r="F24" s="20">
        <v>1556.49</v>
      </c>
      <c r="G24" s="20">
        <v>1595.31</v>
      </c>
      <c r="H24" s="20">
        <v>1499</v>
      </c>
      <c r="I24" s="20">
        <f t="shared" si="0"/>
        <v>96.309999999999945</v>
      </c>
      <c r="J24" s="20">
        <v>1577.75</v>
      </c>
      <c r="K24" s="20">
        <v>1571.73</v>
      </c>
      <c r="L24" s="9">
        <f t="shared" si="4"/>
        <v>-2</v>
      </c>
      <c r="M24" s="11">
        <f t="shared" si="5"/>
        <v>-1.3140604467805519E-3</v>
      </c>
      <c r="N24" s="20">
        <f t="shared" si="6"/>
        <v>1518.75</v>
      </c>
      <c r="O24" s="21">
        <v>-1</v>
      </c>
      <c r="P24" s="22" t="s">
        <v>898</v>
      </c>
      <c r="Q24" s="23">
        <v>0</v>
      </c>
      <c r="R24" s="22" t="s">
        <v>898</v>
      </c>
      <c r="S24" s="24">
        <v>0</v>
      </c>
      <c r="T24" s="25"/>
      <c r="U24" s="26">
        <v>0</v>
      </c>
      <c r="V24" s="25"/>
      <c r="W24" s="27">
        <v>0</v>
      </c>
      <c r="X24" s="22" t="s">
        <v>898</v>
      </c>
      <c r="Y24" s="28">
        <v>0</v>
      </c>
      <c r="Z24" s="25"/>
      <c r="AA24" s="29">
        <v>0</v>
      </c>
      <c r="AB24" s="25"/>
      <c r="AC24" s="30">
        <f t="shared" si="1"/>
        <v>-1</v>
      </c>
      <c r="AD24" s="7"/>
      <c r="AE24" s="7" t="str">
        <f t="shared" si="2"/>
        <v>→ Neutral</v>
      </c>
      <c r="AF24" s="7" t="str">
        <f t="shared" si="3"/>
        <v>Hold</v>
      </c>
      <c r="AG24" s="10"/>
    </row>
    <row r="25" spans="2:33" ht="20.100000000000001" customHeight="1" x14ac:dyDescent="0.25">
      <c r="B25" s="17">
        <v>19</v>
      </c>
      <c r="C25" s="18">
        <v>45054</v>
      </c>
      <c r="D25" s="19">
        <v>1515</v>
      </c>
      <c r="E25" s="8" t="s">
        <v>902</v>
      </c>
      <c r="F25" s="20">
        <v>1526.5</v>
      </c>
      <c r="G25" s="20">
        <v>1556.93</v>
      </c>
      <c r="H25" s="20">
        <v>1494.5</v>
      </c>
      <c r="I25" s="20">
        <f t="shared" si="0"/>
        <v>62.430000000000064</v>
      </c>
      <c r="J25" s="20">
        <v>1545.21</v>
      </c>
      <c r="K25" s="20">
        <v>1519.29</v>
      </c>
      <c r="L25" s="9">
        <f t="shared" si="4"/>
        <v>-5</v>
      </c>
      <c r="M25" s="11">
        <f t="shared" si="5"/>
        <v>-3.2894736842105261E-3</v>
      </c>
      <c r="N25" s="20">
        <f t="shared" si="6"/>
        <v>1518.75</v>
      </c>
      <c r="O25" s="21">
        <v>-1</v>
      </c>
      <c r="P25" s="22" t="s">
        <v>1307</v>
      </c>
      <c r="Q25" s="23">
        <v>-1</v>
      </c>
      <c r="R25" s="22" t="s">
        <v>902</v>
      </c>
      <c r="S25" s="24">
        <v>0</v>
      </c>
      <c r="T25" s="25"/>
      <c r="U25" s="26">
        <v>0</v>
      </c>
      <c r="V25" s="25"/>
      <c r="W25" s="27">
        <v>0</v>
      </c>
      <c r="X25" s="22" t="s">
        <v>902</v>
      </c>
      <c r="Y25" s="28">
        <v>0</v>
      </c>
      <c r="Z25" s="25"/>
      <c r="AA25" s="29">
        <v>0</v>
      </c>
      <c r="AB25" s="25"/>
      <c r="AC25" s="30">
        <f t="shared" si="1"/>
        <v>-2</v>
      </c>
      <c r="AD25" s="7"/>
      <c r="AE25" s="7" t="str">
        <f t="shared" si="2"/>
        <v>↓ Mildly Bearish</v>
      </c>
      <c r="AF25" s="7" t="str">
        <f t="shared" si="3"/>
        <v>Review sell price</v>
      </c>
      <c r="AG25" s="10"/>
    </row>
    <row r="26" spans="2:33" ht="20.100000000000001" customHeight="1" x14ac:dyDescent="0.25">
      <c r="B26" s="31">
        <v>20</v>
      </c>
      <c r="C26" s="32">
        <v>45061</v>
      </c>
      <c r="D26" s="19">
        <v>1510</v>
      </c>
      <c r="E26" s="8" t="s">
        <v>906</v>
      </c>
      <c r="F26" s="20">
        <v>1506.4</v>
      </c>
      <c r="G26" s="20">
        <v>1518.59</v>
      </c>
      <c r="H26" s="20">
        <v>1490.25</v>
      </c>
      <c r="I26" s="20">
        <f t="shared" si="0"/>
        <v>28.339999999999918</v>
      </c>
      <c r="J26" s="20">
        <v>1503</v>
      </c>
      <c r="K26" s="20">
        <v>1506.2</v>
      </c>
      <c r="L26" s="9">
        <f t="shared" si="4"/>
        <v>-5</v>
      </c>
      <c r="M26" s="11">
        <f t="shared" si="5"/>
        <v>-3.3003300330033004E-3</v>
      </c>
      <c r="N26" s="20">
        <f t="shared" si="6"/>
        <v>1516.75</v>
      </c>
      <c r="O26" s="21">
        <v>-1</v>
      </c>
      <c r="P26" s="22" t="s">
        <v>1308</v>
      </c>
      <c r="Q26" s="23">
        <v>-1</v>
      </c>
      <c r="R26" s="22" t="s">
        <v>906</v>
      </c>
      <c r="S26" s="24">
        <v>0</v>
      </c>
      <c r="T26" s="25"/>
      <c r="U26" s="26">
        <v>0</v>
      </c>
      <c r="V26" s="25"/>
      <c r="W26" s="27">
        <v>0</v>
      </c>
      <c r="X26" s="22" t="s">
        <v>906</v>
      </c>
      <c r="Y26" s="28">
        <v>0</v>
      </c>
      <c r="Z26" s="25"/>
      <c r="AA26" s="29">
        <v>0</v>
      </c>
      <c r="AB26" s="25"/>
      <c r="AC26" s="30">
        <f t="shared" si="1"/>
        <v>-2</v>
      </c>
      <c r="AD26" s="7"/>
      <c r="AE26" s="7" t="str">
        <f t="shared" si="2"/>
        <v>↓ Mildly Bearish</v>
      </c>
      <c r="AF26" s="7" t="str">
        <f t="shared" si="3"/>
        <v>Review sell price</v>
      </c>
      <c r="AG26" s="10"/>
    </row>
    <row r="27" spans="2:33" ht="20.100000000000001" customHeight="1" x14ac:dyDescent="0.25">
      <c r="B27" s="17">
        <v>21</v>
      </c>
      <c r="C27" s="18">
        <v>45068</v>
      </c>
      <c r="D27" s="19">
        <v>1512</v>
      </c>
      <c r="E27" s="8" t="s">
        <v>910</v>
      </c>
      <c r="F27" s="20">
        <v>1511.1</v>
      </c>
      <c r="G27" s="20">
        <v>1526.45</v>
      </c>
      <c r="H27" s="20">
        <v>1486.36</v>
      </c>
      <c r="I27" s="20">
        <f t="shared" si="0"/>
        <v>40.090000000000146</v>
      </c>
      <c r="J27" s="20">
        <v>1506.81</v>
      </c>
      <c r="K27" s="20">
        <v>1514.48</v>
      </c>
      <c r="L27" s="9">
        <f t="shared" si="4"/>
        <v>2</v>
      </c>
      <c r="M27" s="11">
        <f t="shared" si="5"/>
        <v>1.3245033112582781E-3</v>
      </c>
      <c r="N27" s="20">
        <f t="shared" si="6"/>
        <v>1514.25</v>
      </c>
      <c r="O27" s="21">
        <v>0</v>
      </c>
      <c r="P27" s="25"/>
      <c r="Q27" s="23">
        <v>0</v>
      </c>
      <c r="R27" s="22" t="s">
        <v>910</v>
      </c>
      <c r="S27" s="24">
        <v>1</v>
      </c>
      <c r="T27" s="22" t="s">
        <v>910</v>
      </c>
      <c r="U27" s="26">
        <v>0</v>
      </c>
      <c r="V27" s="25"/>
      <c r="W27" s="27">
        <v>0</v>
      </c>
      <c r="X27" s="22" t="s">
        <v>910</v>
      </c>
      <c r="Y27" s="28">
        <v>0</v>
      </c>
      <c r="Z27" s="25"/>
      <c r="AA27" s="29">
        <v>0</v>
      </c>
      <c r="AB27" s="25"/>
      <c r="AC27" s="30">
        <f t="shared" si="1"/>
        <v>1</v>
      </c>
      <c r="AD27" s="7"/>
      <c r="AE27" s="7" t="str">
        <f t="shared" si="2"/>
        <v>→ Neutral</v>
      </c>
      <c r="AF27" s="7" t="str">
        <f t="shared" si="3"/>
        <v>Hold</v>
      </c>
      <c r="AG27" s="10"/>
    </row>
    <row r="28" spans="2:33" ht="20.100000000000001" customHeight="1" x14ac:dyDescent="0.25">
      <c r="B28" s="31">
        <v>22</v>
      </c>
      <c r="C28" s="32">
        <v>45075</v>
      </c>
      <c r="D28" s="19">
        <v>1518</v>
      </c>
      <c r="E28" s="8" t="s">
        <v>914</v>
      </c>
      <c r="F28" s="20">
        <v>1536.1</v>
      </c>
      <c r="G28" s="20">
        <v>1584.11</v>
      </c>
      <c r="H28" s="20">
        <v>1506.59</v>
      </c>
      <c r="I28" s="20">
        <f t="shared" si="0"/>
        <v>77.519999999999982</v>
      </c>
      <c r="J28" s="20">
        <v>1563.88</v>
      </c>
      <c r="K28" s="20">
        <v>1526.43</v>
      </c>
      <c r="L28" s="9">
        <f t="shared" si="4"/>
        <v>6</v>
      </c>
      <c r="M28" s="11">
        <f t="shared" si="5"/>
        <v>3.968253968253968E-3</v>
      </c>
      <c r="N28" s="20">
        <f t="shared" si="6"/>
        <v>1513.75</v>
      </c>
      <c r="O28" s="21">
        <v>0</v>
      </c>
      <c r="P28" s="25"/>
      <c r="Q28" s="23">
        <v>0</v>
      </c>
      <c r="R28" s="22" t="s">
        <v>914</v>
      </c>
      <c r="S28" s="24">
        <v>1</v>
      </c>
      <c r="T28" s="22" t="s">
        <v>914</v>
      </c>
      <c r="U28" s="26">
        <v>0</v>
      </c>
      <c r="V28" s="25"/>
      <c r="W28" s="27">
        <v>0</v>
      </c>
      <c r="X28" s="22" t="s">
        <v>914</v>
      </c>
      <c r="Y28" s="28">
        <v>0</v>
      </c>
      <c r="Z28" s="25"/>
      <c r="AA28" s="29">
        <v>0</v>
      </c>
      <c r="AB28" s="25"/>
      <c r="AC28" s="30">
        <f t="shared" si="1"/>
        <v>1</v>
      </c>
      <c r="AD28" s="7"/>
      <c r="AE28" s="7" t="str">
        <f t="shared" si="2"/>
        <v>→ Neutral</v>
      </c>
      <c r="AF28" s="7" t="str">
        <f t="shared" si="3"/>
        <v>Hold</v>
      </c>
      <c r="AG28" s="10"/>
    </row>
    <row r="29" spans="2:33" ht="20.100000000000001" customHeight="1" x14ac:dyDescent="0.25">
      <c r="B29" s="17">
        <v>23</v>
      </c>
      <c r="C29" s="18">
        <v>45082</v>
      </c>
      <c r="D29" s="19">
        <v>1515</v>
      </c>
      <c r="E29" s="8" t="s">
        <v>918</v>
      </c>
      <c r="F29" s="20">
        <v>1529.15</v>
      </c>
      <c r="G29" s="20">
        <v>1565.68</v>
      </c>
      <c r="H29" s="20">
        <v>1505.7</v>
      </c>
      <c r="I29" s="20">
        <f t="shared" si="0"/>
        <v>59.980000000000018</v>
      </c>
      <c r="J29" s="20">
        <v>1519.2</v>
      </c>
      <c r="K29" s="20">
        <v>1553.25</v>
      </c>
      <c r="L29" s="9">
        <f t="shared" si="4"/>
        <v>-3</v>
      </c>
      <c r="M29" s="11">
        <f t="shared" si="5"/>
        <v>-1.976284584980237E-3</v>
      </c>
      <c r="N29" s="20">
        <f t="shared" si="6"/>
        <v>1513.75</v>
      </c>
      <c r="O29" s="21">
        <v>-1</v>
      </c>
      <c r="P29" s="22" t="s">
        <v>1309</v>
      </c>
      <c r="Q29" s="23">
        <v>0</v>
      </c>
      <c r="R29" s="22" t="s">
        <v>918</v>
      </c>
      <c r="S29" s="24">
        <v>0</v>
      </c>
      <c r="T29" s="25"/>
      <c r="U29" s="26">
        <v>0</v>
      </c>
      <c r="V29" s="25"/>
      <c r="W29" s="27">
        <v>0</v>
      </c>
      <c r="X29" s="22" t="s">
        <v>918</v>
      </c>
      <c r="Y29" s="28">
        <v>0</v>
      </c>
      <c r="Z29" s="25"/>
      <c r="AA29" s="29">
        <v>0</v>
      </c>
      <c r="AB29" s="25"/>
      <c r="AC29" s="30">
        <f t="shared" si="1"/>
        <v>-1</v>
      </c>
      <c r="AD29" s="7"/>
      <c r="AE29" s="7" t="str">
        <f t="shared" si="2"/>
        <v>→ Neutral</v>
      </c>
      <c r="AF29" s="7" t="str">
        <f t="shared" si="3"/>
        <v>Hold</v>
      </c>
      <c r="AG29" s="10"/>
    </row>
    <row r="30" spans="2:33" ht="20.100000000000001" customHeight="1" x14ac:dyDescent="0.25">
      <c r="B30" s="31">
        <v>24</v>
      </c>
      <c r="C30" s="32">
        <v>45089</v>
      </c>
      <c r="D30" s="19">
        <v>1510</v>
      </c>
      <c r="E30" s="8" t="s">
        <v>922</v>
      </c>
      <c r="F30" s="20">
        <v>1503.99</v>
      </c>
      <c r="G30" s="20">
        <v>1532.26</v>
      </c>
      <c r="H30" s="20">
        <v>1483.02</v>
      </c>
      <c r="I30" s="20">
        <f t="shared" si="0"/>
        <v>49.240000000000009</v>
      </c>
      <c r="J30" s="20">
        <v>1510.14</v>
      </c>
      <c r="K30" s="20">
        <v>1491.82</v>
      </c>
      <c r="L30" s="9">
        <f t="shared" si="4"/>
        <v>-5</v>
      </c>
      <c r="M30" s="11">
        <f t="shared" si="5"/>
        <v>-3.3003300330033004E-3</v>
      </c>
      <c r="N30" s="20">
        <f t="shared" si="6"/>
        <v>1513.75</v>
      </c>
      <c r="O30" s="21">
        <v>-1</v>
      </c>
      <c r="P30" s="22" t="s">
        <v>1310</v>
      </c>
      <c r="Q30" s="23">
        <v>0</v>
      </c>
      <c r="R30" s="22" t="s">
        <v>922</v>
      </c>
      <c r="S30" s="24">
        <v>0</v>
      </c>
      <c r="T30" s="25"/>
      <c r="U30" s="26">
        <v>0</v>
      </c>
      <c r="V30" s="25"/>
      <c r="W30" s="27">
        <v>0</v>
      </c>
      <c r="X30" s="22" t="s">
        <v>922</v>
      </c>
      <c r="Y30" s="28">
        <v>0</v>
      </c>
      <c r="Z30" s="25"/>
      <c r="AA30" s="29">
        <v>0</v>
      </c>
      <c r="AB30" s="25"/>
      <c r="AC30" s="30">
        <f t="shared" si="1"/>
        <v>-1</v>
      </c>
      <c r="AD30" s="7"/>
      <c r="AE30" s="7" t="str">
        <f t="shared" si="2"/>
        <v>→ Neutral</v>
      </c>
      <c r="AF30" s="7" t="str">
        <f t="shared" si="3"/>
        <v>Hold</v>
      </c>
      <c r="AG30" s="10"/>
    </row>
    <row r="31" spans="2:33" ht="20.100000000000001" customHeight="1" x14ac:dyDescent="0.25">
      <c r="B31" s="17">
        <v>25</v>
      </c>
      <c r="C31" s="18">
        <v>45096</v>
      </c>
      <c r="D31" s="19">
        <v>1505</v>
      </c>
      <c r="E31" s="8" t="s">
        <v>926</v>
      </c>
      <c r="F31" s="20">
        <v>1525.99</v>
      </c>
      <c r="G31" s="20">
        <v>1557.03</v>
      </c>
      <c r="H31" s="20">
        <v>1496.68</v>
      </c>
      <c r="I31" s="20">
        <f t="shared" si="0"/>
        <v>60.349999999999909</v>
      </c>
      <c r="J31" s="20">
        <v>1539.1</v>
      </c>
      <c r="K31" s="20">
        <v>1533.87</v>
      </c>
      <c r="L31" s="9">
        <f t="shared" si="4"/>
        <v>-5</v>
      </c>
      <c r="M31" s="11">
        <f t="shared" si="5"/>
        <v>-3.3112582781456954E-3</v>
      </c>
      <c r="N31" s="20">
        <f t="shared" si="6"/>
        <v>1512</v>
      </c>
      <c r="O31" s="21">
        <v>-1</v>
      </c>
      <c r="P31" s="22" t="s">
        <v>1311</v>
      </c>
      <c r="Q31" s="23">
        <v>-1</v>
      </c>
      <c r="R31" s="22" t="s">
        <v>926</v>
      </c>
      <c r="S31" s="24">
        <v>0</v>
      </c>
      <c r="T31" s="25"/>
      <c r="U31" s="26">
        <v>0</v>
      </c>
      <c r="V31" s="25"/>
      <c r="W31" s="27">
        <v>0</v>
      </c>
      <c r="X31" s="22" t="s">
        <v>926</v>
      </c>
      <c r="Y31" s="28">
        <v>0</v>
      </c>
      <c r="Z31" s="25"/>
      <c r="AA31" s="29">
        <v>0</v>
      </c>
      <c r="AB31" s="25"/>
      <c r="AC31" s="30">
        <f t="shared" si="1"/>
        <v>-2</v>
      </c>
      <c r="AD31" s="7"/>
      <c r="AE31" s="7" t="str">
        <f t="shared" si="2"/>
        <v>↓ Mildly Bearish</v>
      </c>
      <c r="AF31" s="7" t="str">
        <f t="shared" si="3"/>
        <v>Review sell price</v>
      </c>
      <c r="AG31" s="10"/>
    </row>
    <row r="32" spans="2:33" ht="20.100000000000001" customHeight="1" x14ac:dyDescent="0.25">
      <c r="B32" s="31">
        <v>26</v>
      </c>
      <c r="C32" s="32">
        <v>45103</v>
      </c>
      <c r="D32" s="19">
        <v>1508</v>
      </c>
      <c r="E32" s="8" t="s">
        <v>930</v>
      </c>
      <c r="F32" s="20">
        <v>1522.36</v>
      </c>
      <c r="G32" s="20">
        <v>1570.46</v>
      </c>
      <c r="H32" s="20">
        <v>1486.51</v>
      </c>
      <c r="I32" s="20">
        <f t="shared" si="0"/>
        <v>83.950000000000045</v>
      </c>
      <c r="J32" s="20">
        <v>1509.16</v>
      </c>
      <c r="K32" s="20">
        <v>1549.92</v>
      </c>
      <c r="L32" s="9">
        <f t="shared" si="4"/>
        <v>3</v>
      </c>
      <c r="M32" s="11">
        <f t="shared" si="5"/>
        <v>1.9933554817275745E-3</v>
      </c>
      <c r="N32" s="20">
        <f t="shared" si="6"/>
        <v>1509.5</v>
      </c>
      <c r="O32" s="21">
        <v>0</v>
      </c>
      <c r="P32" s="25"/>
      <c r="Q32" s="23">
        <v>0</v>
      </c>
      <c r="R32" s="22" t="s">
        <v>930</v>
      </c>
      <c r="S32" s="24">
        <v>0</v>
      </c>
      <c r="T32" s="25"/>
      <c r="U32" s="26">
        <v>0</v>
      </c>
      <c r="V32" s="25"/>
      <c r="W32" s="27">
        <v>0</v>
      </c>
      <c r="X32" s="22" t="s">
        <v>930</v>
      </c>
      <c r="Y32" s="28">
        <v>0</v>
      </c>
      <c r="Z32" s="25"/>
      <c r="AA32" s="29">
        <v>0</v>
      </c>
      <c r="AB32" s="25"/>
      <c r="AC32" s="30">
        <f t="shared" si="1"/>
        <v>0</v>
      </c>
      <c r="AD32" s="7"/>
      <c r="AE32" s="7" t="str">
        <f t="shared" si="2"/>
        <v>→ Neutral</v>
      </c>
      <c r="AF32" s="7" t="str">
        <f t="shared" si="3"/>
        <v>Hold</v>
      </c>
      <c r="AG32" s="10"/>
    </row>
    <row r="33" spans="2:33" ht="20.100000000000001" customHeight="1" x14ac:dyDescent="0.25">
      <c r="B33" s="17">
        <v>27</v>
      </c>
      <c r="C33" s="18">
        <v>45110</v>
      </c>
      <c r="D33" s="19">
        <v>1512</v>
      </c>
      <c r="E33" s="8" t="s">
        <v>934</v>
      </c>
      <c r="F33" s="20">
        <v>1546.03</v>
      </c>
      <c r="G33" s="20">
        <v>1588.46</v>
      </c>
      <c r="H33" s="20">
        <v>1491.36</v>
      </c>
      <c r="I33" s="20">
        <f t="shared" si="0"/>
        <v>97.100000000000136</v>
      </c>
      <c r="J33" s="20">
        <v>1570.19</v>
      </c>
      <c r="K33" s="20">
        <v>1555.89</v>
      </c>
      <c r="L33" s="9">
        <f t="shared" si="4"/>
        <v>4</v>
      </c>
      <c r="M33" s="11">
        <f t="shared" si="5"/>
        <v>2.6525198938992041E-3</v>
      </c>
      <c r="N33" s="20">
        <f t="shared" si="6"/>
        <v>1508.75</v>
      </c>
      <c r="O33" s="21">
        <v>0</v>
      </c>
      <c r="P33" s="25"/>
      <c r="Q33" s="23">
        <v>0</v>
      </c>
      <c r="R33" s="22" t="s">
        <v>934</v>
      </c>
      <c r="S33" s="24">
        <v>0</v>
      </c>
      <c r="T33" s="25"/>
      <c r="U33" s="26">
        <v>0</v>
      </c>
      <c r="V33" s="25"/>
      <c r="W33" s="27">
        <v>0</v>
      </c>
      <c r="X33" s="22" t="s">
        <v>934</v>
      </c>
      <c r="Y33" s="28">
        <v>0</v>
      </c>
      <c r="Z33" s="25"/>
      <c r="AA33" s="29">
        <v>0</v>
      </c>
      <c r="AB33" s="25"/>
      <c r="AC33" s="30">
        <f t="shared" si="1"/>
        <v>0</v>
      </c>
      <c r="AD33" s="7"/>
      <c r="AE33" s="7" t="str">
        <f t="shared" si="2"/>
        <v>→ Neutral</v>
      </c>
      <c r="AF33" s="7" t="str">
        <f t="shared" si="3"/>
        <v>Hold</v>
      </c>
      <c r="AG33" s="10"/>
    </row>
    <row r="34" spans="2:33" ht="20.100000000000001" customHeight="1" x14ac:dyDescent="0.25">
      <c r="B34" s="31">
        <v>28</v>
      </c>
      <c r="C34" s="32">
        <v>45117</v>
      </c>
      <c r="D34" s="19">
        <v>1518</v>
      </c>
      <c r="E34" s="8" t="s">
        <v>938</v>
      </c>
      <c r="F34" s="20">
        <v>1532.81</v>
      </c>
      <c r="G34" s="20">
        <v>1591.8</v>
      </c>
      <c r="H34" s="20">
        <v>1499.74</v>
      </c>
      <c r="I34" s="20">
        <f t="shared" si="0"/>
        <v>92.059999999999945</v>
      </c>
      <c r="J34" s="20">
        <v>1571.48</v>
      </c>
      <c r="K34" s="20">
        <v>1508.95</v>
      </c>
      <c r="L34" s="9">
        <f t="shared" si="4"/>
        <v>6</v>
      </c>
      <c r="M34" s="11">
        <f t="shared" si="5"/>
        <v>3.968253968253968E-3</v>
      </c>
      <c r="N34" s="20">
        <f t="shared" si="6"/>
        <v>1510.75</v>
      </c>
      <c r="O34" s="21">
        <v>0</v>
      </c>
      <c r="P34" s="25"/>
      <c r="Q34" s="23">
        <v>1</v>
      </c>
      <c r="R34" s="22" t="s">
        <v>938</v>
      </c>
      <c r="S34" s="24">
        <v>0</v>
      </c>
      <c r="T34" s="25"/>
      <c r="U34" s="26">
        <v>0</v>
      </c>
      <c r="V34" s="25"/>
      <c r="W34" s="27">
        <v>0</v>
      </c>
      <c r="X34" s="22" t="s">
        <v>938</v>
      </c>
      <c r="Y34" s="28">
        <v>0</v>
      </c>
      <c r="Z34" s="25"/>
      <c r="AA34" s="29">
        <v>0</v>
      </c>
      <c r="AB34" s="25"/>
      <c r="AC34" s="30">
        <f t="shared" si="1"/>
        <v>1</v>
      </c>
      <c r="AD34" s="7"/>
      <c r="AE34" s="7" t="str">
        <f t="shared" si="2"/>
        <v>→ Neutral</v>
      </c>
      <c r="AF34" s="7" t="str">
        <f t="shared" si="3"/>
        <v>Hold</v>
      </c>
      <c r="AG34" s="10"/>
    </row>
    <row r="35" spans="2:33" ht="20.100000000000001" customHeight="1" x14ac:dyDescent="0.25">
      <c r="B35" s="17">
        <v>29</v>
      </c>
      <c r="C35" s="18">
        <v>45124</v>
      </c>
      <c r="D35" s="19">
        <v>1525</v>
      </c>
      <c r="E35" s="8" t="s">
        <v>942</v>
      </c>
      <c r="F35" s="20">
        <v>1544.12</v>
      </c>
      <c r="G35" s="20">
        <v>1576.37</v>
      </c>
      <c r="H35" s="20">
        <v>1517.01</v>
      </c>
      <c r="I35" s="20">
        <f t="shared" si="0"/>
        <v>59.3599999999999</v>
      </c>
      <c r="J35" s="20">
        <v>1541.59</v>
      </c>
      <c r="K35" s="20">
        <v>1565.77</v>
      </c>
      <c r="L35" s="9">
        <f t="shared" si="4"/>
        <v>7</v>
      </c>
      <c r="M35" s="11">
        <f t="shared" si="5"/>
        <v>4.61133069828722E-3</v>
      </c>
      <c r="N35" s="20">
        <f t="shared" si="6"/>
        <v>1515.75</v>
      </c>
      <c r="O35" s="21">
        <v>1</v>
      </c>
      <c r="P35" s="22" t="s">
        <v>1312</v>
      </c>
      <c r="Q35" s="23">
        <v>1</v>
      </c>
      <c r="R35" s="22" t="s">
        <v>942</v>
      </c>
      <c r="S35" s="24">
        <v>0</v>
      </c>
      <c r="T35" s="25"/>
      <c r="U35" s="26">
        <v>0</v>
      </c>
      <c r="V35" s="25"/>
      <c r="W35" s="27">
        <v>0</v>
      </c>
      <c r="X35" s="22" t="s">
        <v>942</v>
      </c>
      <c r="Y35" s="28">
        <v>0</v>
      </c>
      <c r="Z35" s="25"/>
      <c r="AA35" s="29">
        <v>0</v>
      </c>
      <c r="AB35" s="25"/>
      <c r="AC35" s="30">
        <f t="shared" si="1"/>
        <v>2</v>
      </c>
      <c r="AD35" s="7"/>
      <c r="AE35" s="7" t="str">
        <f t="shared" si="2"/>
        <v>↑ Mildly Bullish</v>
      </c>
      <c r="AF35" s="7" t="str">
        <f t="shared" si="3"/>
        <v>Consider stock-in</v>
      </c>
      <c r="AG35" s="10"/>
    </row>
    <row r="36" spans="2:33" ht="20.100000000000001" customHeight="1" x14ac:dyDescent="0.25">
      <c r="B36" s="31">
        <v>30</v>
      </c>
      <c r="C36" s="32">
        <v>45131</v>
      </c>
      <c r="D36" s="19">
        <v>1532</v>
      </c>
      <c r="E36" s="8" t="s">
        <v>946</v>
      </c>
      <c r="F36" s="20">
        <v>1540.09</v>
      </c>
      <c r="G36" s="20">
        <v>1574.84</v>
      </c>
      <c r="H36" s="20">
        <v>1509.53</v>
      </c>
      <c r="I36" s="20">
        <f t="shared" si="0"/>
        <v>65.309999999999945</v>
      </c>
      <c r="J36" s="20">
        <v>1557.87</v>
      </c>
      <c r="K36" s="20">
        <v>1530.4</v>
      </c>
      <c r="L36" s="9">
        <f t="shared" si="4"/>
        <v>7</v>
      </c>
      <c r="M36" s="11">
        <f t="shared" si="5"/>
        <v>4.5901639344262295E-3</v>
      </c>
      <c r="N36" s="20">
        <f t="shared" si="6"/>
        <v>1521.75</v>
      </c>
      <c r="O36" s="21">
        <v>1</v>
      </c>
      <c r="P36" s="22" t="s">
        <v>1313</v>
      </c>
      <c r="Q36" s="23">
        <v>1</v>
      </c>
      <c r="R36" s="22" t="s">
        <v>946</v>
      </c>
      <c r="S36" s="24">
        <v>1</v>
      </c>
      <c r="T36" s="22" t="s">
        <v>1313</v>
      </c>
      <c r="U36" s="26">
        <v>0</v>
      </c>
      <c r="V36" s="25"/>
      <c r="W36" s="27">
        <v>0</v>
      </c>
      <c r="X36" s="22" t="s">
        <v>946</v>
      </c>
      <c r="Y36" s="28">
        <v>0</v>
      </c>
      <c r="Z36" s="25"/>
      <c r="AA36" s="29">
        <v>0</v>
      </c>
      <c r="AB36" s="25"/>
      <c r="AC36" s="30">
        <f t="shared" si="1"/>
        <v>3</v>
      </c>
      <c r="AD36" s="7"/>
      <c r="AE36" s="7" t="str">
        <f t="shared" si="2"/>
        <v>↑ Mildly Bullish</v>
      </c>
      <c r="AF36" s="7" t="str">
        <f t="shared" si="3"/>
        <v>Consider stock-in</v>
      </c>
      <c r="AG36" s="10"/>
    </row>
    <row r="37" spans="2:33" ht="20.100000000000001" customHeight="1" x14ac:dyDescent="0.25">
      <c r="B37" s="17">
        <v>31</v>
      </c>
      <c r="C37" s="18">
        <v>45138</v>
      </c>
      <c r="D37" s="19">
        <v>1540</v>
      </c>
      <c r="E37" s="8" t="s">
        <v>950</v>
      </c>
      <c r="F37" s="20">
        <v>1550.38</v>
      </c>
      <c r="G37" s="20">
        <v>1584.13</v>
      </c>
      <c r="H37" s="20">
        <v>1523.35</v>
      </c>
      <c r="I37" s="20">
        <f t="shared" si="0"/>
        <v>60.7800000000002</v>
      </c>
      <c r="J37" s="20">
        <v>1548.16</v>
      </c>
      <c r="K37" s="20">
        <v>1562.97</v>
      </c>
      <c r="L37" s="9">
        <f t="shared" si="4"/>
        <v>8</v>
      </c>
      <c r="M37" s="11">
        <f t="shared" si="5"/>
        <v>5.2219321148825066E-3</v>
      </c>
      <c r="N37" s="20">
        <f t="shared" si="6"/>
        <v>1528.75</v>
      </c>
      <c r="O37" s="21">
        <v>1</v>
      </c>
      <c r="P37" s="22" t="s">
        <v>1314</v>
      </c>
      <c r="Q37" s="23">
        <v>1</v>
      </c>
      <c r="R37" s="22" t="s">
        <v>950</v>
      </c>
      <c r="S37" s="24">
        <v>1</v>
      </c>
      <c r="T37" s="22" t="s">
        <v>1314</v>
      </c>
      <c r="U37" s="26">
        <v>0</v>
      </c>
      <c r="V37" s="25"/>
      <c r="W37" s="27">
        <v>0</v>
      </c>
      <c r="X37" s="22" t="s">
        <v>950</v>
      </c>
      <c r="Y37" s="28">
        <v>0</v>
      </c>
      <c r="Z37" s="25"/>
      <c r="AA37" s="29">
        <v>0</v>
      </c>
      <c r="AB37" s="25"/>
      <c r="AC37" s="30">
        <f t="shared" si="1"/>
        <v>3</v>
      </c>
      <c r="AD37" s="7"/>
      <c r="AE37" s="7" t="str">
        <f t="shared" si="2"/>
        <v>↑ Mildly Bullish</v>
      </c>
      <c r="AF37" s="7" t="str">
        <f t="shared" si="3"/>
        <v>Consider stock-in</v>
      </c>
      <c r="AG37" s="10"/>
    </row>
    <row r="38" spans="2:33" ht="20.100000000000001" customHeight="1" x14ac:dyDescent="0.25">
      <c r="B38" s="31">
        <v>32</v>
      </c>
      <c r="C38" s="32">
        <v>45145</v>
      </c>
      <c r="D38" s="19">
        <v>1548</v>
      </c>
      <c r="E38" s="8" t="s">
        <v>954</v>
      </c>
      <c r="F38" s="20">
        <v>1561.46</v>
      </c>
      <c r="G38" s="20">
        <v>1606.42</v>
      </c>
      <c r="H38" s="20">
        <v>1527.55</v>
      </c>
      <c r="I38" s="20">
        <f t="shared" si="0"/>
        <v>78.870000000000118</v>
      </c>
      <c r="J38" s="20">
        <v>1594.16</v>
      </c>
      <c r="K38" s="20">
        <v>1542.23</v>
      </c>
      <c r="L38" s="9">
        <f t="shared" si="4"/>
        <v>8</v>
      </c>
      <c r="M38" s="11">
        <f t="shared" si="5"/>
        <v>5.1948051948051948E-3</v>
      </c>
      <c r="N38" s="20">
        <f t="shared" si="6"/>
        <v>1536.25</v>
      </c>
      <c r="O38" s="21">
        <v>1</v>
      </c>
      <c r="P38" s="22" t="s">
        <v>1315</v>
      </c>
      <c r="Q38" s="23">
        <v>2</v>
      </c>
      <c r="R38" s="22" t="s">
        <v>954</v>
      </c>
      <c r="S38" s="24">
        <v>1</v>
      </c>
      <c r="T38" s="22" t="s">
        <v>1315</v>
      </c>
      <c r="U38" s="26">
        <v>1</v>
      </c>
      <c r="V38" s="22" t="s">
        <v>1315</v>
      </c>
      <c r="W38" s="27">
        <v>0</v>
      </c>
      <c r="X38" s="22" t="s">
        <v>954</v>
      </c>
      <c r="Y38" s="28">
        <v>0</v>
      </c>
      <c r="Z38" s="25"/>
      <c r="AA38" s="29">
        <v>0</v>
      </c>
      <c r="AB38" s="25"/>
      <c r="AC38" s="30">
        <f t="shared" si="1"/>
        <v>5</v>
      </c>
      <c r="AD38" s="7"/>
      <c r="AE38" s="7" t="str">
        <f t="shared" si="2"/>
        <v>🔺 Bullish</v>
      </c>
      <c r="AF38" s="7" t="str">
        <f t="shared" si="3"/>
        <v>STOCK IN NOW</v>
      </c>
      <c r="AG38" s="10"/>
    </row>
    <row r="39" spans="2:33" ht="20.100000000000001" customHeight="1" x14ac:dyDescent="0.25">
      <c r="B39" s="17">
        <v>33</v>
      </c>
      <c r="C39" s="18">
        <v>45152</v>
      </c>
      <c r="D39" s="19">
        <v>1555</v>
      </c>
      <c r="E39" s="8" t="s">
        <v>958</v>
      </c>
      <c r="F39" s="20">
        <v>1576.64</v>
      </c>
      <c r="G39" s="20">
        <v>1598.66</v>
      </c>
      <c r="H39" s="20">
        <v>1536.79</v>
      </c>
      <c r="I39" s="20">
        <f t="shared" ref="I39:I70" si="7">IFERROR(G39-H39,"")</f>
        <v>61.870000000000118</v>
      </c>
      <c r="J39" s="20">
        <v>1585.3</v>
      </c>
      <c r="K39" s="20">
        <v>1589.62</v>
      </c>
      <c r="L39" s="9">
        <f t="shared" si="4"/>
        <v>7</v>
      </c>
      <c r="M39" s="11">
        <f t="shared" si="5"/>
        <v>4.5219638242894053E-3</v>
      </c>
      <c r="N39" s="20">
        <f t="shared" si="6"/>
        <v>1543.75</v>
      </c>
      <c r="O39" s="21">
        <v>1</v>
      </c>
      <c r="P39" s="22" t="s">
        <v>1316</v>
      </c>
      <c r="Q39" s="23">
        <v>2</v>
      </c>
      <c r="R39" s="22" t="s">
        <v>958</v>
      </c>
      <c r="S39" s="24">
        <v>1</v>
      </c>
      <c r="T39" s="22" t="s">
        <v>1316</v>
      </c>
      <c r="U39" s="26">
        <v>1</v>
      </c>
      <c r="V39" s="22" t="s">
        <v>1316</v>
      </c>
      <c r="W39" s="27">
        <v>0</v>
      </c>
      <c r="X39" s="22" t="s">
        <v>958</v>
      </c>
      <c r="Y39" s="28">
        <v>0</v>
      </c>
      <c r="Z39" s="25"/>
      <c r="AA39" s="29">
        <v>0</v>
      </c>
      <c r="AB39" s="25"/>
      <c r="AC39" s="30">
        <f t="shared" ref="AC39:AC70" si="8">SUM(O39,Q39,S39,U39,W39,Y39,AA39)</f>
        <v>5</v>
      </c>
      <c r="AD39" s="7"/>
      <c r="AE39" s="7" t="str">
        <f t="shared" ref="AE39:AE70" si="9">IFERROR(IF(AC39&gt;=4,"🔺 Bullish",IF(AC39&lt;=-4,"🔻 Bearish",IF(AC39&gt;=2,"↑ Mildly Bullish",IF(AC39&lt;=-2,"↓ Mildly Bearish","→ Neutral")))),"—")</f>
        <v>🔺 Bullish</v>
      </c>
      <c r="AF39" s="7" t="str">
        <f t="shared" ref="AF39:AF70" si="10">IFERROR(IF(AC39&gt;=4,"STOCK IN NOW",IF(AC39&lt;=-4,"REDUCE EXPOSURE",IF(AC39&gt;=2,"Consider stock-in",IF(AC39&lt;=-2,"Review sell price","Hold")))),"—")</f>
        <v>STOCK IN NOW</v>
      </c>
      <c r="AG39" s="10"/>
    </row>
    <row r="40" spans="2:33" ht="20.100000000000001" customHeight="1" x14ac:dyDescent="0.25">
      <c r="B40" s="31">
        <v>34</v>
      </c>
      <c r="C40" s="32">
        <v>45159</v>
      </c>
      <c r="D40" s="19">
        <v>1562</v>
      </c>
      <c r="E40" s="8" t="s">
        <v>962</v>
      </c>
      <c r="F40" s="20">
        <v>1579.89</v>
      </c>
      <c r="G40" s="20">
        <v>1623.39</v>
      </c>
      <c r="H40" s="20">
        <v>1551.39</v>
      </c>
      <c r="I40" s="20">
        <f t="shared" si="7"/>
        <v>72</v>
      </c>
      <c r="J40" s="20">
        <v>1599.59</v>
      </c>
      <c r="K40" s="20">
        <v>1578.09</v>
      </c>
      <c r="L40" s="9">
        <f t="shared" si="4"/>
        <v>7</v>
      </c>
      <c r="M40" s="11">
        <f t="shared" si="5"/>
        <v>4.5016077170418004E-3</v>
      </c>
      <c r="N40" s="20">
        <f t="shared" si="6"/>
        <v>1551.25</v>
      </c>
      <c r="O40" s="21">
        <v>1</v>
      </c>
      <c r="P40" s="22" t="s">
        <v>1317</v>
      </c>
      <c r="Q40" s="23">
        <v>2</v>
      </c>
      <c r="R40" s="22" t="s">
        <v>962</v>
      </c>
      <c r="S40" s="24">
        <v>1</v>
      </c>
      <c r="T40" s="22" t="s">
        <v>1317</v>
      </c>
      <c r="U40" s="26">
        <v>1</v>
      </c>
      <c r="V40" s="22" t="s">
        <v>1317</v>
      </c>
      <c r="W40" s="27">
        <v>0</v>
      </c>
      <c r="X40" s="22" t="s">
        <v>962</v>
      </c>
      <c r="Y40" s="28">
        <v>0</v>
      </c>
      <c r="Z40" s="25"/>
      <c r="AA40" s="29">
        <v>0</v>
      </c>
      <c r="AB40" s="25"/>
      <c r="AC40" s="30">
        <f t="shared" si="8"/>
        <v>5</v>
      </c>
      <c r="AD40" s="7"/>
      <c r="AE40" s="7" t="str">
        <f t="shared" si="9"/>
        <v>🔺 Bullish</v>
      </c>
      <c r="AF40" s="7" t="str">
        <f t="shared" si="10"/>
        <v>STOCK IN NOW</v>
      </c>
      <c r="AG40" s="10"/>
    </row>
    <row r="41" spans="2:33" ht="20.100000000000001" customHeight="1" x14ac:dyDescent="0.25">
      <c r="B41" s="17">
        <v>35</v>
      </c>
      <c r="C41" s="18">
        <v>45166</v>
      </c>
      <c r="D41" s="19">
        <v>1568</v>
      </c>
      <c r="E41" s="8" t="s">
        <v>964</v>
      </c>
      <c r="F41" s="20">
        <v>1582.47</v>
      </c>
      <c r="G41" s="20">
        <v>1628.43</v>
      </c>
      <c r="H41" s="20">
        <v>1551.84</v>
      </c>
      <c r="I41" s="20">
        <f t="shared" si="7"/>
        <v>76.590000000000146</v>
      </c>
      <c r="J41" s="20">
        <v>1605.7</v>
      </c>
      <c r="K41" s="20">
        <v>1573.71</v>
      </c>
      <c r="L41" s="9">
        <f t="shared" ref="L41:L72" si="11">IFERROR(D41-D40,"")</f>
        <v>6</v>
      </c>
      <c r="M41" s="11">
        <f t="shared" ref="M41:M72" si="12">IFERROR(L41/D40,"")</f>
        <v>3.8412291933418692E-3</v>
      </c>
      <c r="N41" s="20">
        <f t="shared" si="6"/>
        <v>1558.25</v>
      </c>
      <c r="O41" s="21">
        <v>1</v>
      </c>
      <c r="P41" s="22" t="s">
        <v>1318</v>
      </c>
      <c r="Q41" s="23">
        <v>2</v>
      </c>
      <c r="R41" s="22" t="s">
        <v>964</v>
      </c>
      <c r="S41" s="24">
        <v>2</v>
      </c>
      <c r="T41" s="22" t="s">
        <v>1318</v>
      </c>
      <c r="U41" s="26">
        <v>1</v>
      </c>
      <c r="V41" s="22" t="s">
        <v>1318</v>
      </c>
      <c r="W41" s="27">
        <v>0</v>
      </c>
      <c r="X41" s="22" t="s">
        <v>964</v>
      </c>
      <c r="Y41" s="28">
        <v>0</v>
      </c>
      <c r="Z41" s="25"/>
      <c r="AA41" s="29">
        <v>0</v>
      </c>
      <c r="AB41" s="25"/>
      <c r="AC41" s="30">
        <f t="shared" si="8"/>
        <v>6</v>
      </c>
      <c r="AD41" s="7"/>
      <c r="AE41" s="7" t="str">
        <f t="shared" si="9"/>
        <v>🔺 Bullish</v>
      </c>
      <c r="AF41" s="7" t="str">
        <f t="shared" si="10"/>
        <v>STOCK IN NOW</v>
      </c>
      <c r="AG41" s="10"/>
    </row>
    <row r="42" spans="2:33" ht="20.100000000000001" customHeight="1" x14ac:dyDescent="0.25">
      <c r="B42" s="31">
        <v>36</v>
      </c>
      <c r="C42" s="32">
        <v>45173</v>
      </c>
      <c r="D42" s="19">
        <v>1572</v>
      </c>
      <c r="E42" s="8" t="s">
        <v>968</v>
      </c>
      <c r="F42" s="20">
        <v>1582.67</v>
      </c>
      <c r="G42" s="20">
        <v>1614.13</v>
      </c>
      <c r="H42" s="20">
        <v>1553.46</v>
      </c>
      <c r="I42" s="20">
        <f t="shared" si="7"/>
        <v>60.670000000000073</v>
      </c>
      <c r="J42" s="20">
        <v>1580.5</v>
      </c>
      <c r="K42" s="20">
        <v>1595.5</v>
      </c>
      <c r="L42" s="9">
        <f t="shared" si="11"/>
        <v>4</v>
      </c>
      <c r="M42" s="11">
        <f t="shared" si="12"/>
        <v>2.5510204081632651E-3</v>
      </c>
      <c r="N42" s="20">
        <f t="shared" si="6"/>
        <v>1564.25</v>
      </c>
      <c r="O42" s="21">
        <v>0</v>
      </c>
      <c r="P42" s="25"/>
      <c r="Q42" s="23">
        <v>1</v>
      </c>
      <c r="R42" s="22" t="s">
        <v>968</v>
      </c>
      <c r="S42" s="24">
        <v>2</v>
      </c>
      <c r="T42" s="22" t="s">
        <v>1319</v>
      </c>
      <c r="U42" s="26">
        <v>0</v>
      </c>
      <c r="V42" s="25"/>
      <c r="W42" s="27">
        <v>0</v>
      </c>
      <c r="X42" s="22" t="s">
        <v>968</v>
      </c>
      <c r="Y42" s="28">
        <v>1</v>
      </c>
      <c r="Z42" s="22" t="s">
        <v>1319</v>
      </c>
      <c r="AA42" s="29">
        <v>0</v>
      </c>
      <c r="AB42" s="25"/>
      <c r="AC42" s="30">
        <f t="shared" si="8"/>
        <v>4</v>
      </c>
      <c r="AD42" s="7"/>
      <c r="AE42" s="7" t="str">
        <f t="shared" si="9"/>
        <v>🔺 Bullish</v>
      </c>
      <c r="AF42" s="7" t="str">
        <f t="shared" si="10"/>
        <v>STOCK IN NOW</v>
      </c>
      <c r="AG42" s="10"/>
    </row>
    <row r="43" spans="2:33" ht="20.100000000000001" customHeight="1" x14ac:dyDescent="0.25">
      <c r="B43" s="17">
        <v>37</v>
      </c>
      <c r="C43" s="18">
        <v>45180</v>
      </c>
      <c r="D43" s="19">
        <v>1578</v>
      </c>
      <c r="E43" s="8" t="s">
        <v>972</v>
      </c>
      <c r="F43" s="20">
        <v>1598.41</v>
      </c>
      <c r="G43" s="20">
        <v>1636.02</v>
      </c>
      <c r="H43" s="20">
        <v>1563.34</v>
      </c>
      <c r="I43" s="20">
        <f t="shared" si="7"/>
        <v>72.680000000000064</v>
      </c>
      <c r="J43" s="20">
        <v>1614.08</v>
      </c>
      <c r="K43" s="20">
        <v>1603.16</v>
      </c>
      <c r="L43" s="9">
        <f t="shared" si="11"/>
        <v>6</v>
      </c>
      <c r="M43" s="11">
        <f t="shared" si="12"/>
        <v>3.8167938931297708E-3</v>
      </c>
      <c r="N43" s="20">
        <f t="shared" ref="N43:N74" si="13">IFERROR(AVERAGE(D40:D43),"")</f>
        <v>1570</v>
      </c>
      <c r="O43" s="21">
        <v>1</v>
      </c>
      <c r="P43" s="22" t="s">
        <v>1320</v>
      </c>
      <c r="Q43" s="23">
        <v>1</v>
      </c>
      <c r="R43" s="22" t="s">
        <v>972</v>
      </c>
      <c r="S43" s="24">
        <v>2</v>
      </c>
      <c r="T43" s="22" t="s">
        <v>1320</v>
      </c>
      <c r="U43" s="26">
        <v>0</v>
      </c>
      <c r="V43" s="25"/>
      <c r="W43" s="27">
        <v>0</v>
      </c>
      <c r="X43" s="22" t="s">
        <v>972</v>
      </c>
      <c r="Y43" s="28">
        <v>0</v>
      </c>
      <c r="Z43" s="25"/>
      <c r="AA43" s="29">
        <v>0</v>
      </c>
      <c r="AB43" s="25"/>
      <c r="AC43" s="30">
        <f t="shared" si="8"/>
        <v>4</v>
      </c>
      <c r="AD43" s="7"/>
      <c r="AE43" s="7" t="str">
        <f t="shared" si="9"/>
        <v>🔺 Bullish</v>
      </c>
      <c r="AF43" s="7" t="str">
        <f t="shared" si="10"/>
        <v>STOCK IN NOW</v>
      </c>
      <c r="AG43" s="10"/>
    </row>
    <row r="44" spans="2:33" ht="20.100000000000001" customHeight="1" x14ac:dyDescent="0.25">
      <c r="B44" s="31">
        <v>38</v>
      </c>
      <c r="C44" s="32">
        <v>45187</v>
      </c>
      <c r="D44" s="19">
        <v>1582</v>
      </c>
      <c r="E44" s="8" t="s">
        <v>976</v>
      </c>
      <c r="F44" s="20">
        <v>1583.21</v>
      </c>
      <c r="G44" s="20">
        <v>1608.39</v>
      </c>
      <c r="H44" s="20">
        <v>1546.11</v>
      </c>
      <c r="I44" s="20">
        <f t="shared" si="7"/>
        <v>62.2800000000002</v>
      </c>
      <c r="J44" s="20">
        <v>1568.77</v>
      </c>
      <c r="K44" s="20">
        <v>1598.87</v>
      </c>
      <c r="L44" s="9">
        <f t="shared" si="11"/>
        <v>4</v>
      </c>
      <c r="M44" s="11">
        <f t="shared" si="12"/>
        <v>2.5348542458808617E-3</v>
      </c>
      <c r="N44" s="20">
        <f t="shared" si="13"/>
        <v>1575</v>
      </c>
      <c r="O44" s="21">
        <v>1</v>
      </c>
      <c r="P44" s="22" t="s">
        <v>1321</v>
      </c>
      <c r="Q44" s="23">
        <v>2</v>
      </c>
      <c r="R44" s="22" t="s">
        <v>976</v>
      </c>
      <c r="S44" s="24">
        <v>2</v>
      </c>
      <c r="T44" s="22" t="s">
        <v>1321</v>
      </c>
      <c r="U44" s="26">
        <v>1</v>
      </c>
      <c r="V44" s="22" t="s">
        <v>1321</v>
      </c>
      <c r="W44" s="27">
        <v>0</v>
      </c>
      <c r="X44" s="22" t="s">
        <v>976</v>
      </c>
      <c r="Y44" s="28">
        <v>0</v>
      </c>
      <c r="Z44" s="25"/>
      <c r="AA44" s="29">
        <v>0</v>
      </c>
      <c r="AB44" s="25"/>
      <c r="AC44" s="30">
        <f t="shared" si="8"/>
        <v>6</v>
      </c>
      <c r="AD44" s="7"/>
      <c r="AE44" s="7" t="str">
        <f t="shared" si="9"/>
        <v>🔺 Bullish</v>
      </c>
      <c r="AF44" s="7" t="str">
        <f t="shared" si="10"/>
        <v>STOCK IN NOW</v>
      </c>
      <c r="AG44" s="10"/>
    </row>
    <row r="45" spans="2:33" ht="20.100000000000001" customHeight="1" x14ac:dyDescent="0.25">
      <c r="B45" s="17">
        <v>39</v>
      </c>
      <c r="C45" s="18">
        <v>45194</v>
      </c>
      <c r="D45" s="19">
        <v>1588</v>
      </c>
      <c r="E45" s="8" t="s">
        <v>980</v>
      </c>
      <c r="F45" s="20">
        <v>1606.4</v>
      </c>
      <c r="G45" s="20">
        <v>1656.36</v>
      </c>
      <c r="H45" s="20">
        <v>1564.76</v>
      </c>
      <c r="I45" s="20">
        <f t="shared" si="7"/>
        <v>91.599999999999909</v>
      </c>
      <c r="J45" s="20">
        <v>1635.64</v>
      </c>
      <c r="K45" s="20">
        <v>1595.57</v>
      </c>
      <c r="L45" s="9">
        <f t="shared" si="11"/>
        <v>6</v>
      </c>
      <c r="M45" s="11">
        <f t="shared" si="12"/>
        <v>3.7926675094816687E-3</v>
      </c>
      <c r="N45" s="20">
        <f t="shared" si="13"/>
        <v>1580</v>
      </c>
      <c r="O45" s="21">
        <v>1</v>
      </c>
      <c r="P45" s="22" t="s">
        <v>980</v>
      </c>
      <c r="Q45" s="23">
        <v>2</v>
      </c>
      <c r="R45" s="22" t="s">
        <v>980</v>
      </c>
      <c r="S45" s="24">
        <v>2</v>
      </c>
      <c r="T45" s="22" t="s">
        <v>980</v>
      </c>
      <c r="U45" s="26">
        <v>1</v>
      </c>
      <c r="V45" s="22" t="s">
        <v>980</v>
      </c>
      <c r="W45" s="27">
        <v>0</v>
      </c>
      <c r="X45" s="22" t="s">
        <v>980</v>
      </c>
      <c r="Y45" s="28">
        <v>0</v>
      </c>
      <c r="Z45" s="25"/>
      <c r="AA45" s="29">
        <v>0</v>
      </c>
      <c r="AB45" s="25"/>
      <c r="AC45" s="30">
        <f t="shared" si="8"/>
        <v>6</v>
      </c>
      <c r="AD45" s="7"/>
      <c r="AE45" s="7" t="str">
        <f t="shared" si="9"/>
        <v>🔺 Bullish</v>
      </c>
      <c r="AF45" s="7" t="str">
        <f t="shared" si="10"/>
        <v>STOCK IN NOW</v>
      </c>
      <c r="AG45" s="10"/>
    </row>
    <row r="46" spans="2:33" ht="20.100000000000001" customHeight="1" x14ac:dyDescent="0.25">
      <c r="B46" s="31">
        <v>40</v>
      </c>
      <c r="C46" s="32">
        <v>45201</v>
      </c>
      <c r="D46" s="19">
        <v>1592</v>
      </c>
      <c r="E46" s="8" t="s">
        <v>984</v>
      </c>
      <c r="F46" s="20">
        <v>1604.08</v>
      </c>
      <c r="G46" s="20">
        <v>1666.78</v>
      </c>
      <c r="H46" s="20">
        <v>1552</v>
      </c>
      <c r="I46" s="20">
        <f t="shared" si="7"/>
        <v>114.77999999999997</v>
      </c>
      <c r="J46" s="20">
        <v>1649.02</v>
      </c>
      <c r="K46" s="20">
        <v>1571.23</v>
      </c>
      <c r="L46" s="9">
        <f t="shared" si="11"/>
        <v>4</v>
      </c>
      <c r="M46" s="11">
        <f t="shared" si="12"/>
        <v>2.5188916876574307E-3</v>
      </c>
      <c r="N46" s="20">
        <f t="shared" si="13"/>
        <v>1585</v>
      </c>
      <c r="O46" s="21">
        <v>1</v>
      </c>
      <c r="P46" s="22" t="s">
        <v>1322</v>
      </c>
      <c r="Q46" s="23">
        <v>1</v>
      </c>
      <c r="R46" s="22" t="s">
        <v>984</v>
      </c>
      <c r="S46" s="24">
        <v>2</v>
      </c>
      <c r="T46" s="22" t="s">
        <v>1322</v>
      </c>
      <c r="U46" s="26">
        <v>0</v>
      </c>
      <c r="V46" s="25"/>
      <c r="W46" s="27">
        <v>0</v>
      </c>
      <c r="X46" s="22" t="s">
        <v>984</v>
      </c>
      <c r="Y46" s="28">
        <v>0</v>
      </c>
      <c r="Z46" s="25"/>
      <c r="AA46" s="29">
        <v>0</v>
      </c>
      <c r="AB46" s="25"/>
      <c r="AC46" s="30">
        <f t="shared" si="8"/>
        <v>4</v>
      </c>
      <c r="AD46" s="7"/>
      <c r="AE46" s="7" t="str">
        <f t="shared" si="9"/>
        <v>🔺 Bullish</v>
      </c>
      <c r="AF46" s="7" t="str">
        <f t="shared" si="10"/>
        <v>STOCK IN NOW</v>
      </c>
      <c r="AG46" s="10"/>
    </row>
    <row r="47" spans="2:33" ht="20.100000000000001" customHeight="1" x14ac:dyDescent="0.25">
      <c r="B47" s="17">
        <v>41</v>
      </c>
      <c r="C47" s="18">
        <v>45208</v>
      </c>
      <c r="D47" s="19">
        <v>1598</v>
      </c>
      <c r="E47" s="8" t="s">
        <v>988</v>
      </c>
      <c r="F47" s="20">
        <v>1605.11</v>
      </c>
      <c r="G47" s="20">
        <v>1642.2</v>
      </c>
      <c r="H47" s="20">
        <v>1577.02</v>
      </c>
      <c r="I47" s="20">
        <f t="shared" si="7"/>
        <v>65.180000000000064</v>
      </c>
      <c r="J47" s="20">
        <v>1620.52</v>
      </c>
      <c r="K47" s="20">
        <v>1596.8</v>
      </c>
      <c r="L47" s="9">
        <f t="shared" si="11"/>
        <v>6</v>
      </c>
      <c r="M47" s="11">
        <f t="shared" si="12"/>
        <v>3.7688442211055275E-3</v>
      </c>
      <c r="N47" s="20">
        <f t="shared" si="13"/>
        <v>1590</v>
      </c>
      <c r="O47" s="21">
        <v>1</v>
      </c>
      <c r="P47" s="22" t="s">
        <v>1323</v>
      </c>
      <c r="Q47" s="23">
        <v>1</v>
      </c>
      <c r="R47" s="22" t="s">
        <v>988</v>
      </c>
      <c r="S47" s="24">
        <v>2</v>
      </c>
      <c r="T47" s="22" t="s">
        <v>1323</v>
      </c>
      <c r="U47" s="26">
        <v>0</v>
      </c>
      <c r="V47" s="25"/>
      <c r="W47" s="27">
        <v>0</v>
      </c>
      <c r="X47" s="22" t="s">
        <v>988</v>
      </c>
      <c r="Y47" s="28">
        <v>0</v>
      </c>
      <c r="Z47" s="25"/>
      <c r="AA47" s="29">
        <v>0</v>
      </c>
      <c r="AB47" s="25"/>
      <c r="AC47" s="30">
        <f t="shared" si="8"/>
        <v>4</v>
      </c>
      <c r="AD47" s="7"/>
      <c r="AE47" s="7" t="str">
        <f t="shared" si="9"/>
        <v>🔺 Bullish</v>
      </c>
      <c r="AF47" s="7" t="str">
        <f t="shared" si="10"/>
        <v>STOCK IN NOW</v>
      </c>
      <c r="AG47" s="10"/>
    </row>
    <row r="48" spans="2:33" ht="20.100000000000001" customHeight="1" x14ac:dyDescent="0.25">
      <c r="B48" s="31">
        <v>42</v>
      </c>
      <c r="C48" s="32">
        <v>45215</v>
      </c>
      <c r="D48" s="19">
        <v>1605</v>
      </c>
      <c r="E48" s="8" t="s">
        <v>992</v>
      </c>
      <c r="F48" s="20">
        <v>1604</v>
      </c>
      <c r="G48" s="20">
        <v>1637.91</v>
      </c>
      <c r="H48" s="20">
        <v>1577.66</v>
      </c>
      <c r="I48" s="20">
        <f t="shared" si="7"/>
        <v>60.25</v>
      </c>
      <c r="J48" s="20">
        <v>1621.37</v>
      </c>
      <c r="K48" s="20">
        <v>1585.62</v>
      </c>
      <c r="L48" s="9">
        <f t="shared" si="11"/>
        <v>7</v>
      </c>
      <c r="M48" s="11">
        <f t="shared" si="12"/>
        <v>4.3804755944931162E-3</v>
      </c>
      <c r="N48" s="20">
        <f t="shared" si="13"/>
        <v>1595.75</v>
      </c>
      <c r="O48" s="21">
        <v>1</v>
      </c>
      <c r="P48" s="22" t="s">
        <v>1324</v>
      </c>
      <c r="Q48" s="23">
        <v>2</v>
      </c>
      <c r="R48" s="22" t="s">
        <v>992</v>
      </c>
      <c r="S48" s="24">
        <v>2</v>
      </c>
      <c r="T48" s="22" t="s">
        <v>1324</v>
      </c>
      <c r="U48" s="26">
        <v>1</v>
      </c>
      <c r="V48" s="22" t="s">
        <v>1324</v>
      </c>
      <c r="W48" s="27">
        <v>0</v>
      </c>
      <c r="X48" s="22" t="s">
        <v>992</v>
      </c>
      <c r="Y48" s="28">
        <v>0</v>
      </c>
      <c r="Z48" s="25"/>
      <c r="AA48" s="29">
        <v>0</v>
      </c>
      <c r="AB48" s="25"/>
      <c r="AC48" s="30">
        <f t="shared" si="8"/>
        <v>6</v>
      </c>
      <c r="AD48" s="7"/>
      <c r="AE48" s="7" t="str">
        <f t="shared" si="9"/>
        <v>🔺 Bullish</v>
      </c>
      <c r="AF48" s="7" t="str">
        <f t="shared" si="10"/>
        <v>STOCK IN NOW</v>
      </c>
      <c r="AG48" s="10"/>
    </row>
    <row r="49" spans="2:33" ht="20.100000000000001" customHeight="1" x14ac:dyDescent="0.25">
      <c r="B49" s="17">
        <v>43</v>
      </c>
      <c r="C49" s="18">
        <v>45222</v>
      </c>
      <c r="D49" s="19">
        <v>1612</v>
      </c>
      <c r="E49" s="8" t="s">
        <v>996</v>
      </c>
      <c r="F49" s="20">
        <v>1642.51</v>
      </c>
      <c r="G49" s="20">
        <v>1677.39</v>
      </c>
      <c r="H49" s="20">
        <v>1594.16</v>
      </c>
      <c r="I49" s="20">
        <f t="shared" si="7"/>
        <v>83.230000000000018</v>
      </c>
      <c r="J49" s="20">
        <v>1668.31</v>
      </c>
      <c r="K49" s="20">
        <v>1647.22</v>
      </c>
      <c r="L49" s="9">
        <f t="shared" si="11"/>
        <v>7</v>
      </c>
      <c r="M49" s="11">
        <f t="shared" si="12"/>
        <v>4.3613707165109034E-3</v>
      </c>
      <c r="N49" s="20">
        <f t="shared" si="13"/>
        <v>1601.75</v>
      </c>
      <c r="O49" s="21">
        <v>1</v>
      </c>
      <c r="P49" s="22" t="s">
        <v>1325</v>
      </c>
      <c r="Q49" s="23">
        <v>2</v>
      </c>
      <c r="R49" s="22" t="s">
        <v>996</v>
      </c>
      <c r="S49" s="24">
        <v>2</v>
      </c>
      <c r="T49" s="22" t="s">
        <v>1325</v>
      </c>
      <c r="U49" s="26">
        <v>1</v>
      </c>
      <c r="V49" s="22" t="s">
        <v>1325</v>
      </c>
      <c r="W49" s="27">
        <v>0</v>
      </c>
      <c r="X49" s="22" t="s">
        <v>996</v>
      </c>
      <c r="Y49" s="28">
        <v>0</v>
      </c>
      <c r="Z49" s="25"/>
      <c r="AA49" s="29">
        <v>0</v>
      </c>
      <c r="AB49" s="25"/>
      <c r="AC49" s="30">
        <f t="shared" si="8"/>
        <v>6</v>
      </c>
      <c r="AD49" s="7"/>
      <c r="AE49" s="7" t="str">
        <f t="shared" si="9"/>
        <v>🔺 Bullish</v>
      </c>
      <c r="AF49" s="7" t="str">
        <f t="shared" si="10"/>
        <v>STOCK IN NOW</v>
      </c>
      <c r="AG49" s="10"/>
    </row>
    <row r="50" spans="2:33" ht="20.100000000000001" customHeight="1" x14ac:dyDescent="0.25">
      <c r="B50" s="31">
        <v>44</v>
      </c>
      <c r="C50" s="32">
        <v>45229</v>
      </c>
      <c r="D50" s="19">
        <v>1608</v>
      </c>
      <c r="E50" s="8" t="s">
        <v>1000</v>
      </c>
      <c r="F50" s="20">
        <v>1622.12</v>
      </c>
      <c r="G50" s="20">
        <v>1667.69</v>
      </c>
      <c r="H50" s="20">
        <v>1579.1</v>
      </c>
      <c r="I50" s="20">
        <f t="shared" si="7"/>
        <v>88.590000000000146</v>
      </c>
      <c r="J50" s="20">
        <v>1658.59</v>
      </c>
      <c r="K50" s="20">
        <v>1599.77</v>
      </c>
      <c r="L50" s="9">
        <f t="shared" si="11"/>
        <v>-4</v>
      </c>
      <c r="M50" s="11">
        <f t="shared" si="12"/>
        <v>-2.4813895781637717E-3</v>
      </c>
      <c r="N50" s="20">
        <f t="shared" si="13"/>
        <v>1605.75</v>
      </c>
      <c r="O50" s="21">
        <v>0</v>
      </c>
      <c r="P50" s="25"/>
      <c r="Q50" s="23">
        <v>1</v>
      </c>
      <c r="R50" s="22" t="s">
        <v>1000</v>
      </c>
      <c r="S50" s="24">
        <v>1</v>
      </c>
      <c r="T50" s="22" t="s">
        <v>1000</v>
      </c>
      <c r="U50" s="26">
        <v>0</v>
      </c>
      <c r="V50" s="25"/>
      <c r="W50" s="27">
        <v>0</v>
      </c>
      <c r="X50" s="22" t="s">
        <v>1000</v>
      </c>
      <c r="Y50" s="28">
        <v>0</v>
      </c>
      <c r="Z50" s="25"/>
      <c r="AA50" s="29">
        <v>0</v>
      </c>
      <c r="AB50" s="25"/>
      <c r="AC50" s="30">
        <f t="shared" si="8"/>
        <v>2</v>
      </c>
      <c r="AD50" s="7"/>
      <c r="AE50" s="7" t="str">
        <f t="shared" si="9"/>
        <v>↑ Mildly Bullish</v>
      </c>
      <c r="AF50" s="7" t="str">
        <f t="shared" si="10"/>
        <v>Consider stock-in</v>
      </c>
      <c r="AG50" s="10"/>
    </row>
    <row r="51" spans="2:33" ht="20.100000000000001" customHeight="1" x14ac:dyDescent="0.25">
      <c r="B51" s="17">
        <v>45</v>
      </c>
      <c r="C51" s="18">
        <v>45236</v>
      </c>
      <c r="D51" s="19">
        <v>1605</v>
      </c>
      <c r="E51" s="8" t="s">
        <v>1004</v>
      </c>
      <c r="F51" s="20">
        <v>1620.06</v>
      </c>
      <c r="G51" s="20">
        <v>1670.7</v>
      </c>
      <c r="H51" s="20">
        <v>1596.71</v>
      </c>
      <c r="I51" s="20">
        <f t="shared" si="7"/>
        <v>73.990000000000009</v>
      </c>
      <c r="J51" s="20">
        <v>1647.48</v>
      </c>
      <c r="K51" s="20">
        <v>1607.71</v>
      </c>
      <c r="L51" s="9">
        <f t="shared" si="11"/>
        <v>-3</v>
      </c>
      <c r="M51" s="11">
        <f t="shared" si="12"/>
        <v>-1.8656716417910447E-3</v>
      </c>
      <c r="N51" s="20">
        <f t="shared" si="13"/>
        <v>1607.5</v>
      </c>
      <c r="O51" s="21">
        <v>0</v>
      </c>
      <c r="P51" s="25"/>
      <c r="Q51" s="23">
        <v>1</v>
      </c>
      <c r="R51" s="22" t="s">
        <v>1004</v>
      </c>
      <c r="S51" s="24">
        <v>1</v>
      </c>
      <c r="T51" s="22" t="s">
        <v>1326</v>
      </c>
      <c r="U51" s="26">
        <v>0</v>
      </c>
      <c r="V51" s="25"/>
      <c r="W51" s="27">
        <v>0</v>
      </c>
      <c r="X51" s="22" t="s">
        <v>1004</v>
      </c>
      <c r="Y51" s="28">
        <v>0</v>
      </c>
      <c r="Z51" s="25"/>
      <c r="AA51" s="29">
        <v>0</v>
      </c>
      <c r="AB51" s="25"/>
      <c r="AC51" s="30">
        <f t="shared" si="8"/>
        <v>2</v>
      </c>
      <c r="AD51" s="7"/>
      <c r="AE51" s="7" t="str">
        <f t="shared" si="9"/>
        <v>↑ Mildly Bullish</v>
      </c>
      <c r="AF51" s="7" t="str">
        <f t="shared" si="10"/>
        <v>Consider stock-in</v>
      </c>
      <c r="AG51" s="10"/>
    </row>
    <row r="52" spans="2:33" ht="20.100000000000001" customHeight="1" x14ac:dyDescent="0.25">
      <c r="B52" s="31">
        <v>46</v>
      </c>
      <c r="C52" s="32">
        <v>45243</v>
      </c>
      <c r="D52" s="19">
        <v>1610</v>
      </c>
      <c r="E52" s="8" t="s">
        <v>1008</v>
      </c>
      <c r="F52" s="20">
        <v>1627.95</v>
      </c>
      <c r="G52" s="20">
        <v>1671.45</v>
      </c>
      <c r="H52" s="20">
        <v>1590.48</v>
      </c>
      <c r="I52" s="20">
        <f t="shared" si="7"/>
        <v>80.970000000000027</v>
      </c>
      <c r="J52" s="20">
        <v>1660.23</v>
      </c>
      <c r="K52" s="20">
        <v>1613.61</v>
      </c>
      <c r="L52" s="9">
        <f t="shared" si="11"/>
        <v>5</v>
      </c>
      <c r="M52" s="11">
        <f t="shared" si="12"/>
        <v>3.1152647975077881E-3</v>
      </c>
      <c r="N52" s="20">
        <f t="shared" si="13"/>
        <v>1608.75</v>
      </c>
      <c r="O52" s="21">
        <v>1</v>
      </c>
      <c r="P52" s="22" t="s">
        <v>1327</v>
      </c>
      <c r="Q52" s="23">
        <v>1</v>
      </c>
      <c r="R52" s="22" t="s">
        <v>1008</v>
      </c>
      <c r="S52" s="24">
        <v>2</v>
      </c>
      <c r="T52" s="22" t="s">
        <v>1327</v>
      </c>
      <c r="U52" s="26">
        <v>0</v>
      </c>
      <c r="V52" s="25"/>
      <c r="W52" s="27">
        <v>0</v>
      </c>
      <c r="X52" s="22" t="s">
        <v>1008</v>
      </c>
      <c r="Y52" s="28">
        <v>0</v>
      </c>
      <c r="Z52" s="25"/>
      <c r="AA52" s="29">
        <v>0</v>
      </c>
      <c r="AB52" s="25"/>
      <c r="AC52" s="30">
        <f t="shared" si="8"/>
        <v>4</v>
      </c>
      <c r="AD52" s="7"/>
      <c r="AE52" s="7" t="str">
        <f t="shared" si="9"/>
        <v>🔺 Bullish</v>
      </c>
      <c r="AF52" s="7" t="str">
        <f t="shared" si="10"/>
        <v>STOCK IN NOW</v>
      </c>
      <c r="AG52" s="10"/>
    </row>
    <row r="53" spans="2:33" ht="20.100000000000001" customHeight="1" x14ac:dyDescent="0.25">
      <c r="B53" s="17">
        <v>47</v>
      </c>
      <c r="C53" s="18">
        <v>45250</v>
      </c>
      <c r="D53" s="19">
        <v>1615</v>
      </c>
      <c r="E53" s="8" t="s">
        <v>1012</v>
      </c>
      <c r="F53" s="20">
        <v>1628.68</v>
      </c>
      <c r="G53" s="20">
        <v>1661.36</v>
      </c>
      <c r="H53" s="20">
        <v>1598.63</v>
      </c>
      <c r="I53" s="20">
        <f t="shared" si="7"/>
        <v>62.729999999999791</v>
      </c>
      <c r="J53" s="20">
        <v>1640.3</v>
      </c>
      <c r="K53" s="20">
        <v>1630.73</v>
      </c>
      <c r="L53" s="9">
        <f t="shared" si="11"/>
        <v>5</v>
      </c>
      <c r="M53" s="11">
        <f t="shared" si="12"/>
        <v>3.105590062111801E-3</v>
      </c>
      <c r="N53" s="20">
        <f t="shared" si="13"/>
        <v>1609.5</v>
      </c>
      <c r="O53" s="21">
        <v>1</v>
      </c>
      <c r="P53" s="22" t="s">
        <v>1328</v>
      </c>
      <c r="Q53" s="23">
        <v>1</v>
      </c>
      <c r="R53" s="22" t="s">
        <v>1012</v>
      </c>
      <c r="S53" s="24">
        <v>2</v>
      </c>
      <c r="T53" s="22" t="s">
        <v>1328</v>
      </c>
      <c r="U53" s="26">
        <v>0</v>
      </c>
      <c r="V53" s="25"/>
      <c r="W53" s="27">
        <v>0</v>
      </c>
      <c r="X53" s="22" t="s">
        <v>1012</v>
      </c>
      <c r="Y53" s="28">
        <v>0</v>
      </c>
      <c r="Z53" s="25"/>
      <c r="AA53" s="29">
        <v>0</v>
      </c>
      <c r="AB53" s="25"/>
      <c r="AC53" s="30">
        <f t="shared" si="8"/>
        <v>4</v>
      </c>
      <c r="AD53" s="7"/>
      <c r="AE53" s="7" t="str">
        <f t="shared" si="9"/>
        <v>🔺 Bullish</v>
      </c>
      <c r="AF53" s="7" t="str">
        <f t="shared" si="10"/>
        <v>STOCK IN NOW</v>
      </c>
      <c r="AG53" s="10"/>
    </row>
    <row r="54" spans="2:33" ht="20.100000000000001" customHeight="1" x14ac:dyDescent="0.25">
      <c r="B54" s="31">
        <v>48</v>
      </c>
      <c r="C54" s="32">
        <v>45257</v>
      </c>
      <c r="D54" s="19">
        <v>1612</v>
      </c>
      <c r="E54" s="8" t="s">
        <v>1016</v>
      </c>
      <c r="F54" s="20">
        <v>1602.23</v>
      </c>
      <c r="G54" s="20">
        <v>1627.59</v>
      </c>
      <c r="H54" s="20">
        <v>1578.52</v>
      </c>
      <c r="I54" s="20">
        <f t="shared" si="7"/>
        <v>49.069999999999936</v>
      </c>
      <c r="J54" s="20">
        <v>1601.38</v>
      </c>
      <c r="K54" s="20">
        <v>1593.31</v>
      </c>
      <c r="L54" s="9">
        <f t="shared" si="11"/>
        <v>-3</v>
      </c>
      <c r="M54" s="11">
        <f t="shared" si="12"/>
        <v>-1.8575851393188853E-3</v>
      </c>
      <c r="N54" s="20">
        <f t="shared" si="13"/>
        <v>1610.5</v>
      </c>
      <c r="O54" s="21">
        <v>0</v>
      </c>
      <c r="P54" s="25"/>
      <c r="Q54" s="23">
        <v>1</v>
      </c>
      <c r="R54" s="22" t="s">
        <v>1016</v>
      </c>
      <c r="S54" s="24">
        <v>1</v>
      </c>
      <c r="T54" s="22" t="s">
        <v>1329</v>
      </c>
      <c r="U54" s="26">
        <v>0</v>
      </c>
      <c r="V54" s="25"/>
      <c r="W54" s="27">
        <v>0</v>
      </c>
      <c r="X54" s="22" t="s">
        <v>1016</v>
      </c>
      <c r="Y54" s="28">
        <v>0</v>
      </c>
      <c r="Z54" s="25"/>
      <c r="AA54" s="29">
        <v>0</v>
      </c>
      <c r="AB54" s="25"/>
      <c r="AC54" s="30">
        <f t="shared" si="8"/>
        <v>2</v>
      </c>
      <c r="AD54" s="7"/>
      <c r="AE54" s="7" t="str">
        <f t="shared" si="9"/>
        <v>↑ Mildly Bullish</v>
      </c>
      <c r="AF54" s="7" t="str">
        <f t="shared" si="10"/>
        <v>Consider stock-in</v>
      </c>
      <c r="AG54" s="10"/>
    </row>
    <row r="55" spans="2:33" ht="20.100000000000001" customHeight="1" x14ac:dyDescent="0.25">
      <c r="B55" s="17">
        <v>49</v>
      </c>
      <c r="C55" s="18">
        <v>45264</v>
      </c>
      <c r="D55" s="19">
        <v>1618</v>
      </c>
      <c r="E55" s="8" t="s">
        <v>1020</v>
      </c>
      <c r="F55" s="20">
        <v>1633.95</v>
      </c>
      <c r="G55" s="20">
        <v>1705.46</v>
      </c>
      <c r="H55" s="20">
        <v>1585.32</v>
      </c>
      <c r="I55" s="20">
        <f t="shared" si="7"/>
        <v>120.1400000000001</v>
      </c>
      <c r="J55" s="20">
        <v>1681.13</v>
      </c>
      <c r="K55" s="20">
        <v>1602.73</v>
      </c>
      <c r="L55" s="9">
        <f t="shared" si="11"/>
        <v>6</v>
      </c>
      <c r="M55" s="11">
        <f t="shared" si="12"/>
        <v>3.7220843672456576E-3</v>
      </c>
      <c r="N55" s="20">
        <f t="shared" si="13"/>
        <v>1613.75</v>
      </c>
      <c r="O55" s="21">
        <v>1</v>
      </c>
      <c r="P55" s="22" t="s">
        <v>1020</v>
      </c>
      <c r="Q55" s="23">
        <v>1</v>
      </c>
      <c r="R55" s="22" t="s">
        <v>1020</v>
      </c>
      <c r="S55" s="24">
        <v>2</v>
      </c>
      <c r="T55" s="22" t="s">
        <v>1020</v>
      </c>
      <c r="U55" s="26">
        <v>0</v>
      </c>
      <c r="V55" s="25"/>
      <c r="W55" s="27">
        <v>0</v>
      </c>
      <c r="X55" s="22" t="s">
        <v>1020</v>
      </c>
      <c r="Y55" s="28">
        <v>0</v>
      </c>
      <c r="Z55" s="25"/>
      <c r="AA55" s="29">
        <v>0</v>
      </c>
      <c r="AB55" s="25"/>
      <c r="AC55" s="30">
        <f t="shared" si="8"/>
        <v>4</v>
      </c>
      <c r="AD55" s="7"/>
      <c r="AE55" s="7" t="str">
        <f t="shared" si="9"/>
        <v>🔺 Bullish</v>
      </c>
      <c r="AF55" s="7" t="str">
        <f t="shared" si="10"/>
        <v>STOCK IN NOW</v>
      </c>
      <c r="AG55" s="10"/>
    </row>
    <row r="56" spans="2:33" ht="20.100000000000001" customHeight="1" x14ac:dyDescent="0.25">
      <c r="B56" s="31">
        <v>50</v>
      </c>
      <c r="C56" s="32">
        <v>45271</v>
      </c>
      <c r="D56" s="19">
        <v>1622</v>
      </c>
      <c r="E56" s="8" t="s">
        <v>1024</v>
      </c>
      <c r="F56" s="20">
        <v>1632.54</v>
      </c>
      <c r="G56" s="20">
        <v>1690.36</v>
      </c>
      <c r="H56" s="20">
        <v>1585.95</v>
      </c>
      <c r="I56" s="20">
        <f t="shared" si="7"/>
        <v>104.40999999999985</v>
      </c>
      <c r="J56" s="20">
        <v>1667.31</v>
      </c>
      <c r="K56" s="20">
        <v>1608.3</v>
      </c>
      <c r="L56" s="9">
        <f t="shared" si="11"/>
        <v>4</v>
      </c>
      <c r="M56" s="11">
        <f t="shared" si="12"/>
        <v>2.472187886279357E-3</v>
      </c>
      <c r="N56" s="20">
        <f t="shared" si="13"/>
        <v>1616.75</v>
      </c>
      <c r="O56" s="21">
        <v>1</v>
      </c>
      <c r="P56" s="22" t="s">
        <v>1024</v>
      </c>
      <c r="Q56" s="23">
        <v>1</v>
      </c>
      <c r="R56" s="22" t="s">
        <v>1024</v>
      </c>
      <c r="S56" s="24">
        <v>2</v>
      </c>
      <c r="T56" s="22" t="s">
        <v>1024</v>
      </c>
      <c r="U56" s="26">
        <v>0</v>
      </c>
      <c r="V56" s="25"/>
      <c r="W56" s="27">
        <v>0</v>
      </c>
      <c r="X56" s="22" t="s">
        <v>1024</v>
      </c>
      <c r="Y56" s="28">
        <v>0</v>
      </c>
      <c r="Z56" s="25"/>
      <c r="AA56" s="29">
        <v>0</v>
      </c>
      <c r="AB56" s="25"/>
      <c r="AC56" s="30">
        <f t="shared" si="8"/>
        <v>4</v>
      </c>
      <c r="AD56" s="7"/>
      <c r="AE56" s="7" t="str">
        <f t="shared" si="9"/>
        <v>🔺 Bullish</v>
      </c>
      <c r="AF56" s="7" t="str">
        <f t="shared" si="10"/>
        <v>STOCK IN NOW</v>
      </c>
      <c r="AG56" s="10"/>
    </row>
    <row r="57" spans="2:33" ht="20.100000000000001" customHeight="1" x14ac:dyDescent="0.25">
      <c r="B57" s="17">
        <v>51</v>
      </c>
      <c r="C57" s="18">
        <v>45278</v>
      </c>
      <c r="D57" s="19">
        <v>1620</v>
      </c>
      <c r="E57" s="8" t="s">
        <v>1028</v>
      </c>
      <c r="F57" s="20">
        <v>1628.42</v>
      </c>
      <c r="G57" s="20">
        <v>1669.86</v>
      </c>
      <c r="H57" s="20">
        <v>1598.26</v>
      </c>
      <c r="I57" s="20">
        <f t="shared" si="7"/>
        <v>71.599999999999909</v>
      </c>
      <c r="J57" s="20">
        <v>1650.81</v>
      </c>
      <c r="K57" s="20">
        <v>1614.44</v>
      </c>
      <c r="L57" s="9">
        <f t="shared" si="11"/>
        <v>-2</v>
      </c>
      <c r="M57" s="11">
        <f t="shared" si="12"/>
        <v>-1.2330456226880395E-3</v>
      </c>
      <c r="N57" s="20">
        <f t="shared" si="13"/>
        <v>1618</v>
      </c>
      <c r="O57" s="21">
        <v>0</v>
      </c>
      <c r="P57" s="25"/>
      <c r="Q57" s="23">
        <v>0</v>
      </c>
      <c r="R57" s="22" t="s">
        <v>1028</v>
      </c>
      <c r="S57" s="24">
        <v>1</v>
      </c>
      <c r="T57" s="22" t="s">
        <v>1028</v>
      </c>
      <c r="U57" s="26">
        <v>0</v>
      </c>
      <c r="V57" s="25"/>
      <c r="W57" s="27">
        <v>0</v>
      </c>
      <c r="X57" s="22" t="s">
        <v>1028</v>
      </c>
      <c r="Y57" s="28">
        <v>0</v>
      </c>
      <c r="Z57" s="25"/>
      <c r="AA57" s="29">
        <v>0</v>
      </c>
      <c r="AB57" s="25"/>
      <c r="AC57" s="30">
        <f t="shared" si="8"/>
        <v>1</v>
      </c>
      <c r="AD57" s="7"/>
      <c r="AE57" s="7" t="str">
        <f t="shared" si="9"/>
        <v>→ Neutral</v>
      </c>
      <c r="AF57" s="7" t="str">
        <f t="shared" si="10"/>
        <v>Hold</v>
      </c>
      <c r="AG57" s="10"/>
    </row>
    <row r="58" spans="2:33" ht="20.100000000000001" customHeight="1" x14ac:dyDescent="0.25">
      <c r="B58" s="31">
        <v>52</v>
      </c>
      <c r="C58" s="32">
        <v>45285</v>
      </c>
      <c r="D58" s="19">
        <v>1618</v>
      </c>
      <c r="E58" s="8" t="s">
        <v>392</v>
      </c>
      <c r="F58" s="20">
        <v>1627.78</v>
      </c>
      <c r="G58" s="20">
        <v>1687.94</v>
      </c>
      <c r="H58" s="20">
        <v>1593.96</v>
      </c>
      <c r="I58" s="20">
        <f t="shared" si="7"/>
        <v>93.980000000000018</v>
      </c>
      <c r="J58" s="20">
        <v>1602.05</v>
      </c>
      <c r="K58" s="20">
        <v>1663.3</v>
      </c>
      <c r="L58" s="9">
        <f t="shared" si="11"/>
        <v>-2</v>
      </c>
      <c r="M58" s="11">
        <f t="shared" si="12"/>
        <v>-1.2345679012345679E-3</v>
      </c>
      <c r="N58" s="20">
        <f t="shared" si="13"/>
        <v>1619.5</v>
      </c>
      <c r="O58" s="21">
        <v>0</v>
      </c>
      <c r="P58" s="25"/>
      <c r="Q58" s="23">
        <v>0</v>
      </c>
      <c r="R58" s="22" t="s">
        <v>392</v>
      </c>
      <c r="S58" s="24">
        <v>1</v>
      </c>
      <c r="T58" s="22" t="s">
        <v>392</v>
      </c>
      <c r="U58" s="26">
        <v>0</v>
      </c>
      <c r="V58" s="25"/>
      <c r="W58" s="27">
        <v>0</v>
      </c>
      <c r="X58" s="22" t="s">
        <v>392</v>
      </c>
      <c r="Y58" s="28">
        <v>0</v>
      </c>
      <c r="Z58" s="25"/>
      <c r="AA58" s="29">
        <v>0</v>
      </c>
      <c r="AB58" s="25"/>
      <c r="AC58" s="30">
        <f t="shared" si="8"/>
        <v>1</v>
      </c>
      <c r="AD58" s="7"/>
      <c r="AE58" s="7" t="str">
        <f t="shared" si="9"/>
        <v>→ Neutral</v>
      </c>
      <c r="AF58" s="7" t="str">
        <f t="shared" si="10"/>
        <v>Hold</v>
      </c>
      <c r="AG58" s="10"/>
    </row>
    <row r="59" spans="2:33" ht="20.100000000000001" customHeight="1" x14ac:dyDescent="0.25">
      <c r="B59" s="17">
        <v>52</v>
      </c>
      <c r="C59" s="18">
        <v>45290</v>
      </c>
      <c r="D59" s="19">
        <v>1622</v>
      </c>
      <c r="E59" s="8" t="s">
        <v>1035</v>
      </c>
      <c r="F59" s="20">
        <v>1619.6</v>
      </c>
      <c r="G59" s="20">
        <v>1656.94</v>
      </c>
      <c r="H59" s="20">
        <v>1581.57</v>
      </c>
      <c r="I59" s="20">
        <f t="shared" si="7"/>
        <v>75.370000000000118</v>
      </c>
      <c r="J59" s="20">
        <v>1637.27</v>
      </c>
      <c r="K59" s="20">
        <v>1599.52</v>
      </c>
      <c r="L59" s="9">
        <f t="shared" si="11"/>
        <v>4</v>
      </c>
      <c r="M59" s="11">
        <f t="shared" si="12"/>
        <v>2.472187886279357E-3</v>
      </c>
      <c r="N59" s="20">
        <f t="shared" si="13"/>
        <v>1620.5</v>
      </c>
      <c r="O59" s="21">
        <v>1</v>
      </c>
      <c r="P59" s="22" t="s">
        <v>1330</v>
      </c>
      <c r="Q59" s="23">
        <v>0</v>
      </c>
      <c r="R59" s="22" t="s">
        <v>1035</v>
      </c>
      <c r="S59" s="24">
        <v>1</v>
      </c>
      <c r="T59" s="22" t="s">
        <v>1330</v>
      </c>
      <c r="U59" s="26">
        <v>0</v>
      </c>
      <c r="V59" s="25"/>
      <c r="W59" s="27">
        <v>0</v>
      </c>
      <c r="X59" s="22" t="s">
        <v>1035</v>
      </c>
      <c r="Y59" s="28">
        <v>0</v>
      </c>
      <c r="Z59" s="25"/>
      <c r="AA59" s="29">
        <v>0</v>
      </c>
      <c r="AB59" s="25"/>
      <c r="AC59" s="30">
        <f t="shared" si="8"/>
        <v>2</v>
      </c>
      <c r="AD59" s="7"/>
      <c r="AE59" s="7" t="str">
        <f t="shared" si="9"/>
        <v>↑ Mildly Bullish</v>
      </c>
      <c r="AF59" s="7" t="str">
        <f t="shared" si="10"/>
        <v>Consider stock-in</v>
      </c>
      <c r="AG59" s="10"/>
    </row>
    <row r="60" spans="2:33" ht="20.100000000000001" customHeight="1" x14ac:dyDescent="0.25">
      <c r="B60" s="31">
        <v>1</v>
      </c>
      <c r="C60" s="32">
        <v>45297</v>
      </c>
      <c r="D60" s="19">
        <v>1632</v>
      </c>
      <c r="E60" s="8" t="s">
        <v>1040</v>
      </c>
      <c r="F60" s="20">
        <v>1639.45</v>
      </c>
      <c r="G60" s="20">
        <v>1667.42</v>
      </c>
      <c r="H60" s="20">
        <v>1622</v>
      </c>
      <c r="I60" s="20">
        <f t="shared" si="7"/>
        <v>45.420000000000073</v>
      </c>
      <c r="J60" s="20">
        <v>1634.36</v>
      </c>
      <c r="K60" s="20">
        <v>1651.98</v>
      </c>
      <c r="L60" s="9">
        <f t="shared" si="11"/>
        <v>10</v>
      </c>
      <c r="M60" s="11">
        <f t="shared" si="12"/>
        <v>6.1652281134401974E-3</v>
      </c>
      <c r="N60" s="20">
        <f t="shared" si="13"/>
        <v>1623</v>
      </c>
      <c r="O60" s="21">
        <v>1</v>
      </c>
      <c r="P60" s="22" t="s">
        <v>1331</v>
      </c>
      <c r="Q60" s="23">
        <v>1</v>
      </c>
      <c r="R60" s="22" t="s">
        <v>1040</v>
      </c>
      <c r="S60" s="24">
        <v>1</v>
      </c>
      <c r="T60" s="22" t="s">
        <v>1331</v>
      </c>
      <c r="U60" s="26">
        <v>0</v>
      </c>
      <c r="V60" s="25"/>
      <c r="W60" s="27">
        <v>0</v>
      </c>
      <c r="X60" s="22" t="s">
        <v>1040</v>
      </c>
      <c r="Y60" s="28">
        <v>1</v>
      </c>
      <c r="Z60" s="22" t="s">
        <v>1331</v>
      </c>
      <c r="AA60" s="29">
        <v>0</v>
      </c>
      <c r="AB60" s="25"/>
      <c r="AC60" s="30">
        <f t="shared" si="8"/>
        <v>4</v>
      </c>
      <c r="AD60" s="7"/>
      <c r="AE60" s="7" t="str">
        <f t="shared" si="9"/>
        <v>🔺 Bullish</v>
      </c>
      <c r="AF60" s="7" t="str">
        <f t="shared" si="10"/>
        <v>STOCK IN NOW</v>
      </c>
      <c r="AG60" s="10"/>
    </row>
    <row r="61" spans="2:33" ht="20.100000000000001" customHeight="1" x14ac:dyDescent="0.25">
      <c r="B61" s="17">
        <v>2</v>
      </c>
      <c r="C61" s="18">
        <v>45304</v>
      </c>
      <c r="D61" s="19">
        <v>1642</v>
      </c>
      <c r="E61" s="8" t="s">
        <v>1045</v>
      </c>
      <c r="F61" s="20">
        <v>1668.89</v>
      </c>
      <c r="G61" s="20">
        <v>1719.88</v>
      </c>
      <c r="H61" s="20">
        <v>1621.33</v>
      </c>
      <c r="I61" s="20">
        <f t="shared" si="7"/>
        <v>98.550000000000182</v>
      </c>
      <c r="J61" s="20">
        <v>1666.87</v>
      </c>
      <c r="K61" s="20">
        <v>1697.79</v>
      </c>
      <c r="L61" s="9">
        <f t="shared" si="11"/>
        <v>10</v>
      </c>
      <c r="M61" s="11">
        <f t="shared" si="12"/>
        <v>6.1274509803921568E-3</v>
      </c>
      <c r="N61" s="20">
        <f t="shared" si="13"/>
        <v>1628.5</v>
      </c>
      <c r="O61" s="21">
        <v>2</v>
      </c>
      <c r="P61" s="22" t="s">
        <v>1332</v>
      </c>
      <c r="Q61" s="23">
        <v>1</v>
      </c>
      <c r="R61" s="22" t="s">
        <v>1045</v>
      </c>
      <c r="S61" s="24">
        <v>2</v>
      </c>
      <c r="T61" s="22" t="s">
        <v>1332</v>
      </c>
      <c r="U61" s="26">
        <v>0</v>
      </c>
      <c r="V61" s="25"/>
      <c r="W61" s="27">
        <v>0</v>
      </c>
      <c r="X61" s="22" t="s">
        <v>1045</v>
      </c>
      <c r="Y61" s="28">
        <v>1</v>
      </c>
      <c r="Z61" s="22" t="s">
        <v>1332</v>
      </c>
      <c r="AA61" s="29">
        <v>0</v>
      </c>
      <c r="AB61" s="25"/>
      <c r="AC61" s="30">
        <f t="shared" si="8"/>
        <v>6</v>
      </c>
      <c r="AD61" s="7"/>
      <c r="AE61" s="7" t="str">
        <f t="shared" si="9"/>
        <v>🔺 Bullish</v>
      </c>
      <c r="AF61" s="7" t="str">
        <f t="shared" si="10"/>
        <v>STOCK IN NOW</v>
      </c>
      <c r="AG61" s="10"/>
    </row>
    <row r="62" spans="2:33" ht="20.100000000000001" customHeight="1" x14ac:dyDescent="0.25">
      <c r="B62" s="31">
        <v>3</v>
      </c>
      <c r="C62" s="32">
        <v>45311</v>
      </c>
      <c r="D62" s="19">
        <v>1648</v>
      </c>
      <c r="E62" s="8" t="s">
        <v>1050</v>
      </c>
      <c r="F62" s="20">
        <v>1661.76</v>
      </c>
      <c r="G62" s="20">
        <v>1714.29</v>
      </c>
      <c r="H62" s="20">
        <v>1622.23</v>
      </c>
      <c r="I62" s="20">
        <f t="shared" si="7"/>
        <v>92.059999999999945</v>
      </c>
      <c r="J62" s="20">
        <v>1704.53</v>
      </c>
      <c r="K62" s="20">
        <v>1632.75</v>
      </c>
      <c r="L62" s="9">
        <f t="shared" si="11"/>
        <v>6</v>
      </c>
      <c r="M62" s="11">
        <f t="shared" si="12"/>
        <v>3.6540803897685747E-3</v>
      </c>
      <c r="N62" s="20">
        <f t="shared" si="13"/>
        <v>1636</v>
      </c>
      <c r="O62" s="21">
        <v>2</v>
      </c>
      <c r="P62" s="22" t="s">
        <v>1333</v>
      </c>
      <c r="Q62" s="23">
        <v>1</v>
      </c>
      <c r="R62" s="22" t="s">
        <v>1050</v>
      </c>
      <c r="S62" s="24">
        <v>2</v>
      </c>
      <c r="T62" s="22" t="s">
        <v>1333</v>
      </c>
      <c r="U62" s="26">
        <v>0</v>
      </c>
      <c r="V62" s="25"/>
      <c r="W62" s="27">
        <v>0</v>
      </c>
      <c r="X62" s="22" t="s">
        <v>1050</v>
      </c>
      <c r="Y62" s="28">
        <v>1</v>
      </c>
      <c r="Z62" s="22" t="s">
        <v>1333</v>
      </c>
      <c r="AA62" s="29">
        <v>0</v>
      </c>
      <c r="AB62" s="25"/>
      <c r="AC62" s="30">
        <f t="shared" si="8"/>
        <v>6</v>
      </c>
      <c r="AD62" s="7"/>
      <c r="AE62" s="7" t="str">
        <f t="shared" si="9"/>
        <v>🔺 Bullish</v>
      </c>
      <c r="AF62" s="7" t="str">
        <f t="shared" si="10"/>
        <v>STOCK IN NOW</v>
      </c>
      <c r="AG62" s="10"/>
    </row>
    <row r="63" spans="2:33" ht="20.100000000000001" customHeight="1" x14ac:dyDescent="0.25">
      <c r="B63" s="17">
        <v>4</v>
      </c>
      <c r="C63" s="18">
        <v>45318</v>
      </c>
      <c r="D63" s="19">
        <v>1652</v>
      </c>
      <c r="E63" s="8" t="s">
        <v>1055</v>
      </c>
      <c r="F63" s="20">
        <v>1663.62</v>
      </c>
      <c r="G63" s="20">
        <v>1709.95</v>
      </c>
      <c r="H63" s="20">
        <v>1624.47</v>
      </c>
      <c r="I63" s="20">
        <f t="shared" si="7"/>
        <v>85.480000000000018</v>
      </c>
      <c r="J63" s="20">
        <v>1640.74</v>
      </c>
      <c r="K63" s="20">
        <v>1698.12</v>
      </c>
      <c r="L63" s="9">
        <f t="shared" si="11"/>
        <v>4</v>
      </c>
      <c r="M63" s="11">
        <f t="shared" si="12"/>
        <v>2.4271844660194173E-3</v>
      </c>
      <c r="N63" s="20">
        <f t="shared" si="13"/>
        <v>1643.5</v>
      </c>
      <c r="O63" s="21">
        <v>2</v>
      </c>
      <c r="P63" s="22" t="s">
        <v>1334</v>
      </c>
      <c r="Q63" s="23">
        <v>2</v>
      </c>
      <c r="R63" s="22" t="s">
        <v>1055</v>
      </c>
      <c r="S63" s="24">
        <v>2</v>
      </c>
      <c r="T63" s="22" t="s">
        <v>1334</v>
      </c>
      <c r="U63" s="26">
        <v>1</v>
      </c>
      <c r="V63" s="22" t="s">
        <v>1334</v>
      </c>
      <c r="W63" s="27">
        <v>0</v>
      </c>
      <c r="X63" s="22" t="s">
        <v>1055</v>
      </c>
      <c r="Y63" s="28">
        <v>1</v>
      </c>
      <c r="Z63" s="22" t="s">
        <v>1334</v>
      </c>
      <c r="AA63" s="29">
        <v>0</v>
      </c>
      <c r="AB63" s="25"/>
      <c r="AC63" s="30">
        <f t="shared" si="8"/>
        <v>8</v>
      </c>
      <c r="AD63" s="7"/>
      <c r="AE63" s="7" t="str">
        <f t="shared" si="9"/>
        <v>🔺 Bullish</v>
      </c>
      <c r="AF63" s="7" t="str">
        <f t="shared" si="10"/>
        <v>STOCK IN NOW</v>
      </c>
      <c r="AG63" s="10"/>
    </row>
    <row r="64" spans="2:33" ht="20.100000000000001" customHeight="1" x14ac:dyDescent="0.25">
      <c r="B64" s="31">
        <v>5</v>
      </c>
      <c r="C64" s="32">
        <v>45325</v>
      </c>
      <c r="D64" s="19">
        <v>1645</v>
      </c>
      <c r="E64" s="8" t="s">
        <v>1060</v>
      </c>
      <c r="F64" s="20">
        <v>1676.38</v>
      </c>
      <c r="G64" s="20">
        <v>1719.28</v>
      </c>
      <c r="H64" s="20">
        <v>1632.65</v>
      </c>
      <c r="I64" s="20">
        <f t="shared" si="7"/>
        <v>86.629999999999882</v>
      </c>
      <c r="J64" s="20">
        <v>1682.65</v>
      </c>
      <c r="K64" s="20">
        <v>1701.49</v>
      </c>
      <c r="L64" s="9">
        <f t="shared" si="11"/>
        <v>-7</v>
      </c>
      <c r="M64" s="11">
        <f t="shared" si="12"/>
        <v>-4.2372881355932203E-3</v>
      </c>
      <c r="N64" s="20">
        <f t="shared" si="13"/>
        <v>1646.75</v>
      </c>
      <c r="O64" s="21">
        <v>1</v>
      </c>
      <c r="P64" s="22" t="s">
        <v>1335</v>
      </c>
      <c r="Q64" s="23">
        <v>1</v>
      </c>
      <c r="R64" s="22" t="s">
        <v>1060</v>
      </c>
      <c r="S64" s="24">
        <v>1</v>
      </c>
      <c r="T64" s="22" t="s">
        <v>1335</v>
      </c>
      <c r="U64" s="26">
        <v>0</v>
      </c>
      <c r="V64" s="25"/>
      <c r="W64" s="27">
        <v>0</v>
      </c>
      <c r="X64" s="22" t="s">
        <v>1060</v>
      </c>
      <c r="Y64" s="28">
        <v>0</v>
      </c>
      <c r="Z64" s="25"/>
      <c r="AA64" s="29">
        <v>0</v>
      </c>
      <c r="AB64" s="25"/>
      <c r="AC64" s="30">
        <f t="shared" si="8"/>
        <v>3</v>
      </c>
      <c r="AD64" s="7"/>
      <c r="AE64" s="7" t="str">
        <f t="shared" si="9"/>
        <v>↑ Mildly Bullish</v>
      </c>
      <c r="AF64" s="7" t="str">
        <f t="shared" si="10"/>
        <v>Consider stock-in</v>
      </c>
      <c r="AG64" s="10"/>
    </row>
    <row r="65" spans="2:33" ht="20.100000000000001" customHeight="1" x14ac:dyDescent="0.25">
      <c r="B65" s="17">
        <v>6</v>
      </c>
      <c r="C65" s="18">
        <v>45332</v>
      </c>
      <c r="D65" s="19">
        <v>1640</v>
      </c>
      <c r="E65" s="8" t="s">
        <v>1065</v>
      </c>
      <c r="F65" s="20">
        <v>1649.62</v>
      </c>
      <c r="G65" s="20">
        <v>1702.54</v>
      </c>
      <c r="H65" s="20">
        <v>1602.64</v>
      </c>
      <c r="I65" s="20">
        <f t="shared" si="7"/>
        <v>99.899999999999864</v>
      </c>
      <c r="J65" s="20">
        <v>1625.16</v>
      </c>
      <c r="K65" s="20">
        <v>1683.71</v>
      </c>
      <c r="L65" s="9">
        <f t="shared" si="11"/>
        <v>-5</v>
      </c>
      <c r="M65" s="11">
        <f t="shared" si="12"/>
        <v>-3.0395136778115501E-3</v>
      </c>
      <c r="N65" s="20">
        <f t="shared" si="13"/>
        <v>1646.25</v>
      </c>
      <c r="O65" s="21">
        <v>1</v>
      </c>
      <c r="P65" s="22" t="s">
        <v>1336</v>
      </c>
      <c r="Q65" s="23">
        <v>0</v>
      </c>
      <c r="R65" s="22" t="s">
        <v>1065</v>
      </c>
      <c r="S65" s="24">
        <v>1</v>
      </c>
      <c r="T65" s="22" t="s">
        <v>1336</v>
      </c>
      <c r="U65" s="26">
        <v>0</v>
      </c>
      <c r="V65" s="25"/>
      <c r="W65" s="27">
        <v>0</v>
      </c>
      <c r="X65" s="22" t="s">
        <v>1065</v>
      </c>
      <c r="Y65" s="28">
        <v>0</v>
      </c>
      <c r="Z65" s="25"/>
      <c r="AA65" s="29">
        <v>0</v>
      </c>
      <c r="AB65" s="25"/>
      <c r="AC65" s="30">
        <f t="shared" si="8"/>
        <v>2</v>
      </c>
      <c r="AD65" s="7"/>
      <c r="AE65" s="7" t="str">
        <f t="shared" si="9"/>
        <v>↑ Mildly Bullish</v>
      </c>
      <c r="AF65" s="7" t="str">
        <f t="shared" si="10"/>
        <v>Consider stock-in</v>
      </c>
      <c r="AG65" s="10"/>
    </row>
    <row r="66" spans="2:33" ht="20.100000000000001" customHeight="1" x14ac:dyDescent="0.25">
      <c r="B66" s="31">
        <v>7</v>
      </c>
      <c r="C66" s="32">
        <v>45339</v>
      </c>
      <c r="D66" s="19">
        <v>1635</v>
      </c>
      <c r="E66" s="8" t="s">
        <v>1069</v>
      </c>
      <c r="F66" s="20">
        <v>1645.08</v>
      </c>
      <c r="G66" s="20">
        <v>1676.95</v>
      </c>
      <c r="H66" s="20">
        <v>1611.79</v>
      </c>
      <c r="I66" s="20">
        <f t="shared" si="7"/>
        <v>65.160000000000082</v>
      </c>
      <c r="J66" s="20">
        <v>1632.4</v>
      </c>
      <c r="K66" s="20">
        <v>1667.84</v>
      </c>
      <c r="L66" s="9">
        <f t="shared" si="11"/>
        <v>-5</v>
      </c>
      <c r="M66" s="11">
        <f t="shared" si="12"/>
        <v>-3.0487804878048782E-3</v>
      </c>
      <c r="N66" s="20">
        <f t="shared" si="13"/>
        <v>1643</v>
      </c>
      <c r="O66" s="21">
        <v>0</v>
      </c>
      <c r="P66" s="25"/>
      <c r="Q66" s="23">
        <v>1</v>
      </c>
      <c r="R66" s="22" t="s">
        <v>1069</v>
      </c>
      <c r="S66" s="24">
        <v>1</v>
      </c>
      <c r="T66" s="22" t="s">
        <v>1337</v>
      </c>
      <c r="U66" s="26">
        <v>0</v>
      </c>
      <c r="V66" s="25"/>
      <c r="W66" s="27">
        <v>0</v>
      </c>
      <c r="X66" s="22" t="s">
        <v>1069</v>
      </c>
      <c r="Y66" s="28">
        <v>0</v>
      </c>
      <c r="Z66" s="25"/>
      <c r="AA66" s="29">
        <v>0</v>
      </c>
      <c r="AB66" s="25"/>
      <c r="AC66" s="30">
        <f t="shared" si="8"/>
        <v>2</v>
      </c>
      <c r="AD66" s="7"/>
      <c r="AE66" s="7" t="str">
        <f t="shared" si="9"/>
        <v>↑ Mildly Bullish</v>
      </c>
      <c r="AF66" s="7" t="str">
        <f t="shared" si="10"/>
        <v>Consider stock-in</v>
      </c>
      <c r="AG66" s="10"/>
    </row>
    <row r="67" spans="2:33" ht="20.100000000000001" customHeight="1" x14ac:dyDescent="0.25">
      <c r="B67" s="17">
        <v>8</v>
      </c>
      <c r="C67" s="18">
        <v>45346</v>
      </c>
      <c r="D67" s="19">
        <v>1638</v>
      </c>
      <c r="E67" s="8" t="s">
        <v>1074</v>
      </c>
      <c r="F67" s="20">
        <v>1661.82</v>
      </c>
      <c r="G67" s="20">
        <v>1688.41</v>
      </c>
      <c r="H67" s="20">
        <v>1621.02</v>
      </c>
      <c r="I67" s="20">
        <f t="shared" si="7"/>
        <v>67.3900000000001</v>
      </c>
      <c r="J67" s="20">
        <v>1669.98</v>
      </c>
      <c r="K67" s="20">
        <v>1677.48</v>
      </c>
      <c r="L67" s="9">
        <f t="shared" si="11"/>
        <v>3</v>
      </c>
      <c r="M67" s="11">
        <f t="shared" si="12"/>
        <v>1.834862385321101E-3</v>
      </c>
      <c r="N67" s="20">
        <f t="shared" si="13"/>
        <v>1639.5</v>
      </c>
      <c r="O67" s="21">
        <v>0</v>
      </c>
      <c r="P67" s="25"/>
      <c r="Q67" s="23">
        <v>1</v>
      </c>
      <c r="R67" s="22" t="s">
        <v>1074</v>
      </c>
      <c r="S67" s="24">
        <v>1</v>
      </c>
      <c r="T67" s="22" t="s">
        <v>1338</v>
      </c>
      <c r="U67" s="26">
        <v>0</v>
      </c>
      <c r="V67" s="25"/>
      <c r="W67" s="27">
        <v>0</v>
      </c>
      <c r="X67" s="22" t="s">
        <v>1074</v>
      </c>
      <c r="Y67" s="28">
        <v>0</v>
      </c>
      <c r="Z67" s="25"/>
      <c r="AA67" s="29">
        <v>0</v>
      </c>
      <c r="AB67" s="25"/>
      <c r="AC67" s="30">
        <f t="shared" si="8"/>
        <v>2</v>
      </c>
      <c r="AD67" s="7"/>
      <c r="AE67" s="7" t="str">
        <f t="shared" si="9"/>
        <v>↑ Mildly Bullish</v>
      </c>
      <c r="AF67" s="7" t="str">
        <f t="shared" si="10"/>
        <v>Consider stock-in</v>
      </c>
      <c r="AG67" s="10"/>
    </row>
    <row r="68" spans="2:33" ht="20.100000000000001" customHeight="1" x14ac:dyDescent="0.25">
      <c r="B68" s="31">
        <v>9</v>
      </c>
      <c r="C68" s="32">
        <v>45353</v>
      </c>
      <c r="D68" s="19">
        <v>1642</v>
      </c>
      <c r="E68" s="8" t="s">
        <v>1079</v>
      </c>
      <c r="F68" s="20">
        <v>1632.91</v>
      </c>
      <c r="G68" s="20">
        <v>1651.48</v>
      </c>
      <c r="H68" s="20">
        <v>1607.26</v>
      </c>
      <c r="I68" s="20">
        <f t="shared" si="7"/>
        <v>44.220000000000027</v>
      </c>
      <c r="J68" s="20">
        <v>1627.08</v>
      </c>
      <c r="K68" s="20">
        <v>1629.64</v>
      </c>
      <c r="L68" s="9">
        <f t="shared" si="11"/>
        <v>4</v>
      </c>
      <c r="M68" s="11">
        <f t="shared" si="12"/>
        <v>2.442002442002442E-3</v>
      </c>
      <c r="N68" s="20">
        <f t="shared" si="13"/>
        <v>1638.75</v>
      </c>
      <c r="O68" s="21">
        <v>0</v>
      </c>
      <c r="P68" s="25"/>
      <c r="Q68" s="23">
        <v>1</v>
      </c>
      <c r="R68" s="22" t="s">
        <v>1079</v>
      </c>
      <c r="S68" s="24">
        <v>1</v>
      </c>
      <c r="T68" s="22" t="s">
        <v>1339</v>
      </c>
      <c r="U68" s="26">
        <v>0</v>
      </c>
      <c r="V68" s="25"/>
      <c r="W68" s="27">
        <v>0</v>
      </c>
      <c r="X68" s="22" t="s">
        <v>1079</v>
      </c>
      <c r="Y68" s="28">
        <v>0</v>
      </c>
      <c r="Z68" s="25"/>
      <c r="AA68" s="29">
        <v>0</v>
      </c>
      <c r="AB68" s="25"/>
      <c r="AC68" s="30">
        <f t="shared" si="8"/>
        <v>2</v>
      </c>
      <c r="AD68" s="7"/>
      <c r="AE68" s="7" t="str">
        <f t="shared" si="9"/>
        <v>↑ Mildly Bullish</v>
      </c>
      <c r="AF68" s="7" t="str">
        <f t="shared" si="10"/>
        <v>Consider stock-in</v>
      </c>
      <c r="AG68" s="10"/>
    </row>
    <row r="69" spans="2:33" ht="20.100000000000001" customHeight="1" x14ac:dyDescent="0.25">
      <c r="B69" s="17">
        <v>10</v>
      </c>
      <c r="C69" s="18">
        <v>45360</v>
      </c>
      <c r="D69" s="19">
        <v>1645</v>
      </c>
      <c r="E69" s="8" t="s">
        <v>1084</v>
      </c>
      <c r="F69" s="20">
        <v>1657.7</v>
      </c>
      <c r="G69" s="20">
        <v>1714.02</v>
      </c>
      <c r="H69" s="20">
        <v>1616.78</v>
      </c>
      <c r="I69" s="20">
        <f t="shared" si="7"/>
        <v>97.240000000000009</v>
      </c>
      <c r="J69" s="20">
        <v>1692.19</v>
      </c>
      <c r="K69" s="20">
        <v>1635.92</v>
      </c>
      <c r="L69" s="9">
        <f t="shared" si="11"/>
        <v>3</v>
      </c>
      <c r="M69" s="11">
        <f t="shared" si="12"/>
        <v>1.8270401948842874E-3</v>
      </c>
      <c r="N69" s="20">
        <f t="shared" si="13"/>
        <v>1640</v>
      </c>
      <c r="O69" s="21">
        <v>-1</v>
      </c>
      <c r="P69" s="22" t="s">
        <v>1340</v>
      </c>
      <c r="Q69" s="23">
        <v>1</v>
      </c>
      <c r="R69" s="22" t="s">
        <v>1084</v>
      </c>
      <c r="S69" s="24">
        <v>1</v>
      </c>
      <c r="T69" s="22" t="s">
        <v>1340</v>
      </c>
      <c r="U69" s="26">
        <v>0</v>
      </c>
      <c r="V69" s="25"/>
      <c r="W69" s="27">
        <v>0</v>
      </c>
      <c r="X69" s="22" t="s">
        <v>1084</v>
      </c>
      <c r="Y69" s="28">
        <v>0</v>
      </c>
      <c r="Z69" s="25"/>
      <c r="AA69" s="29">
        <v>0</v>
      </c>
      <c r="AB69" s="25"/>
      <c r="AC69" s="30">
        <f t="shared" si="8"/>
        <v>1</v>
      </c>
      <c r="AD69" s="7"/>
      <c r="AE69" s="7" t="str">
        <f t="shared" si="9"/>
        <v>→ Neutral</v>
      </c>
      <c r="AF69" s="7" t="str">
        <f t="shared" si="10"/>
        <v>Hold</v>
      </c>
      <c r="AG69" s="10"/>
    </row>
    <row r="70" spans="2:33" ht="20.100000000000001" customHeight="1" x14ac:dyDescent="0.25">
      <c r="B70" s="31">
        <v>11</v>
      </c>
      <c r="C70" s="32">
        <v>45367</v>
      </c>
      <c r="D70" s="19">
        <v>1648</v>
      </c>
      <c r="E70" s="8" t="s">
        <v>1089</v>
      </c>
      <c r="F70" s="20">
        <v>1672.5</v>
      </c>
      <c r="G70" s="20">
        <v>1725.35</v>
      </c>
      <c r="H70" s="20">
        <v>1623.66</v>
      </c>
      <c r="I70" s="20">
        <f t="shared" si="7"/>
        <v>101.68999999999983</v>
      </c>
      <c r="J70" s="20">
        <v>1702.79</v>
      </c>
      <c r="K70" s="20">
        <v>1666.7</v>
      </c>
      <c r="L70" s="9">
        <f t="shared" si="11"/>
        <v>3</v>
      </c>
      <c r="M70" s="11">
        <f t="shared" si="12"/>
        <v>1.82370820668693E-3</v>
      </c>
      <c r="N70" s="20">
        <f t="shared" si="13"/>
        <v>1643.25</v>
      </c>
      <c r="O70" s="21">
        <v>0</v>
      </c>
      <c r="P70" s="25"/>
      <c r="Q70" s="23">
        <v>2</v>
      </c>
      <c r="R70" s="22" t="s">
        <v>1089</v>
      </c>
      <c r="S70" s="24">
        <v>1</v>
      </c>
      <c r="T70" s="22" t="s">
        <v>1341</v>
      </c>
      <c r="U70" s="26">
        <v>1</v>
      </c>
      <c r="V70" s="22" t="s">
        <v>1341</v>
      </c>
      <c r="W70" s="27">
        <v>0</v>
      </c>
      <c r="X70" s="22" t="s">
        <v>1089</v>
      </c>
      <c r="Y70" s="28">
        <v>0</v>
      </c>
      <c r="Z70" s="25"/>
      <c r="AA70" s="29">
        <v>0</v>
      </c>
      <c r="AB70" s="25"/>
      <c r="AC70" s="30">
        <f t="shared" si="8"/>
        <v>4</v>
      </c>
      <c r="AD70" s="7"/>
      <c r="AE70" s="7" t="str">
        <f t="shared" si="9"/>
        <v>🔺 Bullish</v>
      </c>
      <c r="AF70" s="7" t="str">
        <f t="shared" si="10"/>
        <v>STOCK IN NOW</v>
      </c>
      <c r="AG70" s="10"/>
    </row>
    <row r="71" spans="2:33" ht="20.100000000000001" customHeight="1" x14ac:dyDescent="0.25">
      <c r="B71" s="17">
        <v>12</v>
      </c>
      <c r="C71" s="18">
        <v>45374</v>
      </c>
      <c r="D71" s="19">
        <v>1652</v>
      </c>
      <c r="E71" s="8" t="s">
        <v>1094</v>
      </c>
      <c r="F71" s="20">
        <v>1664.95</v>
      </c>
      <c r="G71" s="20">
        <v>1691.27</v>
      </c>
      <c r="H71" s="20">
        <v>1631.73</v>
      </c>
      <c r="I71" s="20">
        <f t="shared" ref="I71:I102" si="14">IFERROR(G71-H71,"")</f>
        <v>59.539999999999964</v>
      </c>
      <c r="J71" s="20">
        <v>1674.94</v>
      </c>
      <c r="K71" s="20">
        <v>1667.91</v>
      </c>
      <c r="L71" s="9">
        <f t="shared" si="11"/>
        <v>4</v>
      </c>
      <c r="M71" s="11">
        <f t="shared" si="12"/>
        <v>2.4271844660194173E-3</v>
      </c>
      <c r="N71" s="20">
        <f t="shared" si="13"/>
        <v>1646.75</v>
      </c>
      <c r="O71" s="21">
        <v>0</v>
      </c>
      <c r="P71" s="25"/>
      <c r="Q71" s="23">
        <v>2</v>
      </c>
      <c r="R71" s="22" t="s">
        <v>1094</v>
      </c>
      <c r="S71" s="24">
        <v>2</v>
      </c>
      <c r="T71" s="22" t="s">
        <v>1094</v>
      </c>
      <c r="U71" s="26">
        <v>1</v>
      </c>
      <c r="V71" s="22" t="s">
        <v>1094</v>
      </c>
      <c r="W71" s="27">
        <v>0</v>
      </c>
      <c r="X71" s="22" t="s">
        <v>1094</v>
      </c>
      <c r="Y71" s="28">
        <v>0</v>
      </c>
      <c r="Z71" s="25"/>
      <c r="AA71" s="29">
        <v>0</v>
      </c>
      <c r="AB71" s="25"/>
      <c r="AC71" s="30">
        <f t="shared" ref="AC71:AC102" si="15">SUM(O71,Q71,S71,U71,W71,Y71,AA71)</f>
        <v>5</v>
      </c>
      <c r="AD71" s="7"/>
      <c r="AE71" s="7" t="str">
        <f t="shared" ref="AE71:AE102" si="16">IFERROR(IF(AC71&gt;=4,"🔺 Bullish",IF(AC71&lt;=-4,"🔻 Bearish",IF(AC71&gt;=2,"↑ Mildly Bullish",IF(AC71&lt;=-2,"↓ Mildly Bearish","→ Neutral")))),"—")</f>
        <v>🔺 Bullish</v>
      </c>
      <c r="AF71" s="7" t="str">
        <f t="shared" ref="AF71:AF102" si="17">IFERROR(IF(AC71&gt;=4,"STOCK IN NOW",IF(AC71&lt;=-4,"REDUCE EXPOSURE",IF(AC71&gt;=2,"Consider stock-in",IF(AC71&lt;=-2,"Review sell price","Hold")))),"—")</f>
        <v>STOCK IN NOW</v>
      </c>
      <c r="AG71" s="10"/>
    </row>
    <row r="72" spans="2:33" ht="20.100000000000001" customHeight="1" x14ac:dyDescent="0.25">
      <c r="B72" s="31">
        <v>13</v>
      </c>
      <c r="C72" s="32">
        <v>45381</v>
      </c>
      <c r="D72" s="19">
        <v>1658</v>
      </c>
      <c r="E72" s="8" t="s">
        <v>1099</v>
      </c>
      <c r="F72" s="20">
        <v>1656.18</v>
      </c>
      <c r="G72" s="20">
        <v>1677.47</v>
      </c>
      <c r="H72" s="20">
        <v>1638.13</v>
      </c>
      <c r="I72" s="20">
        <f t="shared" si="14"/>
        <v>39.339999999999918</v>
      </c>
      <c r="J72" s="20">
        <v>1648.84</v>
      </c>
      <c r="K72" s="20">
        <v>1661.71</v>
      </c>
      <c r="L72" s="9">
        <f t="shared" si="11"/>
        <v>6</v>
      </c>
      <c r="M72" s="11">
        <f t="shared" si="12"/>
        <v>3.6319612590799033E-3</v>
      </c>
      <c r="N72" s="20">
        <f t="shared" si="13"/>
        <v>1650.75</v>
      </c>
      <c r="O72" s="21">
        <v>0</v>
      </c>
      <c r="P72" s="25"/>
      <c r="Q72" s="23">
        <v>2</v>
      </c>
      <c r="R72" s="22" t="s">
        <v>1099</v>
      </c>
      <c r="S72" s="24">
        <v>2</v>
      </c>
      <c r="T72" s="22" t="s">
        <v>1342</v>
      </c>
      <c r="U72" s="26">
        <v>1</v>
      </c>
      <c r="V72" s="22" t="s">
        <v>1342</v>
      </c>
      <c r="W72" s="27">
        <v>0</v>
      </c>
      <c r="X72" s="22" t="s">
        <v>1099</v>
      </c>
      <c r="Y72" s="28">
        <v>0</v>
      </c>
      <c r="Z72" s="25"/>
      <c r="AA72" s="29">
        <v>0</v>
      </c>
      <c r="AB72" s="25"/>
      <c r="AC72" s="30">
        <f t="shared" si="15"/>
        <v>5</v>
      </c>
      <c r="AD72" s="7"/>
      <c r="AE72" s="7" t="str">
        <f t="shared" si="16"/>
        <v>🔺 Bullish</v>
      </c>
      <c r="AF72" s="7" t="str">
        <f t="shared" si="17"/>
        <v>STOCK IN NOW</v>
      </c>
      <c r="AG72" s="10"/>
    </row>
    <row r="73" spans="2:33" ht="20.100000000000001" customHeight="1" x14ac:dyDescent="0.25">
      <c r="B73" s="17">
        <v>14</v>
      </c>
      <c r="C73" s="18">
        <v>45388</v>
      </c>
      <c r="D73" s="19">
        <v>1662</v>
      </c>
      <c r="E73" s="8" t="s">
        <v>1104</v>
      </c>
      <c r="F73" s="20">
        <v>1655.03</v>
      </c>
      <c r="G73" s="20">
        <v>1670.98</v>
      </c>
      <c r="H73" s="20">
        <v>1617.62</v>
      </c>
      <c r="I73" s="20">
        <f t="shared" si="14"/>
        <v>53.360000000000127</v>
      </c>
      <c r="J73" s="20">
        <v>1662.49</v>
      </c>
      <c r="K73" s="20">
        <v>1640.59</v>
      </c>
      <c r="L73" s="9">
        <f t="shared" ref="L73:L104" si="18">IFERROR(D73-D72,"")</f>
        <v>4</v>
      </c>
      <c r="M73" s="11">
        <f t="shared" ref="M73:M104" si="19">IFERROR(L73/D72,"")</f>
        <v>2.4125452352231603E-3</v>
      </c>
      <c r="N73" s="20">
        <f t="shared" si="13"/>
        <v>1655</v>
      </c>
      <c r="O73" s="21">
        <v>0</v>
      </c>
      <c r="P73" s="25"/>
      <c r="Q73" s="23">
        <v>2</v>
      </c>
      <c r="R73" s="22" t="s">
        <v>1104</v>
      </c>
      <c r="S73" s="24">
        <v>2</v>
      </c>
      <c r="T73" s="22" t="s">
        <v>1104</v>
      </c>
      <c r="U73" s="26">
        <v>1</v>
      </c>
      <c r="V73" s="22" t="s">
        <v>1104</v>
      </c>
      <c r="W73" s="27">
        <v>0</v>
      </c>
      <c r="X73" s="22" t="s">
        <v>1104</v>
      </c>
      <c r="Y73" s="28">
        <v>0</v>
      </c>
      <c r="Z73" s="25"/>
      <c r="AA73" s="29">
        <v>0</v>
      </c>
      <c r="AB73" s="25"/>
      <c r="AC73" s="30">
        <f t="shared" si="15"/>
        <v>5</v>
      </c>
      <c r="AD73" s="7"/>
      <c r="AE73" s="7" t="str">
        <f t="shared" si="16"/>
        <v>🔺 Bullish</v>
      </c>
      <c r="AF73" s="7" t="str">
        <f t="shared" si="17"/>
        <v>STOCK IN NOW</v>
      </c>
      <c r="AG73" s="10"/>
    </row>
    <row r="74" spans="2:33" ht="20.100000000000001" customHeight="1" x14ac:dyDescent="0.25">
      <c r="B74" s="31">
        <v>15</v>
      </c>
      <c r="C74" s="32">
        <v>45395</v>
      </c>
      <c r="D74" s="19">
        <v>1668</v>
      </c>
      <c r="E74" s="8" t="s">
        <v>1109</v>
      </c>
      <c r="F74" s="20">
        <v>1690.98</v>
      </c>
      <c r="G74" s="20">
        <v>1721.68</v>
      </c>
      <c r="H74" s="20">
        <v>1647.09</v>
      </c>
      <c r="I74" s="20">
        <f t="shared" si="14"/>
        <v>74.590000000000146</v>
      </c>
      <c r="J74" s="20">
        <v>1701.41</v>
      </c>
      <c r="K74" s="20">
        <v>1703.54</v>
      </c>
      <c r="L74" s="9">
        <f t="shared" si="18"/>
        <v>6</v>
      </c>
      <c r="M74" s="11">
        <f t="shared" si="19"/>
        <v>3.6101083032490976E-3</v>
      </c>
      <c r="N74" s="20">
        <f t="shared" si="13"/>
        <v>1660</v>
      </c>
      <c r="O74" s="21">
        <v>0</v>
      </c>
      <c r="P74" s="25"/>
      <c r="Q74" s="23">
        <v>2</v>
      </c>
      <c r="R74" s="22" t="s">
        <v>1109</v>
      </c>
      <c r="S74" s="24">
        <v>2</v>
      </c>
      <c r="T74" s="22" t="s">
        <v>1343</v>
      </c>
      <c r="U74" s="26">
        <v>1</v>
      </c>
      <c r="V74" s="22" t="s">
        <v>1343</v>
      </c>
      <c r="W74" s="27">
        <v>0</v>
      </c>
      <c r="X74" s="22" t="s">
        <v>1109</v>
      </c>
      <c r="Y74" s="28">
        <v>0</v>
      </c>
      <c r="Z74" s="25"/>
      <c r="AA74" s="29">
        <v>0</v>
      </c>
      <c r="AB74" s="25"/>
      <c r="AC74" s="30">
        <f t="shared" si="15"/>
        <v>5</v>
      </c>
      <c r="AD74" s="7"/>
      <c r="AE74" s="7" t="str">
        <f t="shared" si="16"/>
        <v>🔺 Bullish</v>
      </c>
      <c r="AF74" s="7" t="str">
        <f t="shared" si="17"/>
        <v>STOCK IN NOW</v>
      </c>
      <c r="AG74" s="10"/>
    </row>
    <row r="75" spans="2:33" ht="20.100000000000001" customHeight="1" x14ac:dyDescent="0.25">
      <c r="B75" s="17">
        <v>16</v>
      </c>
      <c r="C75" s="18">
        <v>45402</v>
      </c>
      <c r="D75" s="19">
        <v>1672</v>
      </c>
      <c r="E75" s="8" t="s">
        <v>1114</v>
      </c>
      <c r="F75" s="20">
        <v>1673.05</v>
      </c>
      <c r="G75" s="20">
        <v>1712.97</v>
      </c>
      <c r="H75" s="20">
        <v>1642.06</v>
      </c>
      <c r="I75" s="20">
        <f t="shared" si="14"/>
        <v>70.910000000000082</v>
      </c>
      <c r="J75" s="20">
        <v>1658.42</v>
      </c>
      <c r="K75" s="20">
        <v>1688.74</v>
      </c>
      <c r="L75" s="9">
        <f t="shared" si="18"/>
        <v>4</v>
      </c>
      <c r="M75" s="11">
        <f t="shared" si="19"/>
        <v>2.3980815347721821E-3</v>
      </c>
      <c r="N75" s="20">
        <f t="shared" ref="N75:N106" si="20">IFERROR(AVERAGE(D72:D75),"")</f>
        <v>1665</v>
      </c>
      <c r="O75" s="21">
        <v>0</v>
      </c>
      <c r="P75" s="25"/>
      <c r="Q75" s="23">
        <v>2</v>
      </c>
      <c r="R75" s="22" t="s">
        <v>1114</v>
      </c>
      <c r="S75" s="24">
        <v>2</v>
      </c>
      <c r="T75" s="22" t="s">
        <v>1344</v>
      </c>
      <c r="U75" s="26">
        <v>1</v>
      </c>
      <c r="V75" s="22" t="s">
        <v>1344</v>
      </c>
      <c r="W75" s="27">
        <v>0</v>
      </c>
      <c r="X75" s="22" t="s">
        <v>1114</v>
      </c>
      <c r="Y75" s="28">
        <v>1</v>
      </c>
      <c r="Z75" s="22" t="s">
        <v>1344</v>
      </c>
      <c r="AA75" s="29">
        <v>0</v>
      </c>
      <c r="AB75" s="25"/>
      <c r="AC75" s="30">
        <f t="shared" si="15"/>
        <v>6</v>
      </c>
      <c r="AD75" s="7"/>
      <c r="AE75" s="7" t="str">
        <f t="shared" si="16"/>
        <v>🔺 Bullish</v>
      </c>
      <c r="AF75" s="7" t="str">
        <f t="shared" si="17"/>
        <v>STOCK IN NOW</v>
      </c>
      <c r="AG75" s="10"/>
    </row>
    <row r="76" spans="2:33" ht="20.100000000000001" customHeight="1" x14ac:dyDescent="0.25">
      <c r="B76" s="31">
        <v>17</v>
      </c>
      <c r="C76" s="32">
        <v>45409</v>
      </c>
      <c r="D76" s="19">
        <v>1678</v>
      </c>
      <c r="E76" s="8" t="s">
        <v>1119</v>
      </c>
      <c r="F76" s="20">
        <v>1687.07</v>
      </c>
      <c r="G76" s="20">
        <v>1739.36</v>
      </c>
      <c r="H76" s="20">
        <v>1646.35</v>
      </c>
      <c r="I76" s="20">
        <f t="shared" si="14"/>
        <v>93.009999999999991</v>
      </c>
      <c r="J76" s="20">
        <v>1717.1</v>
      </c>
      <c r="K76" s="20">
        <v>1666.1</v>
      </c>
      <c r="L76" s="9">
        <f t="shared" si="18"/>
        <v>6</v>
      </c>
      <c r="M76" s="11">
        <f t="shared" si="19"/>
        <v>3.5885167464114833E-3</v>
      </c>
      <c r="N76" s="20">
        <f t="shared" si="20"/>
        <v>1670</v>
      </c>
      <c r="O76" s="21">
        <v>1</v>
      </c>
      <c r="P76" s="22" t="s">
        <v>1345</v>
      </c>
      <c r="Q76" s="23">
        <v>2</v>
      </c>
      <c r="R76" s="22" t="s">
        <v>1119</v>
      </c>
      <c r="S76" s="24">
        <v>2</v>
      </c>
      <c r="T76" s="22" t="s">
        <v>1345</v>
      </c>
      <c r="U76" s="26">
        <v>1</v>
      </c>
      <c r="V76" s="22" t="s">
        <v>1345</v>
      </c>
      <c r="W76" s="27">
        <v>0</v>
      </c>
      <c r="X76" s="22" t="s">
        <v>1119</v>
      </c>
      <c r="Y76" s="28">
        <v>1</v>
      </c>
      <c r="Z76" s="22" t="s">
        <v>1345</v>
      </c>
      <c r="AA76" s="29">
        <v>0</v>
      </c>
      <c r="AB76" s="25"/>
      <c r="AC76" s="30">
        <f t="shared" si="15"/>
        <v>7</v>
      </c>
      <c r="AD76" s="7"/>
      <c r="AE76" s="7" t="str">
        <f t="shared" si="16"/>
        <v>🔺 Bullish</v>
      </c>
      <c r="AF76" s="7" t="str">
        <f t="shared" si="17"/>
        <v>STOCK IN NOW</v>
      </c>
      <c r="AG76" s="10"/>
    </row>
    <row r="77" spans="2:33" ht="20.100000000000001" customHeight="1" x14ac:dyDescent="0.25">
      <c r="B77" s="17">
        <v>18</v>
      </c>
      <c r="C77" s="18">
        <v>45416</v>
      </c>
      <c r="D77" s="19">
        <v>1682</v>
      </c>
      <c r="E77" s="8" t="s">
        <v>1124</v>
      </c>
      <c r="F77" s="20">
        <v>1714.67</v>
      </c>
      <c r="G77" s="20">
        <v>1761.77</v>
      </c>
      <c r="H77" s="20">
        <v>1666.04</v>
      </c>
      <c r="I77" s="20">
        <f t="shared" si="14"/>
        <v>95.730000000000018</v>
      </c>
      <c r="J77" s="20">
        <v>1745.52</v>
      </c>
      <c r="K77" s="20">
        <v>1716.48</v>
      </c>
      <c r="L77" s="9">
        <f t="shared" si="18"/>
        <v>4</v>
      </c>
      <c r="M77" s="11">
        <f t="shared" si="19"/>
        <v>2.3837902264600714E-3</v>
      </c>
      <c r="N77" s="20">
        <f t="shared" si="20"/>
        <v>1675</v>
      </c>
      <c r="O77" s="21">
        <v>1</v>
      </c>
      <c r="P77" s="22" t="s">
        <v>1124</v>
      </c>
      <c r="Q77" s="23">
        <v>2</v>
      </c>
      <c r="R77" s="22" t="s">
        <v>1124</v>
      </c>
      <c r="S77" s="24">
        <v>2</v>
      </c>
      <c r="T77" s="22" t="s">
        <v>1124</v>
      </c>
      <c r="U77" s="26">
        <v>1</v>
      </c>
      <c r="V77" s="22" t="s">
        <v>1124</v>
      </c>
      <c r="W77" s="27">
        <v>0</v>
      </c>
      <c r="X77" s="22" t="s">
        <v>1124</v>
      </c>
      <c r="Y77" s="28">
        <v>0</v>
      </c>
      <c r="Z77" s="25"/>
      <c r="AA77" s="29">
        <v>0</v>
      </c>
      <c r="AB77" s="25"/>
      <c r="AC77" s="30">
        <f t="shared" si="15"/>
        <v>6</v>
      </c>
      <c r="AD77" s="7"/>
      <c r="AE77" s="7" t="str">
        <f t="shared" si="16"/>
        <v>🔺 Bullish</v>
      </c>
      <c r="AF77" s="7" t="str">
        <f t="shared" si="17"/>
        <v>STOCK IN NOW</v>
      </c>
      <c r="AG77" s="10"/>
    </row>
    <row r="78" spans="2:33" ht="20.100000000000001" customHeight="1" x14ac:dyDescent="0.25">
      <c r="B78" s="31">
        <v>19</v>
      </c>
      <c r="C78" s="32">
        <v>45423</v>
      </c>
      <c r="D78" s="19">
        <v>1688</v>
      </c>
      <c r="E78" s="8" t="s">
        <v>1129</v>
      </c>
      <c r="F78" s="20">
        <v>1703.02</v>
      </c>
      <c r="G78" s="20">
        <v>1742.78</v>
      </c>
      <c r="H78" s="20">
        <v>1666.53</v>
      </c>
      <c r="I78" s="20">
        <f t="shared" si="14"/>
        <v>76.25</v>
      </c>
      <c r="J78" s="20">
        <v>1732.34</v>
      </c>
      <c r="K78" s="20">
        <v>1688.71</v>
      </c>
      <c r="L78" s="9">
        <f t="shared" si="18"/>
        <v>6</v>
      </c>
      <c r="M78" s="11">
        <f t="shared" si="19"/>
        <v>3.5671819262782403E-3</v>
      </c>
      <c r="N78" s="20">
        <f t="shared" si="20"/>
        <v>1680</v>
      </c>
      <c r="O78" s="21">
        <v>1</v>
      </c>
      <c r="P78" s="22" t="s">
        <v>1346</v>
      </c>
      <c r="Q78" s="23">
        <v>2</v>
      </c>
      <c r="R78" s="22" t="s">
        <v>1129</v>
      </c>
      <c r="S78" s="24">
        <v>2</v>
      </c>
      <c r="T78" s="22" t="s">
        <v>1346</v>
      </c>
      <c r="U78" s="26">
        <v>1</v>
      </c>
      <c r="V78" s="22" t="s">
        <v>1346</v>
      </c>
      <c r="W78" s="27">
        <v>0</v>
      </c>
      <c r="X78" s="22" t="s">
        <v>1129</v>
      </c>
      <c r="Y78" s="28">
        <v>0</v>
      </c>
      <c r="Z78" s="25"/>
      <c r="AA78" s="29">
        <v>0</v>
      </c>
      <c r="AB78" s="25"/>
      <c r="AC78" s="30">
        <f t="shared" si="15"/>
        <v>6</v>
      </c>
      <c r="AD78" s="7"/>
      <c r="AE78" s="7" t="str">
        <f t="shared" si="16"/>
        <v>🔺 Bullish</v>
      </c>
      <c r="AF78" s="7" t="str">
        <f t="shared" si="17"/>
        <v>STOCK IN NOW</v>
      </c>
      <c r="AG78" s="10"/>
    </row>
    <row r="79" spans="2:33" ht="20.100000000000001" customHeight="1" x14ac:dyDescent="0.25">
      <c r="B79" s="17">
        <v>20</v>
      </c>
      <c r="C79" s="18">
        <v>45430</v>
      </c>
      <c r="D79" s="19">
        <v>1692</v>
      </c>
      <c r="E79" s="8" t="s">
        <v>1134</v>
      </c>
      <c r="F79" s="20">
        <v>1710.13</v>
      </c>
      <c r="G79" s="20">
        <v>1753.25</v>
      </c>
      <c r="H79" s="20">
        <v>1669.73</v>
      </c>
      <c r="I79" s="20">
        <f t="shared" si="14"/>
        <v>83.519999999999982</v>
      </c>
      <c r="J79" s="20">
        <v>1727.34</v>
      </c>
      <c r="K79" s="20">
        <v>1711.04</v>
      </c>
      <c r="L79" s="9">
        <f t="shared" si="18"/>
        <v>4</v>
      </c>
      <c r="M79" s="11">
        <f t="shared" si="19"/>
        <v>2.3696682464454978E-3</v>
      </c>
      <c r="N79" s="20">
        <f t="shared" si="20"/>
        <v>1685</v>
      </c>
      <c r="O79" s="21">
        <v>1</v>
      </c>
      <c r="P79" s="22" t="s">
        <v>1347</v>
      </c>
      <c r="Q79" s="23">
        <v>2</v>
      </c>
      <c r="R79" s="22" t="s">
        <v>1134</v>
      </c>
      <c r="S79" s="24">
        <v>2</v>
      </c>
      <c r="T79" s="22" t="s">
        <v>1347</v>
      </c>
      <c r="U79" s="26">
        <v>1</v>
      </c>
      <c r="V79" s="22" t="s">
        <v>1347</v>
      </c>
      <c r="W79" s="27">
        <v>0</v>
      </c>
      <c r="X79" s="22" t="s">
        <v>1134</v>
      </c>
      <c r="Y79" s="28">
        <v>0</v>
      </c>
      <c r="Z79" s="25"/>
      <c r="AA79" s="29">
        <v>0</v>
      </c>
      <c r="AB79" s="25"/>
      <c r="AC79" s="30">
        <f t="shared" si="15"/>
        <v>6</v>
      </c>
      <c r="AD79" s="7"/>
      <c r="AE79" s="7" t="str">
        <f t="shared" si="16"/>
        <v>🔺 Bullish</v>
      </c>
      <c r="AF79" s="7" t="str">
        <f t="shared" si="17"/>
        <v>STOCK IN NOW</v>
      </c>
      <c r="AG79" s="10"/>
    </row>
    <row r="80" spans="2:33" ht="20.100000000000001" customHeight="1" x14ac:dyDescent="0.25">
      <c r="B80" s="31">
        <v>21</v>
      </c>
      <c r="C80" s="32">
        <v>45437</v>
      </c>
      <c r="D80" s="19">
        <v>1695</v>
      </c>
      <c r="E80" s="8" t="s">
        <v>1139</v>
      </c>
      <c r="F80" s="20">
        <v>1715.75</v>
      </c>
      <c r="G80" s="20">
        <v>1765.49</v>
      </c>
      <c r="H80" s="20">
        <v>1682.98</v>
      </c>
      <c r="I80" s="20">
        <f t="shared" si="14"/>
        <v>82.509999999999991</v>
      </c>
      <c r="J80" s="20">
        <v>1749.35</v>
      </c>
      <c r="K80" s="20">
        <v>1702.9</v>
      </c>
      <c r="L80" s="9">
        <f t="shared" si="18"/>
        <v>3</v>
      </c>
      <c r="M80" s="11">
        <f t="shared" si="19"/>
        <v>1.7730496453900709E-3</v>
      </c>
      <c r="N80" s="20">
        <f t="shared" si="20"/>
        <v>1689.25</v>
      </c>
      <c r="O80" s="21">
        <v>1</v>
      </c>
      <c r="P80" s="22" t="s">
        <v>1139</v>
      </c>
      <c r="Q80" s="23">
        <v>2</v>
      </c>
      <c r="R80" s="22" t="s">
        <v>1139</v>
      </c>
      <c r="S80" s="24">
        <v>2</v>
      </c>
      <c r="T80" s="22" t="s">
        <v>1139</v>
      </c>
      <c r="U80" s="26">
        <v>1</v>
      </c>
      <c r="V80" s="22" t="s">
        <v>1139</v>
      </c>
      <c r="W80" s="27">
        <v>0</v>
      </c>
      <c r="X80" s="22" t="s">
        <v>1139</v>
      </c>
      <c r="Y80" s="28">
        <v>0</v>
      </c>
      <c r="Z80" s="25"/>
      <c r="AA80" s="29">
        <v>0</v>
      </c>
      <c r="AB80" s="25"/>
      <c r="AC80" s="30">
        <f t="shared" si="15"/>
        <v>6</v>
      </c>
      <c r="AD80" s="7"/>
      <c r="AE80" s="7" t="str">
        <f t="shared" si="16"/>
        <v>🔺 Bullish</v>
      </c>
      <c r="AF80" s="7" t="str">
        <f t="shared" si="17"/>
        <v>STOCK IN NOW</v>
      </c>
      <c r="AG80" s="10"/>
    </row>
    <row r="81" spans="2:33" ht="20.100000000000001" customHeight="1" x14ac:dyDescent="0.25">
      <c r="B81" s="17">
        <v>22</v>
      </c>
      <c r="C81" s="18">
        <v>45444</v>
      </c>
      <c r="D81" s="19">
        <v>1692</v>
      </c>
      <c r="E81" s="8" t="s">
        <v>1143</v>
      </c>
      <c r="F81" s="20">
        <v>1703.04</v>
      </c>
      <c r="G81" s="20">
        <v>1733.22</v>
      </c>
      <c r="H81" s="20">
        <v>1677.49</v>
      </c>
      <c r="I81" s="20">
        <f t="shared" si="14"/>
        <v>55.730000000000018</v>
      </c>
      <c r="J81" s="20">
        <v>1695.82</v>
      </c>
      <c r="K81" s="20">
        <v>1721.3</v>
      </c>
      <c r="L81" s="9">
        <f t="shared" si="18"/>
        <v>-3</v>
      </c>
      <c r="M81" s="11">
        <f t="shared" si="19"/>
        <v>-1.7699115044247787E-3</v>
      </c>
      <c r="N81" s="20">
        <f t="shared" si="20"/>
        <v>1691.75</v>
      </c>
      <c r="O81" s="21">
        <v>0</v>
      </c>
      <c r="P81" s="25"/>
      <c r="Q81" s="23">
        <v>1</v>
      </c>
      <c r="R81" s="22" t="s">
        <v>1143</v>
      </c>
      <c r="S81" s="24">
        <v>1</v>
      </c>
      <c r="T81" s="22" t="s">
        <v>1348</v>
      </c>
      <c r="U81" s="26">
        <v>0</v>
      </c>
      <c r="V81" s="25"/>
      <c r="W81" s="27">
        <v>0</v>
      </c>
      <c r="X81" s="22" t="s">
        <v>1143</v>
      </c>
      <c r="Y81" s="28">
        <v>0</v>
      </c>
      <c r="Z81" s="25"/>
      <c r="AA81" s="29">
        <v>0</v>
      </c>
      <c r="AB81" s="25"/>
      <c r="AC81" s="30">
        <f t="shared" si="15"/>
        <v>2</v>
      </c>
      <c r="AD81" s="7"/>
      <c r="AE81" s="7" t="str">
        <f t="shared" si="16"/>
        <v>↑ Mildly Bullish</v>
      </c>
      <c r="AF81" s="7" t="str">
        <f t="shared" si="17"/>
        <v>Consider stock-in</v>
      </c>
      <c r="AG81" s="10"/>
    </row>
    <row r="82" spans="2:33" ht="20.100000000000001" customHeight="1" x14ac:dyDescent="0.25">
      <c r="B82" s="31">
        <v>23</v>
      </c>
      <c r="C82" s="32">
        <v>45451</v>
      </c>
      <c r="D82" s="19">
        <v>1688</v>
      </c>
      <c r="E82" s="8" t="s">
        <v>1148</v>
      </c>
      <c r="F82" s="20">
        <v>1697.39</v>
      </c>
      <c r="G82" s="20">
        <v>1751.89</v>
      </c>
      <c r="H82" s="20">
        <v>1658.43</v>
      </c>
      <c r="I82" s="20">
        <f t="shared" si="14"/>
        <v>93.460000000000036</v>
      </c>
      <c r="J82" s="20">
        <v>1736.62</v>
      </c>
      <c r="K82" s="20">
        <v>1667.55</v>
      </c>
      <c r="L82" s="9">
        <f t="shared" si="18"/>
        <v>-4</v>
      </c>
      <c r="M82" s="11">
        <f t="shared" si="19"/>
        <v>-2.3640661938534278E-3</v>
      </c>
      <c r="N82" s="20">
        <f t="shared" si="20"/>
        <v>1691.75</v>
      </c>
      <c r="O82" s="21">
        <v>0</v>
      </c>
      <c r="P82" s="25"/>
      <c r="Q82" s="23">
        <v>1</v>
      </c>
      <c r="R82" s="22" t="s">
        <v>1148</v>
      </c>
      <c r="S82" s="24">
        <v>1</v>
      </c>
      <c r="T82" s="22" t="s">
        <v>1148</v>
      </c>
      <c r="U82" s="26">
        <v>0</v>
      </c>
      <c r="V82" s="25"/>
      <c r="W82" s="27">
        <v>0</v>
      </c>
      <c r="X82" s="22" t="s">
        <v>1148</v>
      </c>
      <c r="Y82" s="28">
        <v>0</v>
      </c>
      <c r="Z82" s="25"/>
      <c r="AA82" s="29">
        <v>0</v>
      </c>
      <c r="AB82" s="25"/>
      <c r="AC82" s="30">
        <f t="shared" si="15"/>
        <v>2</v>
      </c>
      <c r="AD82" s="7"/>
      <c r="AE82" s="7" t="str">
        <f t="shared" si="16"/>
        <v>↑ Mildly Bullish</v>
      </c>
      <c r="AF82" s="7" t="str">
        <f t="shared" si="17"/>
        <v>Consider stock-in</v>
      </c>
      <c r="AG82" s="10"/>
    </row>
    <row r="83" spans="2:33" ht="20.100000000000001" customHeight="1" x14ac:dyDescent="0.25">
      <c r="B83" s="17">
        <v>24</v>
      </c>
      <c r="C83" s="18">
        <v>45458</v>
      </c>
      <c r="D83" s="19">
        <v>1685</v>
      </c>
      <c r="E83" s="8" t="s">
        <v>1153</v>
      </c>
      <c r="F83" s="20">
        <v>1689.95</v>
      </c>
      <c r="G83" s="20">
        <v>1734.47</v>
      </c>
      <c r="H83" s="20">
        <v>1650.52</v>
      </c>
      <c r="I83" s="20">
        <f t="shared" si="14"/>
        <v>83.950000000000045</v>
      </c>
      <c r="J83" s="20">
        <v>1672.17</v>
      </c>
      <c r="K83" s="20">
        <v>1712.68</v>
      </c>
      <c r="L83" s="9">
        <f t="shared" si="18"/>
        <v>-3</v>
      </c>
      <c r="M83" s="11">
        <f t="shared" si="19"/>
        <v>-1.7772511848341231E-3</v>
      </c>
      <c r="N83" s="20">
        <f t="shared" si="20"/>
        <v>1690</v>
      </c>
      <c r="O83" s="21">
        <v>0</v>
      </c>
      <c r="P83" s="25"/>
      <c r="Q83" s="23">
        <v>1</v>
      </c>
      <c r="R83" s="22" t="s">
        <v>1153</v>
      </c>
      <c r="S83" s="24">
        <v>1</v>
      </c>
      <c r="T83" s="22" t="s">
        <v>1349</v>
      </c>
      <c r="U83" s="26">
        <v>0</v>
      </c>
      <c r="V83" s="25"/>
      <c r="W83" s="27">
        <v>0</v>
      </c>
      <c r="X83" s="22" t="s">
        <v>1153</v>
      </c>
      <c r="Y83" s="28">
        <v>0</v>
      </c>
      <c r="Z83" s="25"/>
      <c r="AA83" s="29">
        <v>0</v>
      </c>
      <c r="AB83" s="25"/>
      <c r="AC83" s="30">
        <f t="shared" si="15"/>
        <v>2</v>
      </c>
      <c r="AD83" s="7"/>
      <c r="AE83" s="7" t="str">
        <f t="shared" si="16"/>
        <v>↑ Mildly Bullish</v>
      </c>
      <c r="AF83" s="7" t="str">
        <f t="shared" si="17"/>
        <v>Consider stock-in</v>
      </c>
      <c r="AG83" s="10"/>
    </row>
    <row r="84" spans="2:33" ht="20.100000000000001" customHeight="1" x14ac:dyDescent="0.25">
      <c r="B84" s="31">
        <v>25</v>
      </c>
      <c r="C84" s="32">
        <v>45465</v>
      </c>
      <c r="D84" s="19">
        <v>1688</v>
      </c>
      <c r="E84" s="8" t="s">
        <v>1158</v>
      </c>
      <c r="F84" s="20">
        <v>1699.78</v>
      </c>
      <c r="G84" s="20">
        <v>1720.46</v>
      </c>
      <c r="H84" s="20">
        <v>1668.26</v>
      </c>
      <c r="I84" s="20">
        <f t="shared" si="14"/>
        <v>52.200000000000045</v>
      </c>
      <c r="J84" s="20">
        <v>1702.99</v>
      </c>
      <c r="K84" s="20">
        <v>1708.35</v>
      </c>
      <c r="L84" s="9">
        <f t="shared" si="18"/>
        <v>3</v>
      </c>
      <c r="M84" s="11">
        <f t="shared" si="19"/>
        <v>1.7804154302670622E-3</v>
      </c>
      <c r="N84" s="20">
        <f t="shared" si="20"/>
        <v>1688.25</v>
      </c>
      <c r="O84" s="21">
        <v>0</v>
      </c>
      <c r="P84" s="25"/>
      <c r="Q84" s="23">
        <v>1</v>
      </c>
      <c r="R84" s="22" t="s">
        <v>1158</v>
      </c>
      <c r="S84" s="24">
        <v>1</v>
      </c>
      <c r="T84" s="22" t="s">
        <v>1158</v>
      </c>
      <c r="U84" s="26">
        <v>0</v>
      </c>
      <c r="V84" s="25"/>
      <c r="W84" s="27">
        <v>0</v>
      </c>
      <c r="X84" s="22" t="s">
        <v>1158</v>
      </c>
      <c r="Y84" s="28">
        <v>0</v>
      </c>
      <c r="Z84" s="25"/>
      <c r="AA84" s="29">
        <v>0</v>
      </c>
      <c r="AB84" s="25"/>
      <c r="AC84" s="30">
        <f t="shared" si="15"/>
        <v>2</v>
      </c>
      <c r="AD84" s="7"/>
      <c r="AE84" s="7" t="str">
        <f t="shared" si="16"/>
        <v>↑ Mildly Bullish</v>
      </c>
      <c r="AF84" s="7" t="str">
        <f t="shared" si="17"/>
        <v>Consider stock-in</v>
      </c>
      <c r="AG84" s="10"/>
    </row>
    <row r="85" spans="2:33" ht="20.100000000000001" customHeight="1" x14ac:dyDescent="0.25">
      <c r="B85" s="17">
        <v>26</v>
      </c>
      <c r="C85" s="18">
        <v>45472</v>
      </c>
      <c r="D85" s="19">
        <v>1692</v>
      </c>
      <c r="E85" s="8" t="s">
        <v>1163</v>
      </c>
      <c r="F85" s="20">
        <v>1712.1</v>
      </c>
      <c r="G85" s="20">
        <v>1771.39</v>
      </c>
      <c r="H85" s="20">
        <v>1673.98</v>
      </c>
      <c r="I85" s="20">
        <f t="shared" si="14"/>
        <v>97.410000000000082</v>
      </c>
      <c r="J85" s="20">
        <v>1695.3</v>
      </c>
      <c r="K85" s="20">
        <v>1748.99</v>
      </c>
      <c r="L85" s="9">
        <f t="shared" si="18"/>
        <v>4</v>
      </c>
      <c r="M85" s="11">
        <f t="shared" si="19"/>
        <v>2.3696682464454978E-3</v>
      </c>
      <c r="N85" s="20">
        <f t="shared" si="20"/>
        <v>1688.25</v>
      </c>
      <c r="O85" s="21">
        <v>0</v>
      </c>
      <c r="P85" s="25"/>
      <c r="Q85" s="23">
        <v>1</v>
      </c>
      <c r="R85" s="22" t="s">
        <v>1163</v>
      </c>
      <c r="S85" s="24">
        <v>2</v>
      </c>
      <c r="T85" s="22" t="s">
        <v>1163</v>
      </c>
      <c r="U85" s="26">
        <v>0</v>
      </c>
      <c r="V85" s="25"/>
      <c r="W85" s="27">
        <v>0</v>
      </c>
      <c r="X85" s="22" t="s">
        <v>1163</v>
      </c>
      <c r="Y85" s="28">
        <v>0</v>
      </c>
      <c r="Z85" s="25"/>
      <c r="AA85" s="29">
        <v>0</v>
      </c>
      <c r="AB85" s="25"/>
      <c r="AC85" s="30">
        <f t="shared" si="15"/>
        <v>3</v>
      </c>
      <c r="AD85" s="7"/>
      <c r="AE85" s="7" t="str">
        <f t="shared" si="16"/>
        <v>↑ Mildly Bullish</v>
      </c>
      <c r="AF85" s="7" t="str">
        <f t="shared" si="17"/>
        <v>Consider stock-in</v>
      </c>
      <c r="AG85" s="10"/>
    </row>
    <row r="86" spans="2:33" ht="20.100000000000001" customHeight="1" x14ac:dyDescent="0.25">
      <c r="B86" s="31">
        <v>27</v>
      </c>
      <c r="C86" s="32">
        <v>45479</v>
      </c>
      <c r="D86" s="19">
        <v>1698</v>
      </c>
      <c r="E86" s="8" t="s">
        <v>1168</v>
      </c>
      <c r="F86" s="20">
        <v>1709.71</v>
      </c>
      <c r="G86" s="20">
        <v>1735.05</v>
      </c>
      <c r="H86" s="20">
        <v>1672.89</v>
      </c>
      <c r="I86" s="20">
        <f t="shared" si="14"/>
        <v>62.159999999999854</v>
      </c>
      <c r="J86" s="20">
        <v>1718.07</v>
      </c>
      <c r="K86" s="20">
        <v>1713.05</v>
      </c>
      <c r="L86" s="9">
        <f t="shared" si="18"/>
        <v>6</v>
      </c>
      <c r="M86" s="11">
        <f t="shared" si="19"/>
        <v>3.5460992907801418E-3</v>
      </c>
      <c r="N86" s="20">
        <f t="shared" si="20"/>
        <v>1690.75</v>
      </c>
      <c r="O86" s="21">
        <v>2</v>
      </c>
      <c r="P86" s="22" t="s">
        <v>1350</v>
      </c>
      <c r="Q86" s="23">
        <v>1</v>
      </c>
      <c r="R86" s="22" t="s">
        <v>1168</v>
      </c>
      <c r="S86" s="24">
        <v>2</v>
      </c>
      <c r="T86" s="22" t="s">
        <v>1350</v>
      </c>
      <c r="U86" s="26">
        <v>0</v>
      </c>
      <c r="V86" s="25"/>
      <c r="W86" s="27">
        <v>0</v>
      </c>
      <c r="X86" s="22" t="s">
        <v>1168</v>
      </c>
      <c r="Y86" s="28">
        <v>0</v>
      </c>
      <c r="Z86" s="25"/>
      <c r="AA86" s="29">
        <v>0</v>
      </c>
      <c r="AB86" s="25"/>
      <c r="AC86" s="30">
        <f t="shared" si="15"/>
        <v>5</v>
      </c>
      <c r="AD86" s="7"/>
      <c r="AE86" s="7" t="str">
        <f t="shared" si="16"/>
        <v>🔺 Bullish</v>
      </c>
      <c r="AF86" s="7" t="str">
        <f t="shared" si="17"/>
        <v>STOCK IN NOW</v>
      </c>
      <c r="AG86" s="10"/>
    </row>
    <row r="87" spans="2:33" ht="20.100000000000001" customHeight="1" x14ac:dyDescent="0.25">
      <c r="B87" s="17">
        <v>28</v>
      </c>
      <c r="C87" s="18">
        <v>45486</v>
      </c>
      <c r="D87" s="19">
        <v>1712</v>
      </c>
      <c r="E87" s="8" t="s">
        <v>1173</v>
      </c>
      <c r="F87" s="20">
        <v>1716.77</v>
      </c>
      <c r="G87" s="20">
        <v>1735.21</v>
      </c>
      <c r="H87" s="20">
        <v>1696.52</v>
      </c>
      <c r="I87" s="20">
        <f t="shared" si="14"/>
        <v>38.690000000000055</v>
      </c>
      <c r="J87" s="20">
        <v>1719.75</v>
      </c>
      <c r="K87" s="20">
        <v>1718.56</v>
      </c>
      <c r="L87" s="9">
        <f t="shared" si="18"/>
        <v>14</v>
      </c>
      <c r="M87" s="11">
        <f t="shared" si="19"/>
        <v>8.2449941107184919E-3</v>
      </c>
      <c r="N87" s="20">
        <f t="shared" si="20"/>
        <v>1697.5</v>
      </c>
      <c r="O87" s="21">
        <v>2</v>
      </c>
      <c r="P87" s="22" t="s">
        <v>1351</v>
      </c>
      <c r="Q87" s="23">
        <v>2</v>
      </c>
      <c r="R87" s="22" t="s">
        <v>1173</v>
      </c>
      <c r="S87" s="24">
        <v>2</v>
      </c>
      <c r="T87" s="22" t="s">
        <v>1351</v>
      </c>
      <c r="U87" s="26">
        <v>1</v>
      </c>
      <c r="V87" s="22" t="s">
        <v>1351</v>
      </c>
      <c r="W87" s="27">
        <v>0</v>
      </c>
      <c r="X87" s="22" t="s">
        <v>1173</v>
      </c>
      <c r="Y87" s="28">
        <v>0</v>
      </c>
      <c r="Z87" s="25"/>
      <c r="AA87" s="29">
        <v>0</v>
      </c>
      <c r="AB87" s="25"/>
      <c r="AC87" s="30">
        <f t="shared" si="15"/>
        <v>7</v>
      </c>
      <c r="AD87" s="7"/>
      <c r="AE87" s="7" t="str">
        <f t="shared" si="16"/>
        <v>🔺 Bullish</v>
      </c>
      <c r="AF87" s="7" t="str">
        <f t="shared" si="17"/>
        <v>STOCK IN NOW</v>
      </c>
      <c r="AG87" s="10"/>
    </row>
    <row r="88" spans="2:33" ht="20.100000000000001" customHeight="1" x14ac:dyDescent="0.25">
      <c r="B88" s="31">
        <v>29</v>
      </c>
      <c r="C88" s="32">
        <v>45493</v>
      </c>
      <c r="D88" s="19">
        <v>1725</v>
      </c>
      <c r="E88" s="8" t="s">
        <v>1177</v>
      </c>
      <c r="F88" s="20">
        <v>1732.31</v>
      </c>
      <c r="G88" s="20">
        <v>1770.86</v>
      </c>
      <c r="H88" s="20">
        <v>1710.96</v>
      </c>
      <c r="I88" s="20">
        <f t="shared" si="14"/>
        <v>59.899999999999864</v>
      </c>
      <c r="J88" s="20">
        <v>1725.2</v>
      </c>
      <c r="K88" s="20">
        <v>1746.74</v>
      </c>
      <c r="L88" s="9">
        <f t="shared" si="18"/>
        <v>13</v>
      </c>
      <c r="M88" s="11">
        <f t="shared" si="19"/>
        <v>7.5934579439252336E-3</v>
      </c>
      <c r="N88" s="20">
        <f t="shared" si="20"/>
        <v>1706.75</v>
      </c>
      <c r="O88" s="21">
        <v>2</v>
      </c>
      <c r="P88" s="22" t="s">
        <v>1352</v>
      </c>
      <c r="Q88" s="23">
        <v>2</v>
      </c>
      <c r="R88" s="22" t="s">
        <v>1353</v>
      </c>
      <c r="S88" s="24">
        <v>2</v>
      </c>
      <c r="T88" s="22" t="s">
        <v>1352</v>
      </c>
      <c r="U88" s="26">
        <v>1</v>
      </c>
      <c r="V88" s="22" t="s">
        <v>1352</v>
      </c>
      <c r="W88" s="27">
        <v>0</v>
      </c>
      <c r="X88" s="22" t="s">
        <v>1353</v>
      </c>
      <c r="Y88" s="28">
        <v>0</v>
      </c>
      <c r="Z88" s="25"/>
      <c r="AA88" s="29">
        <v>0</v>
      </c>
      <c r="AB88" s="25"/>
      <c r="AC88" s="30">
        <f t="shared" si="15"/>
        <v>7</v>
      </c>
      <c r="AD88" s="7"/>
      <c r="AE88" s="7" t="str">
        <f t="shared" si="16"/>
        <v>🔺 Bullish</v>
      </c>
      <c r="AF88" s="7" t="str">
        <f t="shared" si="17"/>
        <v>STOCK IN NOW</v>
      </c>
      <c r="AG88" s="10"/>
    </row>
    <row r="89" spans="2:33" ht="20.100000000000001" customHeight="1" x14ac:dyDescent="0.25">
      <c r="B89" s="17">
        <v>30</v>
      </c>
      <c r="C89" s="18">
        <v>45500</v>
      </c>
      <c r="D89" s="19">
        <v>1738</v>
      </c>
      <c r="E89" s="8" t="s">
        <v>1182</v>
      </c>
      <c r="F89" s="20">
        <v>1759.82</v>
      </c>
      <c r="G89" s="20">
        <v>1800</v>
      </c>
      <c r="H89" s="20">
        <v>1727.15</v>
      </c>
      <c r="I89" s="20">
        <f t="shared" si="14"/>
        <v>72.849999999999909</v>
      </c>
      <c r="J89" s="20">
        <v>1756.6</v>
      </c>
      <c r="K89" s="20">
        <v>1784.87</v>
      </c>
      <c r="L89" s="9">
        <f t="shared" si="18"/>
        <v>13</v>
      </c>
      <c r="M89" s="11">
        <f t="shared" si="19"/>
        <v>7.5362318840579709E-3</v>
      </c>
      <c r="N89" s="20">
        <f t="shared" si="20"/>
        <v>1718.25</v>
      </c>
      <c r="O89" s="21">
        <v>2</v>
      </c>
      <c r="P89" s="22" t="s">
        <v>1354</v>
      </c>
      <c r="Q89" s="23">
        <v>2</v>
      </c>
      <c r="R89" s="22" t="s">
        <v>1355</v>
      </c>
      <c r="S89" s="24">
        <v>2</v>
      </c>
      <c r="T89" s="22" t="s">
        <v>1354</v>
      </c>
      <c r="U89" s="26">
        <v>1</v>
      </c>
      <c r="V89" s="22" t="s">
        <v>1354</v>
      </c>
      <c r="W89" s="27">
        <v>0</v>
      </c>
      <c r="X89" s="22" t="s">
        <v>1355</v>
      </c>
      <c r="Y89" s="28">
        <v>0</v>
      </c>
      <c r="Z89" s="25"/>
      <c r="AA89" s="29">
        <v>0</v>
      </c>
      <c r="AB89" s="25"/>
      <c r="AC89" s="30">
        <f t="shared" si="15"/>
        <v>7</v>
      </c>
      <c r="AD89" s="7"/>
      <c r="AE89" s="7" t="str">
        <f t="shared" si="16"/>
        <v>🔺 Bullish</v>
      </c>
      <c r="AF89" s="7" t="str">
        <f t="shared" si="17"/>
        <v>STOCK IN NOW</v>
      </c>
      <c r="AG89" s="10"/>
    </row>
    <row r="90" spans="2:33" ht="20.100000000000001" customHeight="1" x14ac:dyDescent="0.25">
      <c r="B90" s="31">
        <v>31</v>
      </c>
      <c r="C90" s="32">
        <v>45507</v>
      </c>
      <c r="D90" s="19">
        <v>1748</v>
      </c>
      <c r="E90" s="8" t="s">
        <v>1187</v>
      </c>
      <c r="F90" s="20">
        <v>1782.33</v>
      </c>
      <c r="G90" s="20">
        <v>1825.73</v>
      </c>
      <c r="H90" s="20">
        <v>1726.79</v>
      </c>
      <c r="I90" s="20">
        <f t="shared" si="14"/>
        <v>98.940000000000055</v>
      </c>
      <c r="J90" s="20">
        <v>1792.27</v>
      </c>
      <c r="K90" s="20">
        <v>1806.71</v>
      </c>
      <c r="L90" s="9">
        <f t="shared" si="18"/>
        <v>10</v>
      </c>
      <c r="M90" s="11">
        <f t="shared" si="19"/>
        <v>5.7537399309551211E-3</v>
      </c>
      <c r="N90" s="20">
        <f t="shared" si="20"/>
        <v>1730.75</v>
      </c>
      <c r="O90" s="21">
        <v>2</v>
      </c>
      <c r="P90" s="22" t="s">
        <v>1356</v>
      </c>
      <c r="Q90" s="23">
        <v>2</v>
      </c>
      <c r="R90" s="22" t="s">
        <v>1187</v>
      </c>
      <c r="S90" s="24">
        <v>2</v>
      </c>
      <c r="T90" s="22" t="s">
        <v>1356</v>
      </c>
      <c r="U90" s="26">
        <v>1</v>
      </c>
      <c r="V90" s="22" t="s">
        <v>1356</v>
      </c>
      <c r="W90" s="27">
        <v>0</v>
      </c>
      <c r="X90" s="22" t="s">
        <v>1187</v>
      </c>
      <c r="Y90" s="28">
        <v>1</v>
      </c>
      <c r="Z90" s="22" t="s">
        <v>1356</v>
      </c>
      <c r="AA90" s="29">
        <v>0</v>
      </c>
      <c r="AB90" s="25"/>
      <c r="AC90" s="30">
        <f t="shared" si="15"/>
        <v>8</v>
      </c>
      <c r="AD90" s="7"/>
      <c r="AE90" s="7" t="str">
        <f t="shared" si="16"/>
        <v>🔺 Bullish</v>
      </c>
      <c r="AF90" s="7" t="str">
        <f t="shared" si="17"/>
        <v>STOCK IN NOW</v>
      </c>
      <c r="AG90" s="10"/>
    </row>
    <row r="91" spans="2:33" ht="20.100000000000001" customHeight="1" x14ac:dyDescent="0.25">
      <c r="B91" s="17">
        <v>32</v>
      </c>
      <c r="C91" s="18">
        <v>45514</v>
      </c>
      <c r="D91" s="19">
        <v>1752</v>
      </c>
      <c r="E91" s="8" t="s">
        <v>1192</v>
      </c>
      <c r="F91" s="20">
        <v>1768.88</v>
      </c>
      <c r="G91" s="20">
        <v>1805.65</v>
      </c>
      <c r="H91" s="20">
        <v>1738.59</v>
      </c>
      <c r="I91" s="20">
        <f t="shared" si="14"/>
        <v>67.060000000000173</v>
      </c>
      <c r="J91" s="20">
        <v>1781.18</v>
      </c>
      <c r="K91" s="20">
        <v>1773.46</v>
      </c>
      <c r="L91" s="9">
        <f t="shared" si="18"/>
        <v>4</v>
      </c>
      <c r="M91" s="11">
        <f t="shared" si="19"/>
        <v>2.2883295194508009E-3</v>
      </c>
      <c r="N91" s="20">
        <f t="shared" si="20"/>
        <v>1740.75</v>
      </c>
      <c r="O91" s="21">
        <v>2</v>
      </c>
      <c r="P91" s="22" t="s">
        <v>1357</v>
      </c>
      <c r="Q91" s="23">
        <v>2</v>
      </c>
      <c r="R91" s="22" t="s">
        <v>1192</v>
      </c>
      <c r="S91" s="24">
        <v>2</v>
      </c>
      <c r="T91" s="22" t="s">
        <v>1357</v>
      </c>
      <c r="U91" s="26">
        <v>1</v>
      </c>
      <c r="V91" s="22" t="s">
        <v>1357</v>
      </c>
      <c r="W91" s="27">
        <v>0</v>
      </c>
      <c r="X91" s="22" t="s">
        <v>1192</v>
      </c>
      <c r="Y91" s="28">
        <v>0</v>
      </c>
      <c r="Z91" s="25"/>
      <c r="AA91" s="29">
        <v>0</v>
      </c>
      <c r="AB91" s="25"/>
      <c r="AC91" s="30">
        <f t="shared" si="15"/>
        <v>7</v>
      </c>
      <c r="AD91" s="7"/>
      <c r="AE91" s="7" t="str">
        <f t="shared" si="16"/>
        <v>🔺 Bullish</v>
      </c>
      <c r="AF91" s="7" t="str">
        <f t="shared" si="17"/>
        <v>STOCK IN NOW</v>
      </c>
      <c r="AG91" s="10"/>
    </row>
    <row r="92" spans="2:33" ht="20.100000000000001" customHeight="1" x14ac:dyDescent="0.25">
      <c r="B92" s="31">
        <v>33</v>
      </c>
      <c r="C92" s="32">
        <v>45521</v>
      </c>
      <c r="D92" s="19">
        <v>1748</v>
      </c>
      <c r="E92" s="8" t="s">
        <v>1197</v>
      </c>
      <c r="F92" s="20">
        <v>1759.82</v>
      </c>
      <c r="G92" s="20">
        <v>1795.71</v>
      </c>
      <c r="H92" s="20">
        <v>1726.6</v>
      </c>
      <c r="I92" s="20">
        <f t="shared" si="14"/>
        <v>69.110000000000127</v>
      </c>
      <c r="J92" s="20">
        <v>1776.76</v>
      </c>
      <c r="K92" s="20">
        <v>1754.71</v>
      </c>
      <c r="L92" s="9">
        <f t="shared" si="18"/>
        <v>-4</v>
      </c>
      <c r="M92" s="11">
        <f t="shared" si="19"/>
        <v>-2.2831050228310501E-3</v>
      </c>
      <c r="N92" s="20">
        <f t="shared" si="20"/>
        <v>1746.5</v>
      </c>
      <c r="O92" s="21">
        <v>1</v>
      </c>
      <c r="P92" s="22" t="s">
        <v>1358</v>
      </c>
      <c r="Q92" s="23">
        <v>2</v>
      </c>
      <c r="R92" s="22" t="s">
        <v>1197</v>
      </c>
      <c r="S92" s="24">
        <v>2</v>
      </c>
      <c r="T92" s="22" t="s">
        <v>1358</v>
      </c>
      <c r="U92" s="26">
        <v>1</v>
      </c>
      <c r="V92" s="22" t="s">
        <v>1358</v>
      </c>
      <c r="W92" s="27">
        <v>0</v>
      </c>
      <c r="X92" s="22" t="s">
        <v>1197</v>
      </c>
      <c r="Y92" s="28">
        <v>0</v>
      </c>
      <c r="Z92" s="25"/>
      <c r="AA92" s="29">
        <v>0</v>
      </c>
      <c r="AB92" s="25"/>
      <c r="AC92" s="30">
        <f t="shared" si="15"/>
        <v>6</v>
      </c>
      <c r="AD92" s="7"/>
      <c r="AE92" s="7" t="str">
        <f t="shared" si="16"/>
        <v>🔺 Bullish</v>
      </c>
      <c r="AF92" s="7" t="str">
        <f t="shared" si="17"/>
        <v>STOCK IN NOW</v>
      </c>
      <c r="AG92" s="10"/>
    </row>
    <row r="93" spans="2:33" ht="20.100000000000001" customHeight="1" x14ac:dyDescent="0.25">
      <c r="B93" s="17">
        <v>34</v>
      </c>
      <c r="C93" s="18">
        <v>45528</v>
      </c>
      <c r="D93" s="19">
        <v>1742</v>
      </c>
      <c r="E93" s="8" t="s">
        <v>1202</v>
      </c>
      <c r="F93" s="20">
        <v>1751.64</v>
      </c>
      <c r="G93" s="20">
        <v>1811.62</v>
      </c>
      <c r="H93" s="20">
        <v>1715.07</v>
      </c>
      <c r="I93" s="20">
        <f t="shared" si="14"/>
        <v>96.549999999999955</v>
      </c>
      <c r="J93" s="20">
        <v>1727.64</v>
      </c>
      <c r="K93" s="20">
        <v>1785.27</v>
      </c>
      <c r="L93" s="9">
        <f t="shared" si="18"/>
        <v>-6</v>
      </c>
      <c r="M93" s="11">
        <f t="shared" si="19"/>
        <v>-3.4324942791762012E-3</v>
      </c>
      <c r="N93" s="20">
        <f t="shared" si="20"/>
        <v>1747.5</v>
      </c>
      <c r="O93" s="21">
        <v>1</v>
      </c>
      <c r="P93" s="22" t="s">
        <v>1202</v>
      </c>
      <c r="Q93" s="23">
        <v>1</v>
      </c>
      <c r="R93" s="22" t="s">
        <v>1202</v>
      </c>
      <c r="S93" s="24">
        <v>2</v>
      </c>
      <c r="T93" s="22" t="s">
        <v>1202</v>
      </c>
      <c r="U93" s="26">
        <v>0</v>
      </c>
      <c r="V93" s="25"/>
      <c r="W93" s="27">
        <v>0</v>
      </c>
      <c r="X93" s="22" t="s">
        <v>1202</v>
      </c>
      <c r="Y93" s="28">
        <v>0</v>
      </c>
      <c r="Z93" s="25"/>
      <c r="AA93" s="29">
        <v>0</v>
      </c>
      <c r="AB93" s="25"/>
      <c r="AC93" s="30">
        <f t="shared" si="15"/>
        <v>4</v>
      </c>
      <c r="AD93" s="7"/>
      <c r="AE93" s="7" t="str">
        <f t="shared" si="16"/>
        <v>🔺 Bullish</v>
      </c>
      <c r="AF93" s="7" t="str">
        <f t="shared" si="17"/>
        <v>STOCK IN NOW</v>
      </c>
      <c r="AG93" s="10"/>
    </row>
    <row r="94" spans="2:33" ht="20.100000000000001" customHeight="1" x14ac:dyDescent="0.25">
      <c r="B94" s="31">
        <v>35</v>
      </c>
      <c r="C94" s="32">
        <v>45535</v>
      </c>
      <c r="D94" s="19">
        <v>1738</v>
      </c>
      <c r="E94" s="8" t="s">
        <v>1206</v>
      </c>
      <c r="F94" s="20">
        <v>1750.27</v>
      </c>
      <c r="G94" s="20">
        <v>1818.77</v>
      </c>
      <c r="H94" s="20">
        <v>1705.43</v>
      </c>
      <c r="I94" s="20">
        <f t="shared" si="14"/>
        <v>113.33999999999992</v>
      </c>
      <c r="J94" s="20">
        <v>1793.28</v>
      </c>
      <c r="K94" s="20">
        <v>1719.53</v>
      </c>
      <c r="L94" s="9">
        <f t="shared" si="18"/>
        <v>-4</v>
      </c>
      <c r="M94" s="11">
        <f t="shared" si="19"/>
        <v>-2.2962112514351321E-3</v>
      </c>
      <c r="N94" s="20">
        <f t="shared" si="20"/>
        <v>1745</v>
      </c>
      <c r="O94" s="21">
        <v>1</v>
      </c>
      <c r="P94" s="22" t="s">
        <v>1359</v>
      </c>
      <c r="Q94" s="23">
        <v>1</v>
      </c>
      <c r="R94" s="22" t="s">
        <v>1206</v>
      </c>
      <c r="S94" s="24">
        <v>2</v>
      </c>
      <c r="T94" s="22" t="s">
        <v>1359</v>
      </c>
      <c r="U94" s="26">
        <v>0</v>
      </c>
      <c r="V94" s="25"/>
      <c r="W94" s="27">
        <v>0</v>
      </c>
      <c r="X94" s="22" t="s">
        <v>1206</v>
      </c>
      <c r="Y94" s="28">
        <v>0</v>
      </c>
      <c r="Z94" s="25"/>
      <c r="AA94" s="29">
        <v>0</v>
      </c>
      <c r="AB94" s="25"/>
      <c r="AC94" s="30">
        <f t="shared" si="15"/>
        <v>4</v>
      </c>
      <c r="AD94" s="7"/>
      <c r="AE94" s="7" t="str">
        <f t="shared" si="16"/>
        <v>🔺 Bullish</v>
      </c>
      <c r="AF94" s="7" t="str">
        <f t="shared" si="17"/>
        <v>STOCK IN NOW</v>
      </c>
      <c r="AG94" s="10"/>
    </row>
    <row r="95" spans="2:33" ht="20.100000000000001" customHeight="1" x14ac:dyDescent="0.25">
      <c r="B95" s="17">
        <v>36</v>
      </c>
      <c r="C95" s="18">
        <v>45542</v>
      </c>
      <c r="D95" s="19">
        <v>1742</v>
      </c>
      <c r="E95" s="8" t="s">
        <v>1211</v>
      </c>
      <c r="F95" s="20">
        <v>1761.94</v>
      </c>
      <c r="G95" s="20">
        <v>1800.9</v>
      </c>
      <c r="H95" s="20">
        <v>1723.71</v>
      </c>
      <c r="I95" s="20">
        <f t="shared" si="14"/>
        <v>77.190000000000055</v>
      </c>
      <c r="J95" s="20">
        <v>1776.46</v>
      </c>
      <c r="K95" s="20">
        <v>1767.36</v>
      </c>
      <c r="L95" s="9">
        <f t="shared" si="18"/>
        <v>4</v>
      </c>
      <c r="M95" s="11">
        <f t="shared" si="19"/>
        <v>2.3014959723820483E-3</v>
      </c>
      <c r="N95" s="20">
        <f t="shared" si="20"/>
        <v>1742.5</v>
      </c>
      <c r="O95" s="21">
        <v>1</v>
      </c>
      <c r="P95" s="22" t="s">
        <v>1360</v>
      </c>
      <c r="Q95" s="23">
        <v>2</v>
      </c>
      <c r="R95" s="22" t="s">
        <v>1211</v>
      </c>
      <c r="S95" s="24">
        <v>2</v>
      </c>
      <c r="T95" s="22" t="s">
        <v>1360</v>
      </c>
      <c r="U95" s="26">
        <v>1</v>
      </c>
      <c r="V95" s="22" t="s">
        <v>1360</v>
      </c>
      <c r="W95" s="27">
        <v>0</v>
      </c>
      <c r="X95" s="22" t="s">
        <v>1211</v>
      </c>
      <c r="Y95" s="28">
        <v>0</v>
      </c>
      <c r="Z95" s="25"/>
      <c r="AA95" s="29">
        <v>0</v>
      </c>
      <c r="AB95" s="25"/>
      <c r="AC95" s="30">
        <f t="shared" si="15"/>
        <v>6</v>
      </c>
      <c r="AD95" s="7"/>
      <c r="AE95" s="7" t="str">
        <f t="shared" si="16"/>
        <v>🔺 Bullish</v>
      </c>
      <c r="AF95" s="7" t="str">
        <f t="shared" si="17"/>
        <v>STOCK IN NOW</v>
      </c>
      <c r="AG95" s="10"/>
    </row>
    <row r="96" spans="2:33" ht="20.100000000000001" customHeight="1" x14ac:dyDescent="0.25">
      <c r="B96" s="31">
        <v>37</v>
      </c>
      <c r="C96" s="32">
        <v>45549</v>
      </c>
      <c r="D96" s="19">
        <v>1748</v>
      </c>
      <c r="E96" s="8" t="s">
        <v>1216</v>
      </c>
      <c r="F96" s="20">
        <v>1755.73</v>
      </c>
      <c r="G96" s="20">
        <v>1809.28</v>
      </c>
      <c r="H96" s="20">
        <v>1715.93</v>
      </c>
      <c r="I96" s="20">
        <f t="shared" si="14"/>
        <v>93.349999999999909</v>
      </c>
      <c r="J96" s="20">
        <v>1785.39</v>
      </c>
      <c r="K96" s="20">
        <v>1733.79</v>
      </c>
      <c r="L96" s="9">
        <f t="shared" si="18"/>
        <v>6</v>
      </c>
      <c r="M96" s="11">
        <f t="shared" si="19"/>
        <v>3.4443168771526979E-3</v>
      </c>
      <c r="N96" s="20">
        <f t="shared" si="20"/>
        <v>1742.5</v>
      </c>
      <c r="O96" s="21">
        <v>1</v>
      </c>
      <c r="P96" s="22" t="s">
        <v>1361</v>
      </c>
      <c r="Q96" s="23">
        <v>2</v>
      </c>
      <c r="R96" s="22" t="s">
        <v>1216</v>
      </c>
      <c r="S96" s="24">
        <v>2</v>
      </c>
      <c r="T96" s="22" t="s">
        <v>1361</v>
      </c>
      <c r="U96" s="26">
        <v>1</v>
      </c>
      <c r="V96" s="22" t="s">
        <v>1361</v>
      </c>
      <c r="W96" s="27">
        <v>0</v>
      </c>
      <c r="X96" s="22" t="s">
        <v>1216</v>
      </c>
      <c r="Y96" s="28">
        <v>1</v>
      </c>
      <c r="Z96" s="22" t="s">
        <v>1361</v>
      </c>
      <c r="AA96" s="29">
        <v>0</v>
      </c>
      <c r="AB96" s="25"/>
      <c r="AC96" s="30">
        <f t="shared" si="15"/>
        <v>7</v>
      </c>
      <c r="AD96" s="7"/>
      <c r="AE96" s="7" t="str">
        <f t="shared" si="16"/>
        <v>🔺 Bullish</v>
      </c>
      <c r="AF96" s="7" t="str">
        <f t="shared" si="17"/>
        <v>STOCK IN NOW</v>
      </c>
      <c r="AG96" s="10"/>
    </row>
    <row r="97" spans="2:33" ht="20.100000000000001" customHeight="1" x14ac:dyDescent="0.25">
      <c r="B97" s="17">
        <v>38</v>
      </c>
      <c r="C97" s="18">
        <v>45556</v>
      </c>
      <c r="D97" s="19">
        <v>1752</v>
      </c>
      <c r="E97" s="8" t="s">
        <v>1221</v>
      </c>
      <c r="F97" s="20">
        <v>1768.83</v>
      </c>
      <c r="G97" s="20">
        <v>1807.64</v>
      </c>
      <c r="H97" s="20">
        <v>1732.07</v>
      </c>
      <c r="I97" s="20">
        <f t="shared" si="14"/>
        <v>75.570000000000164</v>
      </c>
      <c r="J97" s="20">
        <v>1770.89</v>
      </c>
      <c r="K97" s="20">
        <v>1783.6</v>
      </c>
      <c r="L97" s="9">
        <f t="shared" si="18"/>
        <v>4</v>
      </c>
      <c r="M97" s="11">
        <f t="shared" si="19"/>
        <v>2.2883295194508009E-3</v>
      </c>
      <c r="N97" s="20">
        <f t="shared" si="20"/>
        <v>1745</v>
      </c>
      <c r="O97" s="21">
        <v>1</v>
      </c>
      <c r="P97" s="22" t="s">
        <v>1362</v>
      </c>
      <c r="Q97" s="23">
        <v>2</v>
      </c>
      <c r="R97" s="22" t="s">
        <v>1221</v>
      </c>
      <c r="S97" s="24">
        <v>2</v>
      </c>
      <c r="T97" s="22" t="s">
        <v>1362</v>
      </c>
      <c r="U97" s="26">
        <v>1</v>
      </c>
      <c r="V97" s="22" t="s">
        <v>1362</v>
      </c>
      <c r="W97" s="27">
        <v>0</v>
      </c>
      <c r="X97" s="22" t="s">
        <v>1221</v>
      </c>
      <c r="Y97" s="28">
        <v>0</v>
      </c>
      <c r="Z97" s="25"/>
      <c r="AA97" s="29">
        <v>0</v>
      </c>
      <c r="AB97" s="25"/>
      <c r="AC97" s="30">
        <f t="shared" si="15"/>
        <v>6</v>
      </c>
      <c r="AD97" s="7"/>
      <c r="AE97" s="7" t="str">
        <f t="shared" si="16"/>
        <v>🔺 Bullish</v>
      </c>
      <c r="AF97" s="7" t="str">
        <f t="shared" si="17"/>
        <v>STOCK IN NOW</v>
      </c>
      <c r="AG97" s="10"/>
    </row>
    <row r="98" spans="2:33" ht="20.100000000000001" customHeight="1" x14ac:dyDescent="0.25">
      <c r="B98" s="31">
        <v>39</v>
      </c>
      <c r="C98" s="32">
        <v>45563</v>
      </c>
      <c r="D98" s="19">
        <v>1758</v>
      </c>
      <c r="E98" s="8" t="s">
        <v>1226</v>
      </c>
      <c r="F98" s="20">
        <v>1782.14</v>
      </c>
      <c r="G98" s="20">
        <v>1823.52</v>
      </c>
      <c r="H98" s="20">
        <v>1731.64</v>
      </c>
      <c r="I98" s="20">
        <f t="shared" si="14"/>
        <v>91.879999999999882</v>
      </c>
      <c r="J98" s="20">
        <v>1811.79</v>
      </c>
      <c r="K98" s="20">
        <v>1776.64</v>
      </c>
      <c r="L98" s="9">
        <f t="shared" si="18"/>
        <v>6</v>
      </c>
      <c r="M98" s="11">
        <f t="shared" si="19"/>
        <v>3.4246575342465752E-3</v>
      </c>
      <c r="N98" s="20">
        <f t="shared" si="20"/>
        <v>1750</v>
      </c>
      <c r="O98" s="21">
        <v>1</v>
      </c>
      <c r="P98" s="22" t="s">
        <v>1363</v>
      </c>
      <c r="Q98" s="23">
        <v>2</v>
      </c>
      <c r="R98" s="22" t="s">
        <v>1226</v>
      </c>
      <c r="S98" s="24">
        <v>2</v>
      </c>
      <c r="T98" s="22" t="s">
        <v>1363</v>
      </c>
      <c r="U98" s="26">
        <v>1</v>
      </c>
      <c r="V98" s="22" t="s">
        <v>1363</v>
      </c>
      <c r="W98" s="27">
        <v>0</v>
      </c>
      <c r="X98" s="22" t="s">
        <v>1226</v>
      </c>
      <c r="Y98" s="28">
        <v>0</v>
      </c>
      <c r="Z98" s="25"/>
      <c r="AA98" s="29">
        <v>0</v>
      </c>
      <c r="AB98" s="25"/>
      <c r="AC98" s="30">
        <f t="shared" si="15"/>
        <v>6</v>
      </c>
      <c r="AD98" s="7"/>
      <c r="AE98" s="7" t="str">
        <f t="shared" si="16"/>
        <v>🔺 Bullish</v>
      </c>
      <c r="AF98" s="7" t="str">
        <f t="shared" si="17"/>
        <v>STOCK IN NOW</v>
      </c>
      <c r="AG98" s="10"/>
    </row>
    <row r="99" spans="2:33" ht="20.100000000000001" customHeight="1" x14ac:dyDescent="0.25">
      <c r="B99" s="17">
        <v>40</v>
      </c>
      <c r="C99" s="18">
        <v>45570</v>
      </c>
      <c r="D99" s="19">
        <v>1762</v>
      </c>
      <c r="E99" s="8" t="s">
        <v>1231</v>
      </c>
      <c r="F99" s="20">
        <v>1783.09</v>
      </c>
      <c r="G99" s="20">
        <v>1817.06</v>
      </c>
      <c r="H99" s="20">
        <v>1744.83</v>
      </c>
      <c r="I99" s="20">
        <f t="shared" si="14"/>
        <v>72.230000000000018</v>
      </c>
      <c r="J99" s="20">
        <v>1795.44</v>
      </c>
      <c r="K99" s="20">
        <v>1791.84</v>
      </c>
      <c r="L99" s="9">
        <f t="shared" si="18"/>
        <v>4</v>
      </c>
      <c r="M99" s="11">
        <f t="shared" si="19"/>
        <v>2.2753128555176336E-3</v>
      </c>
      <c r="N99" s="20">
        <f t="shared" si="20"/>
        <v>1755</v>
      </c>
      <c r="O99" s="21">
        <v>1</v>
      </c>
      <c r="P99" s="22" t="s">
        <v>1364</v>
      </c>
      <c r="Q99" s="23">
        <v>2</v>
      </c>
      <c r="R99" s="22" t="s">
        <v>1231</v>
      </c>
      <c r="S99" s="24">
        <v>2</v>
      </c>
      <c r="T99" s="22" t="s">
        <v>1364</v>
      </c>
      <c r="U99" s="26">
        <v>1</v>
      </c>
      <c r="V99" s="22" t="s">
        <v>1364</v>
      </c>
      <c r="W99" s="27">
        <v>1</v>
      </c>
      <c r="X99" s="22" t="s">
        <v>1231</v>
      </c>
      <c r="Y99" s="28">
        <v>0</v>
      </c>
      <c r="Z99" s="25"/>
      <c r="AA99" s="29">
        <v>0</v>
      </c>
      <c r="AB99" s="25"/>
      <c r="AC99" s="30">
        <f t="shared" si="15"/>
        <v>7</v>
      </c>
      <c r="AD99" s="7"/>
      <c r="AE99" s="7" t="str">
        <f t="shared" si="16"/>
        <v>🔺 Bullish</v>
      </c>
      <c r="AF99" s="7" t="str">
        <f t="shared" si="17"/>
        <v>STOCK IN NOW</v>
      </c>
      <c r="AG99" s="10"/>
    </row>
    <row r="100" spans="2:33" ht="20.100000000000001" customHeight="1" x14ac:dyDescent="0.25">
      <c r="B100" s="31">
        <v>41</v>
      </c>
      <c r="C100" s="32">
        <v>45577</v>
      </c>
      <c r="D100" s="19">
        <v>1768</v>
      </c>
      <c r="E100" s="8" t="s">
        <v>1236</v>
      </c>
      <c r="F100" s="20">
        <v>1799.04</v>
      </c>
      <c r="G100" s="20">
        <v>1829.87</v>
      </c>
      <c r="H100" s="20">
        <v>1753.44</v>
      </c>
      <c r="I100" s="20">
        <f t="shared" si="14"/>
        <v>76.429999999999836</v>
      </c>
      <c r="J100" s="20">
        <v>1809.85</v>
      </c>
      <c r="K100" s="20">
        <v>1819.27</v>
      </c>
      <c r="L100" s="9">
        <f t="shared" si="18"/>
        <v>6</v>
      </c>
      <c r="M100" s="11">
        <f t="shared" si="19"/>
        <v>3.4052213393870601E-3</v>
      </c>
      <c r="N100" s="20">
        <f t="shared" si="20"/>
        <v>1760</v>
      </c>
      <c r="O100" s="21">
        <v>2</v>
      </c>
      <c r="P100" s="22" t="s">
        <v>1365</v>
      </c>
      <c r="Q100" s="23">
        <v>2</v>
      </c>
      <c r="R100" s="22" t="s">
        <v>1236</v>
      </c>
      <c r="S100" s="24">
        <v>2</v>
      </c>
      <c r="T100" s="22" t="s">
        <v>1365</v>
      </c>
      <c r="U100" s="26">
        <v>1</v>
      </c>
      <c r="V100" s="22" t="s">
        <v>1365</v>
      </c>
      <c r="W100" s="27">
        <v>1</v>
      </c>
      <c r="X100" s="22" t="s">
        <v>1236</v>
      </c>
      <c r="Y100" s="28">
        <v>0</v>
      </c>
      <c r="Z100" s="25"/>
      <c r="AA100" s="29">
        <v>0</v>
      </c>
      <c r="AB100" s="25"/>
      <c r="AC100" s="30">
        <f t="shared" si="15"/>
        <v>8</v>
      </c>
      <c r="AD100" s="7"/>
      <c r="AE100" s="7" t="str">
        <f t="shared" si="16"/>
        <v>🔺 Bullish</v>
      </c>
      <c r="AF100" s="7" t="str">
        <f t="shared" si="17"/>
        <v>STOCK IN NOW</v>
      </c>
      <c r="AG100" s="10"/>
    </row>
    <row r="101" spans="2:33" ht="20.100000000000001" customHeight="1" x14ac:dyDescent="0.25">
      <c r="B101" s="17">
        <v>42</v>
      </c>
      <c r="C101" s="18">
        <v>45584</v>
      </c>
      <c r="D101" s="19">
        <v>1775</v>
      </c>
      <c r="E101" s="8" t="s">
        <v>1239</v>
      </c>
      <c r="F101" s="20">
        <v>1811.59</v>
      </c>
      <c r="G101" s="20">
        <v>1860.82</v>
      </c>
      <c r="H101" s="20">
        <v>1753.84</v>
      </c>
      <c r="I101" s="20">
        <f t="shared" si="14"/>
        <v>106.98000000000002</v>
      </c>
      <c r="J101" s="20">
        <v>1835.65</v>
      </c>
      <c r="K101" s="20">
        <v>1824.12</v>
      </c>
      <c r="L101" s="9">
        <f t="shared" si="18"/>
        <v>7</v>
      </c>
      <c r="M101" s="11">
        <f t="shared" si="19"/>
        <v>3.9592760180995473E-3</v>
      </c>
      <c r="N101" s="20">
        <f t="shared" si="20"/>
        <v>1765.75</v>
      </c>
      <c r="O101" s="21">
        <v>2</v>
      </c>
      <c r="P101" s="22" t="s">
        <v>1366</v>
      </c>
      <c r="Q101" s="23">
        <v>2</v>
      </c>
      <c r="R101" s="22" t="s">
        <v>1239</v>
      </c>
      <c r="S101" s="24">
        <v>2</v>
      </c>
      <c r="T101" s="22" t="s">
        <v>1366</v>
      </c>
      <c r="U101" s="26">
        <v>1</v>
      </c>
      <c r="V101" s="22" t="s">
        <v>1366</v>
      </c>
      <c r="W101" s="27">
        <v>1</v>
      </c>
      <c r="X101" s="22" t="s">
        <v>1239</v>
      </c>
      <c r="Y101" s="28">
        <v>0</v>
      </c>
      <c r="Z101" s="25"/>
      <c r="AA101" s="29">
        <v>0</v>
      </c>
      <c r="AB101" s="25"/>
      <c r="AC101" s="30">
        <f t="shared" si="15"/>
        <v>8</v>
      </c>
      <c r="AD101" s="7"/>
      <c r="AE101" s="7" t="str">
        <f t="shared" si="16"/>
        <v>🔺 Bullish</v>
      </c>
      <c r="AF101" s="7" t="str">
        <f t="shared" si="17"/>
        <v>STOCK IN NOW</v>
      </c>
      <c r="AG101" s="10"/>
    </row>
    <row r="102" spans="2:33" ht="20.100000000000001" customHeight="1" x14ac:dyDescent="0.25">
      <c r="B102" s="31">
        <v>43</v>
      </c>
      <c r="C102" s="32">
        <v>45591</v>
      </c>
      <c r="D102" s="19">
        <v>1778</v>
      </c>
      <c r="E102" s="8" t="s">
        <v>1243</v>
      </c>
      <c r="F102" s="20">
        <v>1774.79</v>
      </c>
      <c r="G102" s="20">
        <v>1794.93</v>
      </c>
      <c r="H102" s="20">
        <v>1757.51</v>
      </c>
      <c r="I102" s="20">
        <f t="shared" si="14"/>
        <v>37.420000000000073</v>
      </c>
      <c r="J102" s="20">
        <v>1779.62</v>
      </c>
      <c r="K102" s="20">
        <v>1766.75</v>
      </c>
      <c r="L102" s="9">
        <f t="shared" si="18"/>
        <v>3</v>
      </c>
      <c r="M102" s="11">
        <f t="shared" si="19"/>
        <v>1.6901408450704226E-3</v>
      </c>
      <c r="N102" s="20">
        <f t="shared" si="20"/>
        <v>1770.75</v>
      </c>
      <c r="O102" s="21">
        <v>1</v>
      </c>
      <c r="P102" s="22" t="s">
        <v>1367</v>
      </c>
      <c r="Q102" s="23">
        <v>2</v>
      </c>
      <c r="R102" s="22" t="s">
        <v>1243</v>
      </c>
      <c r="S102" s="24">
        <v>2</v>
      </c>
      <c r="T102" s="22" t="s">
        <v>1367</v>
      </c>
      <c r="U102" s="26">
        <v>1</v>
      </c>
      <c r="V102" s="22" t="s">
        <v>1367</v>
      </c>
      <c r="W102" s="27">
        <v>1</v>
      </c>
      <c r="X102" s="22" t="s">
        <v>1243</v>
      </c>
      <c r="Y102" s="28">
        <v>0</v>
      </c>
      <c r="Z102" s="25"/>
      <c r="AA102" s="29">
        <v>0</v>
      </c>
      <c r="AB102" s="25"/>
      <c r="AC102" s="30">
        <f t="shared" si="15"/>
        <v>7</v>
      </c>
      <c r="AD102" s="7"/>
      <c r="AE102" s="7" t="str">
        <f t="shared" si="16"/>
        <v>🔺 Bullish</v>
      </c>
      <c r="AF102" s="7" t="str">
        <f t="shared" si="17"/>
        <v>STOCK IN NOW</v>
      </c>
      <c r="AG102" s="10"/>
    </row>
    <row r="103" spans="2:33" ht="20.100000000000001" customHeight="1" x14ac:dyDescent="0.25">
      <c r="B103" s="17">
        <v>44</v>
      </c>
      <c r="C103" s="18">
        <v>45598</v>
      </c>
      <c r="D103" s="19">
        <v>1772</v>
      </c>
      <c r="E103" s="8" t="s">
        <v>1247</v>
      </c>
      <c r="F103" s="20">
        <v>1766.55</v>
      </c>
      <c r="G103" s="20">
        <v>1795.9</v>
      </c>
      <c r="H103" s="20">
        <v>1737.33</v>
      </c>
      <c r="I103" s="20">
        <f t="shared" ref="I103:I134" si="21">IFERROR(G103-H103,"")</f>
        <v>58.570000000000164</v>
      </c>
      <c r="J103" s="20">
        <v>1776.98</v>
      </c>
      <c r="K103" s="20">
        <v>1750.68</v>
      </c>
      <c r="L103" s="9">
        <f t="shared" si="18"/>
        <v>-6</v>
      </c>
      <c r="M103" s="11">
        <f t="shared" si="19"/>
        <v>-3.3745781777277839E-3</v>
      </c>
      <c r="N103" s="20">
        <f t="shared" si="20"/>
        <v>1773.25</v>
      </c>
      <c r="O103" s="21">
        <v>1</v>
      </c>
      <c r="P103" s="22" t="s">
        <v>1368</v>
      </c>
      <c r="Q103" s="23">
        <v>1</v>
      </c>
      <c r="R103" s="22" t="s">
        <v>1247</v>
      </c>
      <c r="S103" s="24">
        <v>2</v>
      </c>
      <c r="T103" s="22" t="s">
        <v>1368</v>
      </c>
      <c r="U103" s="26">
        <v>0</v>
      </c>
      <c r="V103" s="25"/>
      <c r="W103" s="27">
        <v>0</v>
      </c>
      <c r="X103" s="22" t="s">
        <v>1247</v>
      </c>
      <c r="Y103" s="28">
        <v>0</v>
      </c>
      <c r="Z103" s="25"/>
      <c r="AA103" s="29">
        <v>0</v>
      </c>
      <c r="AB103" s="25"/>
      <c r="AC103" s="30">
        <f t="shared" ref="AC103:AC111" si="22">SUM(O103,Q103,S103,U103,W103,Y103,AA103)</f>
        <v>4</v>
      </c>
      <c r="AD103" s="7"/>
      <c r="AE103" s="7" t="str">
        <f t="shared" ref="AE103:AE111" si="23">IFERROR(IF(AC103&gt;=4,"🔺 Bullish",IF(AC103&lt;=-4,"🔻 Bearish",IF(AC103&gt;=2,"↑ Mildly Bullish",IF(AC103&lt;=-2,"↓ Mildly Bearish","→ Neutral")))),"—")</f>
        <v>🔺 Bullish</v>
      </c>
      <c r="AF103" s="7" t="str">
        <f t="shared" ref="AF103:AF111" si="24">IFERROR(IF(AC103&gt;=4,"STOCK IN NOW",IF(AC103&lt;=-4,"REDUCE EXPOSURE",IF(AC103&gt;=2,"Consider stock-in",IF(AC103&lt;=-2,"Review sell price","Hold")))),"—")</f>
        <v>STOCK IN NOW</v>
      </c>
      <c r="AG103" s="10"/>
    </row>
    <row r="104" spans="2:33" ht="20.100000000000001" customHeight="1" x14ac:dyDescent="0.25">
      <c r="B104" s="31">
        <v>45</v>
      </c>
      <c r="C104" s="32">
        <v>45605</v>
      </c>
      <c r="D104" s="19">
        <v>1768</v>
      </c>
      <c r="E104" s="8" t="s">
        <v>1252</v>
      </c>
      <c r="F104" s="20">
        <v>1764.84</v>
      </c>
      <c r="G104" s="20">
        <v>1805.1</v>
      </c>
      <c r="H104" s="20">
        <v>1724.42</v>
      </c>
      <c r="I104" s="20">
        <f t="shared" si="21"/>
        <v>80.679999999999836</v>
      </c>
      <c r="J104" s="20">
        <v>1778.97</v>
      </c>
      <c r="K104" s="20">
        <v>1747.55</v>
      </c>
      <c r="L104" s="9">
        <f t="shared" si="18"/>
        <v>-4</v>
      </c>
      <c r="M104" s="11">
        <f t="shared" si="19"/>
        <v>-2.257336343115124E-3</v>
      </c>
      <c r="N104" s="20">
        <f t="shared" si="20"/>
        <v>1773.25</v>
      </c>
      <c r="O104" s="21">
        <v>0</v>
      </c>
      <c r="P104" s="25"/>
      <c r="Q104" s="23">
        <v>1</v>
      </c>
      <c r="R104" s="22" t="s">
        <v>1252</v>
      </c>
      <c r="S104" s="24">
        <v>1</v>
      </c>
      <c r="T104" s="22" t="s">
        <v>1369</v>
      </c>
      <c r="U104" s="26">
        <v>0</v>
      </c>
      <c r="V104" s="25"/>
      <c r="W104" s="27">
        <v>0</v>
      </c>
      <c r="X104" s="22" t="s">
        <v>1252</v>
      </c>
      <c r="Y104" s="28">
        <v>0</v>
      </c>
      <c r="Z104" s="25"/>
      <c r="AA104" s="29">
        <v>0</v>
      </c>
      <c r="AB104" s="25"/>
      <c r="AC104" s="30">
        <f t="shared" si="22"/>
        <v>2</v>
      </c>
      <c r="AD104" s="7"/>
      <c r="AE104" s="7" t="str">
        <f t="shared" si="23"/>
        <v>↑ Mildly Bullish</v>
      </c>
      <c r="AF104" s="7" t="str">
        <f t="shared" si="24"/>
        <v>Consider stock-in</v>
      </c>
      <c r="AG104" s="10"/>
    </row>
    <row r="105" spans="2:33" ht="20.100000000000001" customHeight="1" x14ac:dyDescent="0.25">
      <c r="B105" s="17">
        <v>46</v>
      </c>
      <c r="C105" s="18">
        <v>45612</v>
      </c>
      <c r="D105" s="19">
        <v>1772</v>
      </c>
      <c r="E105" s="8" t="s">
        <v>1257</v>
      </c>
      <c r="F105" s="20">
        <v>1761.29</v>
      </c>
      <c r="G105" s="20">
        <v>1789.56</v>
      </c>
      <c r="H105" s="20">
        <v>1733.72</v>
      </c>
      <c r="I105" s="20">
        <f t="shared" si="21"/>
        <v>55.839999999999918</v>
      </c>
      <c r="J105" s="20">
        <v>1758.46</v>
      </c>
      <c r="K105" s="20">
        <v>1753.4</v>
      </c>
      <c r="L105" s="9">
        <f t="shared" ref="L105:L111" si="25">IFERROR(D105-D104,"")</f>
        <v>4</v>
      </c>
      <c r="M105" s="11">
        <f t="shared" ref="M105:M136" si="26">IFERROR(L105/D104,"")</f>
        <v>2.2624434389140274E-3</v>
      </c>
      <c r="N105" s="20">
        <f t="shared" si="20"/>
        <v>1772.5</v>
      </c>
      <c r="O105" s="21">
        <v>1</v>
      </c>
      <c r="P105" s="22" t="s">
        <v>1370</v>
      </c>
      <c r="Q105" s="23">
        <v>1</v>
      </c>
      <c r="R105" s="22" t="s">
        <v>1257</v>
      </c>
      <c r="S105" s="24">
        <v>2</v>
      </c>
      <c r="T105" s="22" t="s">
        <v>1370</v>
      </c>
      <c r="U105" s="26">
        <v>0</v>
      </c>
      <c r="V105" s="25"/>
      <c r="W105" s="27">
        <v>0</v>
      </c>
      <c r="X105" s="22" t="s">
        <v>1257</v>
      </c>
      <c r="Y105" s="28">
        <v>0</v>
      </c>
      <c r="Z105" s="25"/>
      <c r="AA105" s="29">
        <v>0</v>
      </c>
      <c r="AB105" s="25"/>
      <c r="AC105" s="30">
        <f t="shared" si="22"/>
        <v>4</v>
      </c>
      <c r="AD105" s="7"/>
      <c r="AE105" s="7" t="str">
        <f t="shared" si="23"/>
        <v>🔺 Bullish</v>
      </c>
      <c r="AF105" s="7" t="str">
        <f t="shared" si="24"/>
        <v>STOCK IN NOW</v>
      </c>
      <c r="AG105" s="10"/>
    </row>
    <row r="106" spans="2:33" ht="20.100000000000001" customHeight="1" x14ac:dyDescent="0.25">
      <c r="B106" s="31">
        <v>47</v>
      </c>
      <c r="C106" s="32">
        <v>45619</v>
      </c>
      <c r="D106" s="19">
        <v>1778</v>
      </c>
      <c r="E106" s="8" t="s">
        <v>1262</v>
      </c>
      <c r="F106" s="20">
        <v>1792.53</v>
      </c>
      <c r="G106" s="20">
        <v>1825.62</v>
      </c>
      <c r="H106" s="20">
        <v>1764.76</v>
      </c>
      <c r="I106" s="20">
        <f t="shared" si="21"/>
        <v>60.8599999999999</v>
      </c>
      <c r="J106" s="20">
        <v>1799.71</v>
      </c>
      <c r="K106" s="20">
        <v>1799.89</v>
      </c>
      <c r="L106" s="9">
        <f t="shared" si="25"/>
        <v>6</v>
      </c>
      <c r="M106" s="11">
        <f t="shared" si="26"/>
        <v>3.3860045146726862E-3</v>
      </c>
      <c r="N106" s="20">
        <f t="shared" si="20"/>
        <v>1772.5</v>
      </c>
      <c r="O106" s="21">
        <v>1</v>
      </c>
      <c r="P106" s="22" t="s">
        <v>1371</v>
      </c>
      <c r="Q106" s="23">
        <v>1</v>
      </c>
      <c r="R106" s="22" t="s">
        <v>1262</v>
      </c>
      <c r="S106" s="24">
        <v>2</v>
      </c>
      <c r="T106" s="22" t="s">
        <v>1371</v>
      </c>
      <c r="U106" s="26">
        <v>0</v>
      </c>
      <c r="V106" s="25"/>
      <c r="W106" s="27">
        <v>0</v>
      </c>
      <c r="X106" s="22" t="s">
        <v>1262</v>
      </c>
      <c r="Y106" s="28">
        <v>0</v>
      </c>
      <c r="Z106" s="25"/>
      <c r="AA106" s="29">
        <v>0</v>
      </c>
      <c r="AB106" s="25"/>
      <c r="AC106" s="30">
        <f t="shared" si="22"/>
        <v>4</v>
      </c>
      <c r="AD106" s="7"/>
      <c r="AE106" s="7" t="str">
        <f t="shared" si="23"/>
        <v>🔺 Bullish</v>
      </c>
      <c r="AF106" s="7" t="str">
        <f t="shared" si="24"/>
        <v>STOCK IN NOW</v>
      </c>
      <c r="AG106" s="10"/>
    </row>
    <row r="107" spans="2:33" ht="20.100000000000001" customHeight="1" x14ac:dyDescent="0.25">
      <c r="B107" s="17">
        <v>48</v>
      </c>
      <c r="C107" s="18">
        <v>45626</v>
      </c>
      <c r="D107" s="19">
        <v>1782</v>
      </c>
      <c r="E107" s="8" t="s">
        <v>1267</v>
      </c>
      <c r="F107" s="20">
        <v>1790.55</v>
      </c>
      <c r="G107" s="20">
        <v>1816.74</v>
      </c>
      <c r="H107" s="20">
        <v>1772.76</v>
      </c>
      <c r="I107" s="20">
        <f t="shared" si="21"/>
        <v>43.980000000000018</v>
      </c>
      <c r="J107" s="20">
        <v>1788.55</v>
      </c>
      <c r="K107" s="20">
        <v>1801.1</v>
      </c>
      <c r="L107" s="9">
        <f t="shared" si="25"/>
        <v>4</v>
      </c>
      <c r="M107" s="11">
        <f t="shared" si="26"/>
        <v>2.2497187851518562E-3</v>
      </c>
      <c r="N107" s="20">
        <f t="shared" ref="N107:N138" si="27">IFERROR(AVERAGE(D104:D107),"")</f>
        <v>1775</v>
      </c>
      <c r="O107" s="21">
        <v>1</v>
      </c>
      <c r="P107" s="22" t="s">
        <v>1372</v>
      </c>
      <c r="Q107" s="23">
        <v>1</v>
      </c>
      <c r="R107" s="22" t="s">
        <v>1267</v>
      </c>
      <c r="S107" s="24">
        <v>2</v>
      </c>
      <c r="T107" s="22" t="s">
        <v>1372</v>
      </c>
      <c r="U107" s="26">
        <v>0</v>
      </c>
      <c r="V107" s="25"/>
      <c r="W107" s="27">
        <v>0</v>
      </c>
      <c r="X107" s="22" t="s">
        <v>1267</v>
      </c>
      <c r="Y107" s="28">
        <v>0</v>
      </c>
      <c r="Z107" s="25"/>
      <c r="AA107" s="29">
        <v>0</v>
      </c>
      <c r="AB107" s="25"/>
      <c r="AC107" s="30">
        <f t="shared" si="22"/>
        <v>4</v>
      </c>
      <c r="AD107" s="7"/>
      <c r="AE107" s="7" t="str">
        <f t="shared" si="23"/>
        <v>🔺 Bullish</v>
      </c>
      <c r="AF107" s="7" t="str">
        <f t="shared" si="24"/>
        <v>STOCK IN NOW</v>
      </c>
      <c r="AG107" s="10"/>
    </row>
    <row r="108" spans="2:33" ht="20.100000000000001" customHeight="1" x14ac:dyDescent="0.25">
      <c r="B108" s="31">
        <v>49</v>
      </c>
      <c r="C108" s="32">
        <v>45633</v>
      </c>
      <c r="D108" s="19">
        <v>1785</v>
      </c>
      <c r="E108" s="8" t="s">
        <v>1272</v>
      </c>
      <c r="F108" s="20">
        <v>1784.71</v>
      </c>
      <c r="G108" s="20">
        <v>1809.41</v>
      </c>
      <c r="H108" s="20">
        <v>1755.23</v>
      </c>
      <c r="I108" s="20">
        <f t="shared" si="21"/>
        <v>54.180000000000064</v>
      </c>
      <c r="J108" s="20">
        <v>1787.41</v>
      </c>
      <c r="K108" s="20">
        <v>1781.73</v>
      </c>
      <c r="L108" s="9">
        <f t="shared" si="25"/>
        <v>3</v>
      </c>
      <c r="M108" s="11">
        <f t="shared" si="26"/>
        <v>1.6835016835016834E-3</v>
      </c>
      <c r="N108" s="20">
        <f t="shared" si="27"/>
        <v>1779.25</v>
      </c>
      <c r="O108" s="21">
        <v>1</v>
      </c>
      <c r="P108" s="22" t="s">
        <v>1272</v>
      </c>
      <c r="Q108" s="23">
        <v>1</v>
      </c>
      <c r="R108" s="22" t="s">
        <v>1272</v>
      </c>
      <c r="S108" s="24">
        <v>2</v>
      </c>
      <c r="T108" s="22" t="s">
        <v>1272</v>
      </c>
      <c r="U108" s="26">
        <v>0</v>
      </c>
      <c r="V108" s="25"/>
      <c r="W108" s="27">
        <v>0</v>
      </c>
      <c r="X108" s="22" t="s">
        <v>1272</v>
      </c>
      <c r="Y108" s="28">
        <v>1</v>
      </c>
      <c r="Z108" s="22" t="s">
        <v>1272</v>
      </c>
      <c r="AA108" s="29">
        <v>0</v>
      </c>
      <c r="AB108" s="25"/>
      <c r="AC108" s="30">
        <f t="shared" si="22"/>
        <v>5</v>
      </c>
      <c r="AD108" s="7"/>
      <c r="AE108" s="7" t="str">
        <f t="shared" si="23"/>
        <v>🔺 Bullish</v>
      </c>
      <c r="AF108" s="7" t="str">
        <f t="shared" si="24"/>
        <v>STOCK IN NOW</v>
      </c>
      <c r="AG108" s="10"/>
    </row>
    <row r="109" spans="2:33" ht="20.100000000000001" customHeight="1" x14ac:dyDescent="0.25">
      <c r="B109" s="17">
        <v>50</v>
      </c>
      <c r="C109" s="18">
        <v>45640</v>
      </c>
      <c r="D109" s="19">
        <v>1788</v>
      </c>
      <c r="E109" s="8" t="s">
        <v>1277</v>
      </c>
      <c r="F109" s="20">
        <v>1797.53</v>
      </c>
      <c r="G109" s="20">
        <v>1846.62</v>
      </c>
      <c r="H109" s="20">
        <v>1764.28</v>
      </c>
      <c r="I109" s="20">
        <f t="shared" si="21"/>
        <v>82.339999999999918</v>
      </c>
      <c r="J109" s="20">
        <v>1823.4</v>
      </c>
      <c r="K109" s="20">
        <v>1781.2</v>
      </c>
      <c r="L109" s="9">
        <f t="shared" si="25"/>
        <v>3</v>
      </c>
      <c r="M109" s="11">
        <f t="shared" si="26"/>
        <v>1.6806722689075631E-3</v>
      </c>
      <c r="N109" s="20">
        <f t="shared" si="27"/>
        <v>1783.25</v>
      </c>
      <c r="O109" s="21">
        <v>1</v>
      </c>
      <c r="P109" s="22" t="s">
        <v>1373</v>
      </c>
      <c r="Q109" s="23">
        <v>1</v>
      </c>
      <c r="R109" s="22" t="s">
        <v>1277</v>
      </c>
      <c r="S109" s="24">
        <v>2</v>
      </c>
      <c r="T109" s="22" t="s">
        <v>1373</v>
      </c>
      <c r="U109" s="26">
        <v>0</v>
      </c>
      <c r="V109" s="25"/>
      <c r="W109" s="27">
        <v>0</v>
      </c>
      <c r="X109" s="22" t="s">
        <v>1277</v>
      </c>
      <c r="Y109" s="28">
        <v>1</v>
      </c>
      <c r="Z109" s="22" t="s">
        <v>1373</v>
      </c>
      <c r="AA109" s="29">
        <v>0</v>
      </c>
      <c r="AB109" s="25"/>
      <c r="AC109" s="30">
        <f t="shared" si="22"/>
        <v>5</v>
      </c>
      <c r="AD109" s="7"/>
      <c r="AE109" s="7" t="str">
        <f t="shared" si="23"/>
        <v>🔺 Bullish</v>
      </c>
      <c r="AF109" s="7" t="str">
        <f t="shared" si="24"/>
        <v>STOCK IN NOW</v>
      </c>
      <c r="AG109" s="10"/>
    </row>
    <row r="110" spans="2:33" ht="20.100000000000001" customHeight="1" x14ac:dyDescent="0.25">
      <c r="B110" s="31">
        <v>51</v>
      </c>
      <c r="C110" s="32">
        <v>45647</v>
      </c>
      <c r="D110" s="19">
        <v>1782</v>
      </c>
      <c r="E110" s="8" t="s">
        <v>1282</v>
      </c>
      <c r="F110" s="20">
        <v>1794.46</v>
      </c>
      <c r="G110" s="20">
        <v>1852.99</v>
      </c>
      <c r="H110" s="20">
        <v>1760.84</v>
      </c>
      <c r="I110" s="20">
        <f t="shared" si="21"/>
        <v>92.150000000000091</v>
      </c>
      <c r="J110" s="20">
        <v>1771.25</v>
      </c>
      <c r="K110" s="20">
        <v>1830.14</v>
      </c>
      <c r="L110" s="9">
        <f t="shared" si="25"/>
        <v>-6</v>
      </c>
      <c r="M110" s="11">
        <f t="shared" si="26"/>
        <v>-3.3557046979865771E-3</v>
      </c>
      <c r="N110" s="20">
        <f t="shared" si="27"/>
        <v>1784.25</v>
      </c>
      <c r="O110" s="21">
        <v>0</v>
      </c>
      <c r="P110" s="25"/>
      <c r="Q110" s="23">
        <v>0</v>
      </c>
      <c r="R110" s="22" t="s">
        <v>1282</v>
      </c>
      <c r="S110" s="24">
        <v>1</v>
      </c>
      <c r="T110" s="22" t="s">
        <v>1282</v>
      </c>
      <c r="U110" s="26">
        <v>0</v>
      </c>
      <c r="V110" s="25"/>
      <c r="W110" s="27">
        <v>0</v>
      </c>
      <c r="X110" s="22" t="s">
        <v>1282</v>
      </c>
      <c r="Y110" s="28">
        <v>0</v>
      </c>
      <c r="Z110" s="25"/>
      <c r="AA110" s="29">
        <v>0</v>
      </c>
      <c r="AB110" s="25"/>
      <c r="AC110" s="30">
        <f t="shared" si="22"/>
        <v>1</v>
      </c>
      <c r="AD110" s="7"/>
      <c r="AE110" s="7" t="str">
        <f t="shared" si="23"/>
        <v>→ Neutral</v>
      </c>
      <c r="AF110" s="7" t="str">
        <f t="shared" si="24"/>
        <v>Hold</v>
      </c>
      <c r="AG110" s="10"/>
    </row>
    <row r="111" spans="2:33" ht="20.100000000000001" customHeight="1" x14ac:dyDescent="0.25">
      <c r="B111" s="17">
        <v>52</v>
      </c>
      <c r="C111" s="18">
        <v>45654</v>
      </c>
      <c r="D111" s="19">
        <v>1778</v>
      </c>
      <c r="E111" s="8" t="s">
        <v>1286</v>
      </c>
      <c r="F111" s="20">
        <v>1799.29</v>
      </c>
      <c r="G111" s="20">
        <v>1831.16</v>
      </c>
      <c r="H111" s="20">
        <v>1758.54</v>
      </c>
      <c r="I111" s="20">
        <f t="shared" si="21"/>
        <v>72.620000000000118</v>
      </c>
      <c r="J111" s="20">
        <v>1809.72</v>
      </c>
      <c r="K111" s="20">
        <v>1810.14</v>
      </c>
      <c r="L111" s="9">
        <f t="shared" si="25"/>
        <v>-4</v>
      </c>
      <c r="M111" s="11">
        <f t="shared" si="26"/>
        <v>-2.2446689113355782E-3</v>
      </c>
      <c r="N111" s="20">
        <f t="shared" si="27"/>
        <v>1783.25</v>
      </c>
      <c r="O111" s="21">
        <v>0</v>
      </c>
      <c r="P111" s="25"/>
      <c r="Q111" s="23">
        <v>0</v>
      </c>
      <c r="R111" s="22" t="s">
        <v>1286</v>
      </c>
      <c r="S111" s="24">
        <v>1</v>
      </c>
      <c r="T111" s="22" t="s">
        <v>1286</v>
      </c>
      <c r="U111" s="26">
        <v>0</v>
      </c>
      <c r="V111" s="25"/>
      <c r="W111" s="27">
        <v>0</v>
      </c>
      <c r="X111" s="22" t="s">
        <v>1286</v>
      </c>
      <c r="Y111" s="28">
        <v>0</v>
      </c>
      <c r="Z111" s="25"/>
      <c r="AA111" s="29">
        <v>0</v>
      </c>
      <c r="AB111" s="25"/>
      <c r="AC111" s="30">
        <f t="shared" si="22"/>
        <v>1</v>
      </c>
      <c r="AD111" s="7"/>
      <c r="AE111" s="7" t="str">
        <f t="shared" si="23"/>
        <v>→ Neutral</v>
      </c>
      <c r="AF111" s="7" t="str">
        <f t="shared" si="24"/>
        <v>Hold</v>
      </c>
      <c r="AG111" s="10"/>
    </row>
  </sheetData>
  <mergeCells count="14">
    <mergeCell ref="B2:AD2"/>
    <mergeCell ref="W5:X5"/>
    <mergeCell ref="B3:AD3"/>
    <mergeCell ref="F5:K5"/>
    <mergeCell ref="O5:P5"/>
    <mergeCell ref="B4:AD4"/>
    <mergeCell ref="Q5:R5"/>
    <mergeCell ref="S5:T5"/>
    <mergeCell ref="L5:N5"/>
    <mergeCell ref="U5:V5"/>
    <mergeCell ref="Y5:Z5"/>
    <mergeCell ref="AA5:AB5"/>
    <mergeCell ref="B5:E5"/>
    <mergeCell ref="AC5:AG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V11"/>
  <sheetViews>
    <sheetView showGridLines="0" workbookViewId="0">
      <pane xSplit="9" ySplit="6" topLeftCell="J7" activePane="bottomRight" state="frozen"/>
      <selection pane="topRight"/>
      <selection pane="bottomLeft"/>
      <selection pane="bottomRight"/>
    </sheetView>
  </sheetViews>
  <sheetFormatPr defaultRowHeight="15" x14ac:dyDescent="0.25"/>
  <cols>
    <col min="1" max="1" width="1.42578125" customWidth="1"/>
    <col min="2" max="2" width="20" customWidth="1"/>
    <col min="3" max="3" width="7" customWidth="1"/>
    <col min="4" max="4" width="16" customWidth="1"/>
    <col min="5" max="5" width="14" customWidth="1"/>
    <col min="6" max="6" width="12" customWidth="1"/>
    <col min="7" max="7" width="9" customWidth="1"/>
    <col min="8" max="8" width="15" customWidth="1"/>
    <col min="9" max="9" width="6" customWidth="1"/>
    <col min="10" max="11" width="12" customWidth="1"/>
    <col min="12" max="12" width="13" customWidth="1"/>
    <col min="13" max="13" width="9" customWidth="1"/>
    <col min="14" max="14" width="13" customWidth="1"/>
    <col min="15" max="15" width="9" customWidth="1"/>
    <col min="16" max="16" width="13" customWidth="1"/>
    <col min="17" max="17" width="9" customWidth="1"/>
    <col min="18" max="18" width="16" customWidth="1"/>
    <col min="19" max="19" width="9" customWidth="1"/>
    <col min="20" max="20" width="26" customWidth="1"/>
    <col min="21" max="21" width="14" customWidth="1"/>
    <col min="22" max="22" width="28" customWidth="1"/>
  </cols>
  <sheetData>
    <row r="1" spans="2:22" ht="6" customHeight="1" x14ac:dyDescent="0.25"/>
    <row r="2" spans="2:22" ht="38.1" customHeight="1" x14ac:dyDescent="0.25">
      <c r="B2" s="58" t="s">
        <v>1374</v>
      </c>
      <c r="C2" s="51"/>
      <c r="D2" s="51"/>
      <c r="E2" s="51"/>
      <c r="F2" s="51"/>
      <c r="G2" s="51"/>
      <c r="H2" s="51"/>
      <c r="I2" s="51"/>
      <c r="J2" s="51"/>
      <c r="K2" s="51"/>
      <c r="L2" s="51"/>
      <c r="M2" s="51"/>
      <c r="N2" s="51"/>
      <c r="O2" s="51"/>
      <c r="P2" s="51"/>
      <c r="Q2" s="51"/>
      <c r="R2" s="51"/>
      <c r="S2" s="51"/>
      <c r="T2" s="51"/>
      <c r="U2" s="51"/>
      <c r="V2" s="51"/>
    </row>
    <row r="3" spans="2:22" ht="18" customHeight="1" x14ac:dyDescent="0.25">
      <c r="B3" s="52" t="s">
        <v>785</v>
      </c>
      <c r="C3" s="51"/>
      <c r="D3" s="51"/>
      <c r="E3" s="51"/>
      <c r="F3" s="51"/>
      <c r="G3" s="51"/>
      <c r="H3" s="51"/>
      <c r="I3" s="51"/>
      <c r="J3" s="51"/>
      <c r="K3" s="51"/>
      <c r="L3" s="51"/>
      <c r="M3" s="51"/>
      <c r="N3" s="51"/>
      <c r="O3" s="51"/>
      <c r="P3" s="51"/>
      <c r="Q3" s="51"/>
      <c r="R3" s="51"/>
      <c r="S3" s="51"/>
      <c r="T3" s="51"/>
      <c r="U3" s="51"/>
      <c r="V3" s="51"/>
    </row>
    <row r="4" spans="2:22" ht="14.1" customHeight="1" x14ac:dyDescent="0.25">
      <c r="B4" s="68" t="s">
        <v>1375</v>
      </c>
      <c r="C4" s="51"/>
      <c r="D4" s="51"/>
      <c r="E4" s="51"/>
      <c r="F4" s="51"/>
      <c r="G4" s="51"/>
      <c r="H4" s="51"/>
      <c r="I4" s="51"/>
      <c r="J4" s="51"/>
      <c r="K4" s="51"/>
      <c r="L4" s="51"/>
      <c r="M4" s="51"/>
      <c r="N4" s="51"/>
      <c r="O4" s="51"/>
      <c r="P4" s="51"/>
      <c r="Q4" s="51"/>
      <c r="R4" s="51"/>
      <c r="S4" s="51"/>
      <c r="T4" s="51"/>
      <c r="U4" s="51"/>
      <c r="V4" s="51"/>
    </row>
    <row r="5" spans="2:22" ht="18" customHeight="1" x14ac:dyDescent="0.25">
      <c r="B5" s="55" t="s">
        <v>787</v>
      </c>
      <c r="C5" s="51"/>
      <c r="D5" s="51"/>
      <c r="E5" s="51"/>
      <c r="F5" s="51"/>
      <c r="G5" s="51"/>
      <c r="H5" s="51"/>
      <c r="I5" s="51"/>
      <c r="J5" s="53" t="s">
        <v>788</v>
      </c>
      <c r="K5" s="51"/>
      <c r="L5" s="53" t="s">
        <v>789</v>
      </c>
      <c r="M5" s="51"/>
      <c r="N5" s="54" t="s">
        <v>790</v>
      </c>
      <c r="O5" s="51"/>
      <c r="P5" s="67" t="s">
        <v>791</v>
      </c>
      <c r="Q5" s="51"/>
      <c r="R5" s="57" t="s">
        <v>792</v>
      </c>
      <c r="S5" s="51"/>
      <c r="T5" s="51"/>
      <c r="U5" s="51"/>
      <c r="V5" s="51"/>
    </row>
    <row r="6" spans="2:22" ht="38.1" customHeight="1" x14ac:dyDescent="0.25">
      <c r="B6" s="1" t="s">
        <v>85</v>
      </c>
      <c r="C6" s="1" t="s">
        <v>793</v>
      </c>
      <c r="D6" s="1" t="s">
        <v>794</v>
      </c>
      <c r="E6" s="1" t="s">
        <v>795</v>
      </c>
      <c r="F6" s="1" t="s">
        <v>796</v>
      </c>
      <c r="G6" s="1" t="s">
        <v>797</v>
      </c>
      <c r="H6" s="1" t="s">
        <v>695</v>
      </c>
      <c r="I6" s="1" t="s">
        <v>798</v>
      </c>
      <c r="J6" s="2" t="s">
        <v>799</v>
      </c>
      <c r="K6" s="2" t="s">
        <v>678</v>
      </c>
      <c r="L6" s="2" t="s">
        <v>800</v>
      </c>
      <c r="M6" s="2" t="s">
        <v>801</v>
      </c>
      <c r="N6" s="3" t="s">
        <v>802</v>
      </c>
      <c r="O6" s="3" t="s">
        <v>803</v>
      </c>
      <c r="P6" s="33" t="s">
        <v>804</v>
      </c>
      <c r="Q6" s="33" t="s">
        <v>805</v>
      </c>
      <c r="R6" s="4" t="s">
        <v>696</v>
      </c>
      <c r="S6" s="4" t="s">
        <v>806</v>
      </c>
      <c r="T6" s="4" t="s">
        <v>807</v>
      </c>
      <c r="U6" s="4" t="s">
        <v>808</v>
      </c>
      <c r="V6" s="1" t="s">
        <v>809</v>
      </c>
    </row>
    <row r="7" spans="2:22" ht="21.95" customHeight="1" x14ac:dyDescent="0.25">
      <c r="B7" s="34" t="s">
        <v>825</v>
      </c>
      <c r="C7" s="35" t="s">
        <v>111</v>
      </c>
      <c r="D7" s="35" t="s">
        <v>824</v>
      </c>
      <c r="E7" s="35" t="s">
        <v>107</v>
      </c>
      <c r="F7" s="35" t="s">
        <v>810</v>
      </c>
      <c r="G7" s="36">
        <v>1</v>
      </c>
      <c r="H7" s="50" t="s">
        <v>1376</v>
      </c>
      <c r="I7" s="35" t="s">
        <v>103</v>
      </c>
      <c r="J7" s="37">
        <v>1765.51</v>
      </c>
      <c r="K7" s="38">
        <v>1783.25</v>
      </c>
      <c r="L7" s="37">
        <v>1779.63</v>
      </c>
      <c r="M7" s="39">
        <f>IFERROR((L7-J7)/J7,"")</f>
        <v>7.9976890530215738E-3</v>
      </c>
      <c r="N7" s="40">
        <v>1836.13</v>
      </c>
      <c r="O7" s="41">
        <f>IFERROR((N7-J7)/J7,"")</f>
        <v>3.9999773436570803E-2</v>
      </c>
      <c r="P7" s="42">
        <v>1726.67</v>
      </c>
      <c r="Q7" s="43">
        <f>IFERROR((P7-J7)/J7,"")</f>
        <v>-2.1999308981540698E-2</v>
      </c>
      <c r="R7" s="44" t="s">
        <v>812</v>
      </c>
      <c r="S7" s="7">
        <v>8</v>
      </c>
      <c r="T7" s="45" t="s">
        <v>813</v>
      </c>
      <c r="U7" s="46" t="s">
        <v>115</v>
      </c>
      <c r="V7" s="10"/>
    </row>
    <row r="8" spans="2:22" ht="21.95" customHeight="1" x14ac:dyDescent="0.25">
      <c r="B8" s="47" t="s">
        <v>825</v>
      </c>
      <c r="C8" s="48" t="s">
        <v>111</v>
      </c>
      <c r="D8" s="48" t="s">
        <v>827</v>
      </c>
      <c r="E8" s="48" t="s">
        <v>132</v>
      </c>
      <c r="F8" s="48" t="s">
        <v>814</v>
      </c>
      <c r="G8" s="49">
        <v>1</v>
      </c>
      <c r="H8" s="50" t="s">
        <v>1376</v>
      </c>
      <c r="I8" s="48" t="s">
        <v>103</v>
      </c>
      <c r="J8" s="37">
        <v>1791.8</v>
      </c>
      <c r="K8" s="38">
        <v>1783.25</v>
      </c>
      <c r="L8" s="37">
        <v>1806.13</v>
      </c>
      <c r="M8" s="39">
        <f>IFERROR((L8-J8)/J8,"")</f>
        <v>7.9975443687912463E-3</v>
      </c>
      <c r="N8" s="40">
        <v>1863.47</v>
      </c>
      <c r="O8" s="41">
        <f>IFERROR((N8-J8)/J8,"")</f>
        <v>3.9998883803996022E-2</v>
      </c>
      <c r="P8" s="42">
        <v>1752.38</v>
      </c>
      <c r="Q8" s="43">
        <f>IFERROR((P8-J8)/J8,"")</f>
        <v>-2.2000223239200718E-2</v>
      </c>
      <c r="R8" s="44" t="s">
        <v>812</v>
      </c>
      <c r="S8" s="7">
        <v>8</v>
      </c>
      <c r="T8" s="45" t="s">
        <v>813</v>
      </c>
      <c r="U8" s="46" t="s">
        <v>115</v>
      </c>
      <c r="V8" s="10"/>
    </row>
    <row r="9" spans="2:22" ht="21.95" customHeight="1" x14ac:dyDescent="0.25">
      <c r="B9" s="34" t="s">
        <v>832</v>
      </c>
      <c r="C9" s="35" t="s">
        <v>136</v>
      </c>
      <c r="D9" s="35" t="s">
        <v>829</v>
      </c>
      <c r="E9" s="35" t="s">
        <v>830</v>
      </c>
      <c r="F9" s="35" t="s">
        <v>815</v>
      </c>
      <c r="G9" s="36">
        <v>1</v>
      </c>
      <c r="H9" s="50" t="s">
        <v>1376</v>
      </c>
      <c r="I9" s="35" t="s">
        <v>103</v>
      </c>
      <c r="J9" s="37">
        <v>1770.2</v>
      </c>
      <c r="K9" s="38">
        <v>1783.25</v>
      </c>
      <c r="L9" s="37">
        <v>1784.36</v>
      </c>
      <c r="M9" s="39">
        <f>IFERROR((L9-J9)/J9,"")</f>
        <v>7.9990961473279023E-3</v>
      </c>
      <c r="N9" s="40">
        <v>1841.01</v>
      </c>
      <c r="O9" s="41">
        <f>IFERROR((N9-J9)/J9,"")</f>
        <v>4.0001129815839989E-2</v>
      </c>
      <c r="P9" s="42">
        <v>1731.26</v>
      </c>
      <c r="Q9" s="43">
        <f>IFERROR((P9-J9)/J9,"")</f>
        <v>-2.1997514405151991E-2</v>
      </c>
      <c r="R9" s="44" t="s">
        <v>812</v>
      </c>
      <c r="S9" s="7">
        <v>8</v>
      </c>
      <c r="T9" s="45" t="s">
        <v>813</v>
      </c>
      <c r="U9" s="46" t="s">
        <v>115</v>
      </c>
      <c r="V9" s="10"/>
    </row>
    <row r="10" spans="2:22" ht="21.95" customHeight="1" x14ac:dyDescent="0.25">
      <c r="B10" s="47" t="s">
        <v>825</v>
      </c>
      <c r="C10" s="48" t="s">
        <v>111</v>
      </c>
      <c r="D10" s="48" t="s">
        <v>824</v>
      </c>
      <c r="E10" s="48" t="s">
        <v>141</v>
      </c>
      <c r="F10" s="48" t="s">
        <v>816</v>
      </c>
      <c r="G10" s="49">
        <v>1</v>
      </c>
      <c r="H10" s="50" t="s">
        <v>1376</v>
      </c>
      <c r="I10" s="48" t="s">
        <v>129</v>
      </c>
      <c r="J10" s="37">
        <v>1778.59</v>
      </c>
      <c r="K10" s="38">
        <v>1783.25</v>
      </c>
      <c r="L10" s="37">
        <v>1792.82</v>
      </c>
      <c r="M10" s="39">
        <f>IFERROR((L10-J10)/J10,"")</f>
        <v>8.0007196712002307E-3</v>
      </c>
      <c r="N10" s="40">
        <v>1849.73</v>
      </c>
      <c r="O10" s="41">
        <f>IFERROR((N10-J10)/J10,"")</f>
        <v>3.9997975924749435E-2</v>
      </c>
      <c r="P10" s="42">
        <v>1739.46</v>
      </c>
      <c r="Q10" s="43">
        <f>IFERROR((P10-J10)/J10,"")</f>
        <v>-2.2000573487987611E-2</v>
      </c>
      <c r="R10" s="44" t="s">
        <v>812</v>
      </c>
      <c r="S10" s="7">
        <v>8</v>
      </c>
      <c r="T10" s="45" t="s">
        <v>813</v>
      </c>
      <c r="U10" s="46" t="s">
        <v>115</v>
      </c>
      <c r="V10" s="10"/>
    </row>
    <row r="11" spans="2:22" ht="21.95" customHeight="1" x14ac:dyDescent="0.25">
      <c r="B11" s="34" t="s">
        <v>1377</v>
      </c>
      <c r="C11" s="35" t="s">
        <v>818</v>
      </c>
      <c r="D11" s="35" t="s">
        <v>827</v>
      </c>
      <c r="E11" s="35" t="s">
        <v>819</v>
      </c>
      <c r="F11" s="35" t="s">
        <v>130</v>
      </c>
      <c r="G11" s="36">
        <v>1</v>
      </c>
      <c r="H11" s="50" t="s">
        <v>1376</v>
      </c>
      <c r="I11" s="35" t="s">
        <v>820</v>
      </c>
      <c r="J11" s="37">
        <v>1790.19</v>
      </c>
      <c r="K11" s="38">
        <v>1783.25</v>
      </c>
      <c r="L11" s="37">
        <v>1804.51</v>
      </c>
      <c r="M11" s="39">
        <f>IFERROR((L11-J11)/J11,"")</f>
        <v>7.9991509281137404E-3</v>
      </c>
      <c r="N11" s="40">
        <v>1861.8</v>
      </c>
      <c r="O11" s="41">
        <f>IFERROR((N11-J11)/J11,"")</f>
        <v>4.0001340639820297E-2</v>
      </c>
      <c r="P11" s="42">
        <v>1750.81</v>
      </c>
      <c r="Q11" s="43">
        <f>IFERROR((P11-J11)/J11,"")</f>
        <v>-2.1997665052312942E-2</v>
      </c>
      <c r="R11" s="44" t="s">
        <v>812</v>
      </c>
      <c r="S11" s="7">
        <v>8</v>
      </c>
      <c r="T11" s="45" t="s">
        <v>813</v>
      </c>
      <c r="U11" s="46" t="s">
        <v>115</v>
      </c>
      <c r="V11" s="10"/>
    </row>
  </sheetData>
  <mergeCells count="9">
    <mergeCell ref="B2:V2"/>
    <mergeCell ref="J5:K5"/>
    <mergeCell ref="B3:V3"/>
    <mergeCell ref="B5:I5"/>
    <mergeCell ref="L5:M5"/>
    <mergeCell ref="P5:Q5"/>
    <mergeCell ref="N5:O5"/>
    <mergeCell ref="R5:V5"/>
    <mergeCell ref="B4:V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 Index &amp; Legend</vt:lpstr>
      <vt:lpstr>💰 AA Daily Prices</vt:lpstr>
      <vt:lpstr>📅 AA Weekly+Factors</vt:lpstr>
      <vt:lpstr>🎯 AA Forecast</vt:lpstr>
      <vt:lpstr>💰 MDI Daily Prices</vt:lpstr>
      <vt:lpstr>📅 MDI Weekly+Factors</vt:lpstr>
      <vt:lpstr>🎯 MDI Forecast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Atul Porwal</cp:lastModifiedBy>
  <dcterms:created xsi:type="dcterms:W3CDTF">2026-05-20T04:13:20Z</dcterms:created>
  <dcterms:modified xsi:type="dcterms:W3CDTF">2026-05-20T09:35:28Z</dcterms:modified>
</cp:coreProperties>
</file>